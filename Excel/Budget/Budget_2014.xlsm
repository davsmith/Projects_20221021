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https://d.docs.live.net/34003888c254c650/Projects/Excel/QIF_Tools/"/>
    </mc:Choice>
  </mc:AlternateContent>
  <bookViews>
    <workbookView xWindow="0" yWindow="0" windowWidth="12936" windowHeight="9204" activeTab="6"/>
  </bookViews>
  <sheets>
    <sheet name="Accounts" sheetId="1349" r:id="rId1"/>
    <sheet name="Transactions" sheetId="1350" r:id="rId2"/>
    <sheet name="Categories" sheetId="1351" r:id="rId3"/>
    <sheet name="Tags" sheetId="1352" r:id="rId4"/>
    <sheet name="Security" sheetId="1353" r:id="rId5"/>
    <sheet name="Memorized" sheetId="1354" r:id="rId6"/>
    <sheet name="_Config" sheetId="3" r:id="rId7"/>
    <sheet name="_Categories (Master)" sheetId="926" r:id="rId8"/>
    <sheet name="Stock" sheetId="1246" r:id="rId9"/>
  </sheets>
  <functionGroups builtInGroupCount="18"/>
  <definedNames>
    <definedName name="_xlnm._FilterDatabase" localSheetId="7" hidden="1">'_Categories (Master)'!$A$1:$F$235</definedName>
    <definedName name="Balanced">#REF!</definedName>
    <definedName name="CFG_BudgetYear">_Config!$B$3</definedName>
    <definedName name="CFG_DataSheetName">_Config!$B$2</definedName>
    <definedName name="cfg_PremeraClaimsDest">_Config!$B$19</definedName>
    <definedName name="cfg_PremeraClaimsSrc">_Config!$B$18</definedName>
    <definedName name="CFG_SourceQIF">_Config!$B$1</definedName>
    <definedName name="TBL_Balanced">#REF!</definedName>
    <definedName name="TBL_Categories">'_Categories (Master)'!$A$1:$F$235</definedName>
    <definedName name="TBL_Categorized">#REF!</definedName>
    <definedName name="TBL_Data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246" l="1"/>
  <c r="I2" i="1246"/>
  <c r="H3" i="1246"/>
  <c r="H2" i="1246"/>
  <c r="E3" i="1246"/>
  <c r="E4" i="1246"/>
  <c r="E5" i="1246"/>
  <c r="E6" i="1246"/>
  <c r="E2" i="1246"/>
  <c r="D3" i="1246"/>
  <c r="D4" i="1246"/>
  <c r="D5" i="1246"/>
  <c r="D6" i="1246"/>
  <c r="D2" i="1246"/>
  <c r="J2" i="926" l="1"/>
  <c r="I2" i="926"/>
  <c r="K2" i="926" l="1"/>
</calcChain>
</file>

<file path=xl/comments1.xml><?xml version="1.0" encoding="utf-8"?>
<comments xmlns="http://schemas.openxmlformats.org/spreadsheetml/2006/main">
  <authors>
    <author>Dave Smith (WSC)</author>
  </authors>
  <commentList>
    <comment ref="F206" authorId="0" shapeId="0">
      <text>
        <r>
          <rPr>
            <sz val="9"/>
            <color indexed="81"/>
            <rFont val="Tahoma"/>
            <family val="2"/>
          </rPr>
          <t xml:space="preserve">Keyboard for Surface: $150
Tablet/Computer: $450
Digital Camera: $400
Router: $100
Misc: $100
</t>
        </r>
      </text>
    </comment>
  </commentList>
</comments>
</file>

<file path=xl/sharedStrings.xml><?xml version="1.0" encoding="utf-8"?>
<sst xmlns="http://schemas.openxmlformats.org/spreadsheetml/2006/main" count="12246" uniqueCount="2070">
  <si>
    <t>Type</t>
  </si>
  <si>
    <t>Source:</t>
  </si>
  <si>
    <t>Account</t>
  </si>
  <si>
    <t>Category</t>
  </si>
  <si>
    <t>[AmericanWest (1186)]</t>
  </si>
  <si>
    <t>[Capital One - Long Term Emergency (1201)]</t>
  </si>
  <si>
    <t>[Capital One - Investment (6759)]</t>
  </si>
  <si>
    <t>[Capital One - Secondary Savings (3126)]</t>
  </si>
  <si>
    <t>Interest Income</t>
  </si>
  <si>
    <t>[First Tech - Checking (5544)]</t>
  </si>
  <si>
    <t>[Capital One - Vacation (4959)]</t>
  </si>
  <si>
    <t>[Schwab - Checking (9784)]</t>
  </si>
  <si>
    <t>Net Salary</t>
  </si>
  <si>
    <t>[MasterCard (Capital One)]</t>
  </si>
  <si>
    <t>Other Inc</t>
  </si>
  <si>
    <t>[American Express (Costco)]</t>
  </si>
  <si>
    <t>[Mastercard (Angela)]</t>
  </si>
  <si>
    <t>Entertainment</t>
  </si>
  <si>
    <t>[Discover Card]</t>
  </si>
  <si>
    <t>[Morgan Stanley Smith Barney]</t>
  </si>
  <si>
    <t>Gifts</t>
  </si>
  <si>
    <t>[REI Mastercard XX1787]</t>
  </si>
  <si>
    <t>[Premera Health Care Payment]</t>
  </si>
  <si>
    <t>[Target Red Card]</t>
  </si>
  <si>
    <t>[Koolikai - Checking XX2129]</t>
  </si>
  <si>
    <t>[Koolikai - Sec Dep XX1200]</t>
  </si>
  <si>
    <t>Not Sure</t>
  </si>
  <si>
    <t>[First Tech - Secondary Savings (5401)]</t>
  </si>
  <si>
    <t>[First Tech - Savings (5455)]</t>
  </si>
  <si>
    <t>Work Expense</t>
  </si>
  <si>
    <t>[First Tech - Short Term Emergency (5400)]</t>
  </si>
  <si>
    <t>[Koolikai Credit Card]</t>
  </si>
  <si>
    <t>Cash &amp; ATM</t>
  </si>
  <si>
    <t>Business Income (Koolikai)</t>
  </si>
  <si>
    <t>No</t>
  </si>
  <si>
    <t>Income</t>
  </si>
  <si>
    <t>Div Income</t>
  </si>
  <si>
    <t>Net Salary Spouse</t>
  </si>
  <si>
    <t>Other Income (Business)</t>
  </si>
  <si>
    <t>_DivInc</t>
  </si>
  <si>
    <t>_DivIncTaxFree</t>
  </si>
  <si>
    <t>_EmpStkOptInc</t>
  </si>
  <si>
    <t>_EmpStkOptIncSpouse</t>
  </si>
  <si>
    <t>_ESPP Self Income</t>
  </si>
  <si>
    <t>_ESPP Spouse Income</t>
  </si>
  <si>
    <t>_IntInc</t>
  </si>
  <si>
    <t>_IntIncTaxFree</t>
  </si>
  <si>
    <t>_LT CapGnDst</t>
  </si>
  <si>
    <t>_MT CapGnDst</t>
  </si>
  <si>
    <t>_RlzdGain</t>
  </si>
  <si>
    <t>_ST CapGnDst</t>
  </si>
  <si>
    <t>_UnrlzdGain</t>
  </si>
  <si>
    <t>Auto &amp; Transport</t>
  </si>
  <si>
    <t>Bank Fees &amp; Charges</t>
  </si>
  <si>
    <t>Bills &amp; Utilities</t>
  </si>
  <si>
    <t>Business Expenses (Koolikai)</t>
  </si>
  <si>
    <t>Charity</t>
  </si>
  <si>
    <t>Deposit to Savings</t>
  </si>
  <si>
    <t>Education</t>
  </si>
  <si>
    <t>Entertaining</t>
  </si>
  <si>
    <t>Financial</t>
  </si>
  <si>
    <t>Food &amp; Dining</t>
  </si>
  <si>
    <t>Health &amp; Fitness</t>
  </si>
  <si>
    <t>Home</t>
  </si>
  <si>
    <t>Interest Exp</t>
  </si>
  <si>
    <t>IRA Contribution</t>
  </si>
  <si>
    <t>Kids</t>
  </si>
  <si>
    <t>Misc.</t>
  </si>
  <si>
    <t>Not Sure, Biz</t>
  </si>
  <si>
    <t>Parties</t>
  </si>
  <si>
    <t>Personal Care</t>
  </si>
  <si>
    <t>Pets</t>
  </si>
  <si>
    <t>Shopping</t>
  </si>
  <si>
    <t>Subscriptions &amp; Dues</t>
  </si>
  <si>
    <t>Tax</t>
  </si>
  <si>
    <t>Vacation</t>
  </si>
  <si>
    <t>_Accrued Int</t>
  </si>
  <si>
    <t>_Accrued Int TaxFree</t>
  </si>
  <si>
    <t>_IntExp</t>
  </si>
  <si>
    <t>[Overdraft Visa XX4740]</t>
  </si>
  <si>
    <t>Transactions</t>
  </si>
  <si>
    <t>Data Sheet Name:</t>
  </si>
  <si>
    <t>Budget Year:</t>
  </si>
  <si>
    <t>Discretionary</t>
  </si>
  <si>
    <t>Business</t>
  </si>
  <si>
    <t>Tax Status</t>
  </si>
  <si>
    <t>Budget</t>
  </si>
  <si>
    <t>Monthly</t>
  </si>
  <si>
    <t>Annual</t>
  </si>
  <si>
    <t>[Cash Account]</t>
  </si>
  <si>
    <t>Projects</t>
  </si>
  <si>
    <t>Investment Income</t>
  </si>
  <si>
    <t>Business Income (Koolikai)|Consulting Income (Business)</t>
  </si>
  <si>
    <t>Business Income (Koolikai)|Interest (Income)</t>
  </si>
  <si>
    <t>Business Income (Koolikai)|Late Fees</t>
  </si>
  <si>
    <t>Business Income (Koolikai)|Rent</t>
  </si>
  <si>
    <t>Business Income (Koolikai)|Sales (Business)</t>
  </si>
  <si>
    <t>Business Income (Koolikai)|ZZZZZ</t>
  </si>
  <si>
    <t>Auto &amp; Transport|Auto Insurance</t>
  </si>
  <si>
    <t>Auto &amp; Transport|Auto Lease Payment</t>
  </si>
  <si>
    <t>Auto &amp; Transport|Auto Payment</t>
  </si>
  <si>
    <t>Auto &amp; Transport|Car Wash</t>
  </si>
  <si>
    <t>Auto &amp; Transport|Driver's License</t>
  </si>
  <si>
    <t>Auto &amp; Transport|Gas &amp; Fuel</t>
  </si>
  <si>
    <t>Auto &amp; Transport|Parking</t>
  </si>
  <si>
    <t>Auto &amp; Transport|Public Transportation</t>
  </si>
  <si>
    <t>Auto &amp; Transport|Registration</t>
  </si>
  <si>
    <t>Auto &amp; Transport|Service &amp; Parts</t>
  </si>
  <si>
    <t>Auto &amp; Transport|Tolls</t>
  </si>
  <si>
    <t>Auto &amp; Transport|ZZZZZ</t>
  </si>
  <si>
    <t>Bank Fees &amp; Charges|ATM Fee</t>
  </si>
  <si>
    <t>Bank Fees &amp; Charges|Bank Fee</t>
  </si>
  <si>
    <t>Bank Fees &amp; Charges|Late Fee</t>
  </si>
  <si>
    <t>Bank Fees &amp; Charges|Service Fee</t>
  </si>
  <si>
    <t>Bank Fees &amp; Charges|Trade Commissions</t>
  </si>
  <si>
    <t>Bank Fees &amp; Charges|ZZZZZ</t>
  </si>
  <si>
    <t>Bills &amp; Utilities|Credit Card Payment</t>
  </si>
  <si>
    <t>Bills &amp; Utilities|Home Phone</t>
  </si>
  <si>
    <t>Bills &amp; Utilities|Insurance (Umbrella)</t>
  </si>
  <si>
    <t>Bills &amp; Utilities|Internet</t>
  </si>
  <si>
    <t>Bills &amp; Utilities|Mobile Phone</t>
  </si>
  <si>
    <t>Bills &amp; Utilities|Television</t>
  </si>
  <si>
    <t>Bills &amp; Utilities|Utilities</t>
  </si>
  <si>
    <t>Bills &amp; Utilities|ZZZZZ</t>
  </si>
  <si>
    <t>Business Expenses (Koolikai)|Advertising (Business)</t>
  </si>
  <si>
    <t>Business Expenses (Koolikai)|Car &amp; Truck (Business)</t>
  </si>
  <si>
    <t>Business Expenses (Koolikai)|Discounts (Business)</t>
  </si>
  <si>
    <t>Business Expenses (Koolikai)|Insurance (Business)</t>
  </si>
  <si>
    <t>Business Expenses (Koolikai)|Meals</t>
  </si>
  <si>
    <t>Business Expenses (Koolikai)|Meals &amp; Entertainment (Business)</t>
  </si>
  <si>
    <t>Business Expenses (Koolikai)|Misc. Expense (Business)</t>
  </si>
  <si>
    <t>Business Expenses (Koolikai)|Mortgage (Business)</t>
  </si>
  <si>
    <t>Business Expenses (Koolikai)|Office Expenses (Business)</t>
  </si>
  <si>
    <t>Business Expenses (Koolikai)|Postage and Delivery (Business)</t>
  </si>
  <si>
    <t>Business Expenses (Koolikai)|Printing and Reproduction (Business)</t>
  </si>
  <si>
    <t>Business Expenses (Koolikai)|Prof and Legal Fees</t>
  </si>
  <si>
    <t>Business Expenses (Koolikai)|Projects</t>
  </si>
  <si>
    <t>Business Expenses (Koolikai)|Reimbursable Expense</t>
  </si>
  <si>
    <t>Business Expenses (Koolikai)|Repairs</t>
  </si>
  <si>
    <t>Business Expenses (Koolikai)|Security Deposit</t>
  </si>
  <si>
    <t>Business Expenses (Koolikai)|Supplies (Business)</t>
  </si>
  <si>
    <t>Business Expenses (Koolikai)|Taxes (Business)</t>
  </si>
  <si>
    <t>Business Expenses (Koolikai)|Taxes (Business)|Licenses  (Business)</t>
  </si>
  <si>
    <t>Business Expenses (Koolikai)|Taxes (Business)|Local Tax (Business)</t>
  </si>
  <si>
    <t>Business Expenses (Koolikai)|Taxes (Business)|ZZZZZ</t>
  </si>
  <si>
    <t>Business Expenses (Koolikai)|Tools</t>
  </si>
  <si>
    <t>Business Expenses (Koolikai)|Travel (Business)</t>
  </si>
  <si>
    <t>Business Expenses (Koolikai)|Utilities (Business)</t>
  </si>
  <si>
    <t>Business Expenses (Koolikai)|Utilities (Business)|ZZZZZ</t>
  </si>
  <si>
    <t>Business Expenses (Koolikai)|ZZZZZ</t>
  </si>
  <si>
    <t>Charity|Charity (Cash)</t>
  </si>
  <si>
    <t>Charity|Charity (Property)</t>
  </si>
  <si>
    <t>Charity|Gift</t>
  </si>
  <si>
    <t>Charity|ZZZZZ</t>
  </si>
  <si>
    <t>Education|Books &amp; Supplies</t>
  </si>
  <si>
    <t>Education|Community Education</t>
  </si>
  <si>
    <t>Education|Student Loan</t>
  </si>
  <si>
    <t>Education|Tuition</t>
  </si>
  <si>
    <t>Education|ZZZZZ</t>
  </si>
  <si>
    <t>Entertainment|Amusement</t>
  </si>
  <si>
    <t>Entertainment|Arts</t>
  </si>
  <si>
    <t>Entertainment|Movies &amp; DVDs</t>
  </si>
  <si>
    <t>Entertainment|Music</t>
  </si>
  <si>
    <t>Entertainment|Newspaper &amp; Magazines</t>
  </si>
  <si>
    <t>Entertainment|ZZZZZ</t>
  </si>
  <si>
    <t>Financial|Financial Advisor</t>
  </si>
  <si>
    <t>Financial|Life Insurance</t>
  </si>
  <si>
    <t>Financial|ZZZZZ</t>
  </si>
  <si>
    <t>Food &amp; Dining|Alcohol &amp; Bars</t>
  </si>
  <si>
    <t>Food &amp; Dining|Coffee Shops</t>
  </si>
  <si>
    <t>Food &amp; Dining|Fast Food</t>
  </si>
  <si>
    <t>Food &amp; Dining|Groceries</t>
  </si>
  <si>
    <t>Food &amp; Dining|Restaurants</t>
  </si>
  <si>
    <t>Food &amp; Dining|ZZZZZ</t>
  </si>
  <si>
    <t>Health &amp; Fitness|Dentist</t>
  </si>
  <si>
    <t>Health &amp; Fitness|Doctor</t>
  </si>
  <si>
    <t>Health &amp; Fitness|Eyecare</t>
  </si>
  <si>
    <t>Health &amp; Fitness|Gym</t>
  </si>
  <si>
    <t>Health &amp; Fitness|Health Insurance</t>
  </si>
  <si>
    <t>Health &amp; Fitness|Pharmacy</t>
  </si>
  <si>
    <t>Health &amp; Fitness|Sports</t>
  </si>
  <si>
    <t>Health &amp; Fitness|ZZZZZ</t>
  </si>
  <si>
    <t>Home|Furnishings</t>
  </si>
  <si>
    <t>Home|HOA Dues</t>
  </si>
  <si>
    <t>Home|Home Improvement</t>
  </si>
  <si>
    <t>Home|Home Insurance</t>
  </si>
  <si>
    <t>Home|Home Services</t>
  </si>
  <si>
    <t>Home|Home Supplies</t>
  </si>
  <si>
    <t>Home|Lawn &amp; Garden</t>
  </si>
  <si>
    <t>Home|Mortgage</t>
  </si>
  <si>
    <t>Home|Rent</t>
  </si>
  <si>
    <t>Home|ZZZZZ</t>
  </si>
  <si>
    <t>Kids|Allowance</t>
  </si>
  <si>
    <t>Kids|American Funds 529A</t>
  </si>
  <si>
    <t>Kids|Baby Supplies</t>
  </si>
  <si>
    <t>Kids|Babysitter</t>
  </si>
  <si>
    <t>Kids|Child Support</t>
  </si>
  <si>
    <t>Kids|Clothing</t>
  </si>
  <si>
    <t>Kids|Daycare</t>
  </si>
  <si>
    <t>Kids|Kids Activities</t>
  </si>
  <si>
    <t>Kids|Toys</t>
  </si>
  <si>
    <t>Kids|ZZZZZ</t>
  </si>
  <si>
    <t>Personal Care|Beauty &amp; Makeup</t>
  </si>
  <si>
    <t>Personal Care|Hair</t>
  </si>
  <si>
    <t>Personal Care|Laundry</t>
  </si>
  <si>
    <t>Personal Care|Spa &amp; Massage</t>
  </si>
  <si>
    <t>Personal Care|ZZZZZ</t>
  </si>
  <si>
    <t>Pets|Pet Food &amp; Supplies</t>
  </si>
  <si>
    <t>Pets|Pet Grooming</t>
  </si>
  <si>
    <t>Pets|Vet</t>
  </si>
  <si>
    <t>Pets|ZZZZZ</t>
  </si>
  <si>
    <t>Projects|Electric Car Setup</t>
  </si>
  <si>
    <t>Projects|Landscaping</t>
  </si>
  <si>
    <t>Projects|ZZZZZ</t>
  </si>
  <si>
    <t>Shopping|Books</t>
  </si>
  <si>
    <t>Shopping|Clothing</t>
  </si>
  <si>
    <t>Shopping|Clothing|Accessories</t>
  </si>
  <si>
    <t>Shopping|Clothing|ZZZZZ</t>
  </si>
  <si>
    <t>Shopping|Electronics &amp; Software</t>
  </si>
  <si>
    <t>Shopping|Hobbies</t>
  </si>
  <si>
    <t>Shopping|Hobbies|Camping Equipment</t>
  </si>
  <si>
    <t>Shopping|Hobbies|ZZZZZ</t>
  </si>
  <si>
    <t>Shopping|Sporting Goods</t>
  </si>
  <si>
    <t>Shopping|ZZZZZ</t>
  </si>
  <si>
    <t>Tax|Fed</t>
  </si>
  <si>
    <t>Tax|Property Tax</t>
  </si>
  <si>
    <t>Tax|State</t>
  </si>
  <si>
    <t>Tax|ZZZZZ</t>
  </si>
  <si>
    <t>Vacation|Activities</t>
  </si>
  <si>
    <t>Vacation|Food</t>
  </si>
  <si>
    <t>Vacation|Lodging</t>
  </si>
  <si>
    <t>Vacation|Other</t>
  </si>
  <si>
    <t>Vacation|Rental Car &amp; Taxi</t>
  </si>
  <si>
    <t>Vacation|Transportation</t>
  </si>
  <si>
    <t>Vacation|Trinkets</t>
  </si>
  <si>
    <t>Vacation|ZZZZZ</t>
  </si>
  <si>
    <t>Work Expense|Foreign Transaction Fee</t>
  </si>
  <si>
    <t>Work Expense|Ground Transportation</t>
  </si>
  <si>
    <t>Work Expense|Lodging</t>
  </si>
  <si>
    <t>Work Expense|Meals</t>
  </si>
  <si>
    <t>Work Expense|Other</t>
  </si>
  <si>
    <t>Work Expense|Reimbursement</t>
  </si>
  <si>
    <t>Work Expense|Travel</t>
  </si>
  <si>
    <t>Work Expense|ZZZZZ</t>
  </si>
  <si>
    <t>Hidden</t>
  </si>
  <si>
    <t>Irregular</t>
  </si>
  <si>
    <t>Unplanned</t>
  </si>
  <si>
    <t>None</t>
  </si>
  <si>
    <t>[First Tech - Short Term Emergency (5400]</t>
  </si>
  <si>
    <t>[Unspecified Account]</t>
  </si>
  <si>
    <t>Personal Care|Miscellaneous</t>
  </si>
  <si>
    <t>Expenses</t>
  </si>
  <si>
    <t>Difference</t>
  </si>
  <si>
    <t>Vested</t>
  </si>
  <si>
    <t>Next Vest</t>
  </si>
  <si>
    <t>Value</t>
  </si>
  <si>
    <t>Award</t>
  </si>
  <si>
    <t>Remaining</t>
  </si>
  <si>
    <t>Total remaining to vest:</t>
  </si>
  <si>
    <t>Total vest Aug 2014:</t>
  </si>
  <si>
    <t># Shares</t>
  </si>
  <si>
    <t>Today's Stock Price:</t>
  </si>
  <si>
    <t>Business Expenses (Koolikai)|Cell Phone</t>
  </si>
  <si>
    <t>Business Expenses (Koolikai)|Internet</t>
  </si>
  <si>
    <t>Name</t>
  </si>
  <si>
    <t>Limit</t>
  </si>
  <si>
    <t>Date</t>
  </si>
  <si>
    <t>Amount</t>
  </si>
  <si>
    <t>Status</t>
  </si>
  <si>
    <t>Payee</t>
  </si>
  <si>
    <t>Memo</t>
  </si>
  <si>
    <t>Check Number</t>
  </si>
  <si>
    <t>Split</t>
  </si>
  <si>
    <t>Description</t>
  </si>
  <si>
    <t>Tax Related</t>
  </si>
  <si>
    <t>Tax Rule</t>
  </si>
  <si>
    <t>Symbol</t>
  </si>
  <si>
    <t>Security</t>
  </si>
  <si>
    <t>AmericanWest (1186)</t>
  </si>
  <si>
    <t>Bank</t>
  </si>
  <si>
    <t>Capital One - Investment (6759)</t>
  </si>
  <si>
    <t>Capital One - Long Term Emergency (1201)</t>
  </si>
  <si>
    <t>Capital One - Secondary Savings (3126)</t>
  </si>
  <si>
    <t>Capital One - Vacation (4959)</t>
  </si>
  <si>
    <t>First Tech - Checking (5544)</t>
  </si>
  <si>
    <t>First Tech - Savings (5455)</t>
  </si>
  <si>
    <t>First Tech - Secondary Savings (5401)</t>
  </si>
  <si>
    <t>First Tech - Short Term Emergency (5400)</t>
  </si>
  <si>
    <t>Koolikai - Checking XX2129</t>
  </si>
  <si>
    <t>Koolikai - Sec Dep XX1200</t>
  </si>
  <si>
    <t>Schwab - Checking (9784)</t>
  </si>
  <si>
    <t>American Express (Costco)</t>
  </si>
  <si>
    <t>CCard</t>
  </si>
  <si>
    <t>Discover Card</t>
  </si>
  <si>
    <t>Koolikai Credit Card</t>
  </si>
  <si>
    <t>Mastercard (Angela)</t>
  </si>
  <si>
    <t>MasterCard (Capital One)</t>
  </si>
  <si>
    <t>Overdraft Visa XX4740</t>
  </si>
  <si>
    <t>Premera Health Care Payment</t>
  </si>
  <si>
    <t>REI Mastercard XX1787</t>
  </si>
  <si>
    <t>Target Red Card</t>
  </si>
  <si>
    <t>Cash Account</t>
  </si>
  <si>
    <t>Cash</t>
  </si>
  <si>
    <t>Morgan Stanley Smith Barney</t>
  </si>
  <si>
    <t>Port</t>
  </si>
  <si>
    <t>X</t>
  </si>
  <si>
    <t>Business Income (Koolikai):Rent</t>
  </si>
  <si>
    <t>*</t>
  </si>
  <si>
    <t>Business Expenses (Koolikai):Repairs</t>
  </si>
  <si>
    <t>Balanced</t>
  </si>
  <si>
    <t>Capital One (Interest Income)</t>
  </si>
  <si>
    <t>INT</t>
  </si>
  <si>
    <t>Quarterly Bonus</t>
  </si>
  <si>
    <t>ACH Deposit--MICROSOFT  - EDIPAYMENT</t>
  </si>
  <si>
    <t>Bills &amp; Utilities:Utilities</t>
  </si>
  <si>
    <t>Phinney Ridge CDC</t>
  </si>
  <si>
    <t>ACH Debit--PHINNEY RIDGE LU 504759859 - CONTRIBUTN</t>
  </si>
  <si>
    <t>Kids:Daycare</t>
  </si>
  <si>
    <t>Business Expenses (Koolikai):Mortgage (Business)</t>
  </si>
  <si>
    <t>NYCB Mortgage Company</t>
  </si>
  <si>
    <t>Mortgage for 7015</t>
  </si>
  <si>
    <t>Home:Mortgage</t>
  </si>
  <si>
    <t>Capital One (Autopay)</t>
  </si>
  <si>
    <t>Kids:Babysitter</t>
  </si>
  <si>
    <t>Seattle City Light</t>
  </si>
  <si>
    <t>Puget Sound Energy</t>
  </si>
  <si>
    <t>Cleaning Authority, The</t>
  </si>
  <si>
    <t>Home:Home Services</t>
  </si>
  <si>
    <t>Liberty Mutual (Umbrella)</t>
  </si>
  <si>
    <t>ACH Debit--LIBERTY MUTUAL  - PAYMENT</t>
  </si>
  <si>
    <t>Bills &amp; Utilities:Insurance (Umbrella)</t>
  </si>
  <si>
    <t>ACH Debit--AMEX EPayment AM - ACH PMT</t>
  </si>
  <si>
    <t>Eurest</t>
  </si>
  <si>
    <t>ATM Withdrawal--FIRST TECH 5854 154TH PL NE       REDMOND      W</t>
  </si>
  <si>
    <t>Food &amp; Dining:Restaurants</t>
  </si>
  <si>
    <t>Check--</t>
  </si>
  <si>
    <t>Verizon Wireless</t>
  </si>
  <si>
    <t>Business Expenses (Koolikai):Cell Phone</t>
  </si>
  <si>
    <t>ACH Debit--DISCOVER DC PYMNTS DCIDPIINT - E-PAYMENT</t>
  </si>
  <si>
    <t>American Funds Amcap</t>
  </si>
  <si>
    <t>ACH Debit-- AMERICAN FUNDS 0001002:  AMCAP-529A - INVESTMENT</t>
  </si>
  <si>
    <t>Kids:American Funds 529A</t>
  </si>
  <si>
    <t>Shopping:Electronics &amp; Software</t>
  </si>
  <si>
    <t>Food &amp; Dining:Groceries</t>
  </si>
  <si>
    <t>ACH Debit--CITY OF SEATTLE  - 1 - SCL De</t>
  </si>
  <si>
    <t>Wells Fargo Home Mortgage</t>
  </si>
  <si>
    <t>Kids:Toys</t>
  </si>
  <si>
    <t>Shared Branch Mobile</t>
  </si>
  <si>
    <t>Vacation:Lodging</t>
  </si>
  <si>
    <t>REI (Autopayment)</t>
  </si>
  <si>
    <t>ACH Debit--CARDMEMBER SERV  - WEB PYMT</t>
  </si>
  <si>
    <t>Sue Shoedel</t>
  </si>
  <si>
    <t>ACH Debit--WF HOME MTG ACH - AUTO PAY</t>
  </si>
  <si>
    <t>ACH Debit--TARGET CARD SRVC 001 - AUTO PYMT</t>
  </si>
  <si>
    <t>ACH Debit--THE CLEANING AUT  - ONLINE PMT</t>
  </si>
  <si>
    <t>Nissan Lease</t>
  </si>
  <si>
    <t>ACH Debit--NMAC LEASE  - ONLINE PMT</t>
  </si>
  <si>
    <t>Auto &amp; Transport:Auto Lease Payment</t>
  </si>
  <si>
    <t>UW Medical Center</t>
  </si>
  <si>
    <t>Health &amp; Fitness:Sports</t>
  </si>
  <si>
    <t>Home:Furnishings</t>
  </si>
  <si>
    <t>Business Expenses (Koolikai):Postage and Delivery (Business)</t>
  </si>
  <si>
    <t>ACH Deposit--PREMERA FUNDING  - CYC-CLAIMS</t>
  </si>
  <si>
    <t>ACH Deposit--Cancer Research  - Payroll</t>
  </si>
  <si>
    <t>Premera Funding  - Cyc-claims</t>
  </si>
  <si>
    <t>Microsoft (Paystub)</t>
  </si>
  <si>
    <t>American Express (Autopay)</t>
  </si>
  <si>
    <t>CRAB (Paystub)</t>
  </si>
  <si>
    <t>American Funds 0001002:  Amcap-</t>
  </si>
  <si>
    <t>ACH Debit--CAPITAL ONE  - CRCARDPMT</t>
  </si>
  <si>
    <t>Target (Autopay)</t>
  </si>
  <si>
    <t>Health &amp; Fitness:Doctor</t>
  </si>
  <si>
    <t>Target</t>
  </si>
  <si>
    <t>Cardmember Serv  - Web Pymt</t>
  </si>
  <si>
    <t>Stay Fit Microso</t>
  </si>
  <si>
    <t>Stay Fit reimbursement for shoes, running pants, and ski passes.</t>
  </si>
  <si>
    <t>9602 Mortgage Payment</t>
  </si>
  <si>
    <t>7231 Mortgage Payment</t>
  </si>
  <si>
    <t>Target Card Srvc 001 - Auto Pymt</t>
  </si>
  <si>
    <t>Duplicate charge?</t>
  </si>
  <si>
    <t>Children's University Medical Group</t>
  </si>
  <si>
    <t>Duplicate opthamology charge</t>
  </si>
  <si>
    <t>ACH Debit--PUGET SOUND ENER DIRECT DEBITING - PSE BILL  12502672</t>
  </si>
  <si>
    <t>Chase  - Autopay</t>
  </si>
  <si>
    <t>ACH Debit--NYCB MORTGAGE CO 678 - NYCB MORTG</t>
  </si>
  <si>
    <t>Business Expenses (Koolikai):Mortgage (Business)/9602</t>
  </si>
  <si>
    <t>Business Expenses (Koolikai):Mortgage (Business)/7231</t>
  </si>
  <si>
    <t>ACH Debit--PUGET SOUND ENER DIRECT DEBITING - PSE BILL  35000281</t>
  </si>
  <si>
    <t>ACH Debit--CHASE  - AUTOPAYBUS</t>
  </si>
  <si>
    <t>Aaron Ausland</t>
  </si>
  <si>
    <t>Automatic Payment - Thank</t>
  </si>
  <si>
    <t>Valerie Shaibley</t>
  </si>
  <si>
    <t>Business Income (Koolikai):Rent/7231</t>
  </si>
  <si>
    <t>Business Expenses (Koolikai):Utilities (Business)</t>
  </si>
  <si>
    <t>Business Expenses (Koolikai):Utilities (Business)/9602</t>
  </si>
  <si>
    <t>Business Expenses (Koolikai):Utilities (Business)/7231</t>
  </si>
  <si>
    <t>Business Income (Koolikai):Rent/9602</t>
  </si>
  <si>
    <t>Chase - Koolikai (Autopay)</t>
  </si>
  <si>
    <t>Refund of escrow overage</t>
  </si>
  <si>
    <t>Repayment of water/sewer</t>
  </si>
  <si>
    <t>Deposit--Shared Branch Mobile Deposit          First Tech FC CA</t>
  </si>
  <si>
    <t>7231 payment toward $688.66</t>
  </si>
  <si>
    <t>First Tech (Dividend)</t>
  </si>
  <si>
    <t>Bank Fees &amp; Charges:ATM Fee</t>
  </si>
  <si>
    <t>Personal Care:Hair</t>
  </si>
  <si>
    <t>Interest Paid</t>
  </si>
  <si>
    <t>Costco</t>
  </si>
  <si>
    <t>Groceries</t>
  </si>
  <si>
    <t>Ken's Market (ATM)</t>
  </si>
  <si>
    <t>Boys haircuts</t>
  </si>
  <si>
    <t>ATM Fee Refund</t>
  </si>
  <si>
    <t>Umpqua Bank (ATM)</t>
  </si>
  <si>
    <t>Boy's haircuts</t>
  </si>
  <si>
    <t>Alfi's Food &amp; Deli</t>
  </si>
  <si>
    <t>Soup kitchen</t>
  </si>
  <si>
    <t>Umpqua Bank Greenw</t>
  </si>
  <si>
    <t>Unspecified Account</t>
  </si>
  <si>
    <t>Auto &amp; Transport:Gas &amp; Fuel</t>
  </si>
  <si>
    <t>Vacation:Transportation</t>
  </si>
  <si>
    <t>Costco Whse Seattle</t>
  </si>
  <si>
    <t>Returned lift tickets</t>
  </si>
  <si>
    <t>015317000   2065460480</t>
  </si>
  <si>
    <t>Personal Care:Spa &amp; Massage</t>
  </si>
  <si>
    <t>AAA Membership</t>
  </si>
  <si>
    <t>Discover Card (Autopay)</t>
  </si>
  <si>
    <t>Entertainment:Movies &amp; DVDs</t>
  </si>
  <si>
    <t>Aaa</t>
  </si>
  <si>
    <t>Auto &amp; Transport:Auto Insurance</t>
  </si>
  <si>
    <t>Directpay Full Balance</t>
  </si>
  <si>
    <t>Windows</t>
  </si>
  <si>
    <t>Super Market Madness</t>
  </si>
  <si>
    <t>Home Depot</t>
  </si>
  <si>
    <t>Lowe's</t>
  </si>
  <si>
    <t>Safeway</t>
  </si>
  <si>
    <t>Business Expenses (Koolikai):Office Expenses (Business)</t>
  </si>
  <si>
    <t>Walgreens</t>
  </si>
  <si>
    <t>2011: CREDIT-CASH BACK REWARD</t>
  </si>
  <si>
    <t>Ken's Market</t>
  </si>
  <si>
    <t>Capital One (Cash Back)</t>
  </si>
  <si>
    <t>Starbucks</t>
  </si>
  <si>
    <t>Diamond Parking</t>
  </si>
  <si>
    <t>Auto &amp; Transport:Parking</t>
  </si>
  <si>
    <t>Fred Meyer</t>
  </si>
  <si>
    <t>Trader Joe's</t>
  </si>
  <si>
    <t>Shopping:Clothing</t>
  </si>
  <si>
    <t>Icon Grill</t>
  </si>
  <si>
    <t>Top Ten Toys</t>
  </si>
  <si>
    <t>Wendy's</t>
  </si>
  <si>
    <t>Bartell Drug</t>
  </si>
  <si>
    <t>Barnes &amp; Noble</t>
  </si>
  <si>
    <t>Taproot Theatre Co</t>
  </si>
  <si>
    <t>Bed Bath &amp; Beyond</t>
  </si>
  <si>
    <t>Comcast</t>
  </si>
  <si>
    <t>Bills &amp; Utilities:Television</t>
  </si>
  <si>
    <t>Business Expenses (Koolikai):Internet</t>
  </si>
  <si>
    <t>Bills &amp; Utilities:Home Phone</t>
  </si>
  <si>
    <t>Liberty Mutual</t>
  </si>
  <si>
    <t>Auto &amp; Transport:Tolls</t>
  </si>
  <si>
    <t>Kids:Kids Activities</t>
  </si>
  <si>
    <t>Recreation.Gov</t>
  </si>
  <si>
    <t>Amazon</t>
  </si>
  <si>
    <t>Twirl Play Cafe</t>
  </si>
  <si>
    <t>Seattle Park Seattle</t>
  </si>
  <si>
    <t>Imagine Childrens Museum</t>
  </si>
  <si>
    <t>Stardust Salon</t>
  </si>
  <si>
    <t>Party @ Display &amp; Costume</t>
  </si>
  <si>
    <t>Pie Seattle Center</t>
  </si>
  <si>
    <t>Auto &amp; Transport:Service &amp; Parts</t>
  </si>
  <si>
    <t>Vios Cafe 3rd</t>
  </si>
  <si>
    <t>Books</t>
  </si>
  <si>
    <t>Mcdonald's</t>
  </si>
  <si>
    <t>Oliver Twist Seattle</t>
  </si>
  <si>
    <t>Subway</t>
  </si>
  <si>
    <t>Premier Parking</t>
  </si>
  <si>
    <t>Thehilife Seattle Wa</t>
  </si>
  <si>
    <t>Fresh Table Met</t>
  </si>
  <si>
    <t>Shopping:Books</t>
  </si>
  <si>
    <t>Chargepoint Ca Chargepoint</t>
  </si>
  <si>
    <t>Sears</t>
  </si>
  <si>
    <t>Health &amp; Fitness:Pharmacy</t>
  </si>
  <si>
    <t>Portage Bay Cafe</t>
  </si>
  <si>
    <t>Good Go Replenishment</t>
  </si>
  <si>
    <t>Sq Playdate Cafe</t>
  </si>
  <si>
    <t>2011: SAFEWAY STORE 00018457 SEATTLE WA 98103 USA</t>
  </si>
  <si>
    <t>2011: KEN'S MARKET #75-116 SEATTLE WA 98103 USA</t>
  </si>
  <si>
    <t>2011: PREMIER PARKING MARION NASHVILLE TN 372093602 USA</t>
  </si>
  <si>
    <t>2011: SEATTLE 684-PARK SEATTLE WA 98104 USA</t>
  </si>
  <si>
    <t>2011: FRED-MEYER #0122 SEATTLE WA 98117 USA</t>
  </si>
  <si>
    <t>2011: TRADER JOE'S #147 QPS SEATTLE WA 98107 USA</t>
  </si>
  <si>
    <t>Third Place Books</t>
  </si>
  <si>
    <t>2011: BARNES &amp; NOBLE #2280 SEATTLE WA 98125 USA</t>
  </si>
  <si>
    <t>2011: PIE - SEATTLE CENTER SEATTLE WA 98109 USA</t>
  </si>
  <si>
    <t>Usps</t>
  </si>
  <si>
    <t>2011: FRED-MEYER #0608 SEATTLE WA 98107 USA</t>
  </si>
  <si>
    <t>Ivars Seafood</t>
  </si>
  <si>
    <t>2011: 021 BALLARD SFB SEATTLE WA 98107 USA</t>
  </si>
  <si>
    <t>2011: COMCAST CABLE COMM 800-COMCAST WA 98103 USA</t>
  </si>
  <si>
    <t>2011: AMAZON MKTPLACE PMTS AMZN.COM/BILL WA 98108 USA</t>
  </si>
  <si>
    <t>Menchie's</t>
  </si>
  <si>
    <t>2011: MENCHIE`S FROZEN YOGUR KIRKLAND WA 98033 USA</t>
  </si>
  <si>
    <t>2011: WALGREENS #3515 SEATTLE WA 98103 USA</t>
  </si>
  <si>
    <t>Arena Sports Seattle</t>
  </si>
  <si>
    <t>2011: ARENA SPORTS SEATTLE WA 98115 USA</t>
  </si>
  <si>
    <t>2011: VIOS CAFE AT 3RD PLACE SEATTLE WA 98115 USA</t>
  </si>
  <si>
    <t>Furnace filter, and toilet valve repair kit</t>
  </si>
  <si>
    <t>2011: DIAMOND PARKING A096 SEATTLE WA 98101 USA</t>
  </si>
  <si>
    <t>Msft Code Msbill</t>
  </si>
  <si>
    <t>Free App?  Refunded later</t>
  </si>
  <si>
    <t>Cafe Remond Wa</t>
  </si>
  <si>
    <t>2011: CAFE 50 11097474 REMOND WA 98052 USA</t>
  </si>
  <si>
    <t>Cards for Angela's birthday</t>
  </si>
  <si>
    <t>Nurture Shock</t>
  </si>
  <si>
    <t>2011: THEHILIFE SEATTLE WA 98107 USA</t>
  </si>
  <si>
    <t>Microsoft Code Msbill</t>
  </si>
  <si>
    <t>Free app?</t>
  </si>
  <si>
    <t>Amc</t>
  </si>
  <si>
    <t>2011: AMC ALDERWOOD 16 #2629 LYNNWOOD WA 98037 USA</t>
  </si>
  <si>
    <t>2011: PORTAGE BAY CAFE &amp; SEATTLE WA 98107 USA</t>
  </si>
  <si>
    <t>Clarks Store</t>
  </si>
  <si>
    <t>2011: CLARKS STORE #542 LYNNWOOD WA 98037 USA</t>
  </si>
  <si>
    <t>Dsw Designer Shoe Warehouse</t>
  </si>
  <si>
    <t>2011: DSW SEATTLE WA 98125 USA</t>
  </si>
  <si>
    <t>2011: GOOD2GO REPLENISHMENT 08669368246 WA 98105 USA</t>
  </si>
  <si>
    <t>2011: CHARGEPOINT, INC 04083703802 CA 95008 USA</t>
  </si>
  <si>
    <t>Phonos</t>
  </si>
  <si>
    <t>Refrigerator repair</t>
  </si>
  <si>
    <t>Business Expenses (Koolikai):Repairs/7231</t>
  </si>
  <si>
    <t>Msft Account Wa</t>
  </si>
  <si>
    <t>Account validation</t>
  </si>
  <si>
    <t>El Gaucho</t>
  </si>
  <si>
    <t>2011: EL GAUCHO SEATTLE WA 98121 USA</t>
  </si>
  <si>
    <t>2011: OLIVER'S TWIST SEATTLE WA 98103 USA</t>
  </si>
  <si>
    <t>Pacific Science Center The</t>
  </si>
  <si>
    <t>2011: PACIFIC SCIENCE CENTER SEATTLE WA 98109 USA</t>
  </si>
  <si>
    <t>2011: SAFEWAY STORE00011437 SEATTLE WA 98117 USA</t>
  </si>
  <si>
    <t>Columbus 004</t>
  </si>
  <si>
    <t>Growth hormone</t>
  </si>
  <si>
    <t>Taqueria Guaymas</t>
  </si>
  <si>
    <t>2011: TAQUERIA GUAYMAS SEATTLE WA 98103 USA</t>
  </si>
  <si>
    <t>2011: TAPROOT THEATRE SEATTLE WA 98103 USA</t>
  </si>
  <si>
    <t>2011: PORTAGE BAY CAFE AN SEATTLE WA 98109 USA</t>
  </si>
  <si>
    <t>Las Brisas</t>
  </si>
  <si>
    <t>2011: LAS BRISAS INC EDMONDS WA 98020 USA</t>
  </si>
  <si>
    <t>Seattle Parks And Recreation</t>
  </si>
  <si>
    <t>Toddler room at Greenlake</t>
  </si>
  <si>
    <t>Officemax</t>
  </si>
  <si>
    <t>Receipt holder, and other supplies</t>
  </si>
  <si>
    <t>2011: OFFICE MAX SEATTLE WA 98107 USA</t>
  </si>
  <si>
    <t>2011: MCDONALD'S M7125 OF BELLEVUE WA 98005 USA</t>
  </si>
  <si>
    <t>2011: SUBWAY 03042314 SEATTLE WA 98133 USA</t>
  </si>
  <si>
    <t>Birthday party for Josh and Zach</t>
  </si>
  <si>
    <t>2011: WENDYS-SWL #0415 BELLINGHAM WA 98226 USA</t>
  </si>
  <si>
    <t>2011: SQ *PLAYDATE CAFE Lynnwood WA 98036 USA</t>
  </si>
  <si>
    <t>Busara Thai Cuisine</t>
  </si>
  <si>
    <t>2011: BUSARA THAI CUISINE BELLINGHAM WA 98225 USA</t>
  </si>
  <si>
    <t>Garbage disposal for Mom</t>
  </si>
  <si>
    <t>2011: PARTY @ DISPLAY &amp; C SEATTLE WA 98125 USA</t>
  </si>
  <si>
    <t>Tinyprints</t>
  </si>
  <si>
    <t>2011: TINYPRINTS.COM 08773009256 CA 94085 USA</t>
  </si>
  <si>
    <t>2011: LIBERTY MUTUAL 888-398-8924 MA 02116 USA</t>
  </si>
  <si>
    <t>2011: FRESH TABLE-MET PARK SEATTLE WA 98101 USA</t>
  </si>
  <si>
    <t>2011: USPS 54761300135103035 SEATTLE WA 98103 USA</t>
  </si>
  <si>
    <t>Brady and Jack presents</t>
  </si>
  <si>
    <t>2011: ICON GRILL SEATTLE WA 98101 USA</t>
  </si>
  <si>
    <t>Rudy's Barber Shop</t>
  </si>
  <si>
    <t>2011: RUDYS BARBER SHOP - LA LOS ANGELES CA 90027 USA</t>
  </si>
  <si>
    <t>In The Red</t>
  </si>
  <si>
    <t>2011: IN THE RED WINE BAR CA SEATTLE WA 98103 USA</t>
  </si>
  <si>
    <t>United Airlines</t>
  </si>
  <si>
    <t>#Sheryl's Wedding#</t>
  </si>
  <si>
    <t>Craft-e-family</t>
  </si>
  <si>
    <t>2011: CRAFT E FAMILY LLC 317-996-2124 IN 46158 USA</t>
  </si>
  <si>
    <t>Fire insurance for 7231</t>
  </si>
  <si>
    <t>Swedish Medical First</t>
  </si>
  <si>
    <t>Zach prescription pain killer</t>
  </si>
  <si>
    <t>Valentines</t>
  </si>
  <si>
    <t>Republic Parking Seattle</t>
  </si>
  <si>
    <t>Parking for Zach's surgery</t>
  </si>
  <si>
    <t>2011: SEATTLE CITY LIGHT 02066843000 WA 98124 USA</t>
  </si>
  <si>
    <t>2011: DIAMOND PARKING WE09 EVERETT WA 98106 USA</t>
  </si>
  <si>
    <t>Gainsbourg</t>
  </si>
  <si>
    <t>2011: GAINSBOURG SEATTLE WA 98103 USA</t>
  </si>
  <si>
    <t>2011: IMAGINE CHILDREN'S MUS EVERETT WA 98201 USA</t>
  </si>
  <si>
    <t>Skillet Counter Seattle</t>
  </si>
  <si>
    <t>2011: SKILLET COUNTER SEATTLE WA 98109 USA</t>
  </si>
  <si>
    <t>2011: SQ *LISA AT STARDUST S Seattle WA 98103 USA</t>
  </si>
  <si>
    <t>2011: ESI PHARM COLUMBUS 08002822881 OH 43228 USA</t>
  </si>
  <si>
    <t>#Kalaloch 2014#</t>
  </si>
  <si>
    <t>Piano and guitar for boys</t>
  </si>
  <si>
    <t>2011: SQ *STARBUCKS #00104 S Seattle WA 981011448 USA</t>
  </si>
  <si>
    <t>Wsferries Cl Seattle</t>
  </si>
  <si>
    <t>#Family Reunion#</t>
  </si>
  <si>
    <t>Wsferries Mu Seattle</t>
  </si>
  <si>
    <t>Goose Community Clinton</t>
  </si>
  <si>
    <t>Jiffy Lube</t>
  </si>
  <si>
    <t>Oil change for the RAV</t>
  </si>
  <si>
    <t>ConsumerReports.org (via 1151 account)</t>
  </si>
  <si>
    <t>Refund of insurance over payment</t>
  </si>
  <si>
    <t>Bedding, lamps, etc. for kids new bedroom</t>
  </si>
  <si>
    <t>Business Income (Koolikai):Late Fees</t>
  </si>
  <si>
    <t>Business Expenses (Koolikai):Security Deposit</t>
  </si>
  <si>
    <t>@CAT:@</t>
  </si>
  <si>
    <t>@BAL:47079.27@;@CAT:@</t>
  </si>
  <si>
    <t>Seattle Public Utilities</t>
  </si>
  <si>
    <t>ACH Debit--CITY OF SEATTLE  - 2 - SPU De</t>
  </si>
  <si>
    <t>Tax:Fed</t>
  </si>
  <si>
    <t>Health &amp; Fitness:Dentist</t>
  </si>
  <si>
    <t>@C@</t>
  </si>
  <si>
    <t>Patricia Anderson</t>
  </si>
  <si>
    <t>Education:Community Education</t>
  </si>
  <si>
    <t>Rent for 7231</t>
  </si>
  <si>
    <t>Cell phone bill</t>
  </si>
  <si>
    <t>Financial:Financial Advisor</t>
  </si>
  <si>
    <t>Business Expenses (Koolikai):Projects</t>
  </si>
  <si>
    <t>Kids:Clothing</t>
  </si>
  <si>
    <t>Work Expense:Other</t>
  </si>
  <si>
    <t>Work Expense:Reimbursement</t>
  </si>
  <si>
    <t>Financial:Life Insurance</t>
  </si>
  <si>
    <t>Bank Fees &amp; Charges:Bank Fee</t>
  </si>
  <si>
    <t>Projects:Landscaping</t>
  </si>
  <si>
    <t>Work Expense:Meals</t>
  </si>
  <si>
    <t>Charity:Charity (Cash)</t>
  </si>
  <si>
    <t>Seattle Children's Hospital</t>
  </si>
  <si>
    <t>Work Expense:Travel</t>
  </si>
  <si>
    <t>September rent</t>
  </si>
  <si>
    <t>Business Income (Koolikai):Rent/9602:Tax Related</t>
  </si>
  <si>
    <t>Business Expenses (Koolikai):Repairs/9602</t>
  </si>
  <si>
    <t>@FD:2/1/14@ @CAT:@</t>
  </si>
  <si>
    <t>Dividend</t>
  </si>
  <si>
    <t>Credit Dividend--</t>
  </si>
  <si>
    <t>Schwab (ATM Fee Refund)</t>
  </si>
  <si>
    <t>Schwab (Interest Income)</t>
  </si>
  <si>
    <t>Vacation:Other</t>
  </si>
  <si>
    <t>Work Expense:Ground Transportation</t>
  </si>
  <si>
    <t>Costco (Optical)</t>
  </si>
  <si>
    <t>Health &amp; Fitness:Eyecare</t>
  </si>
  <si>
    <t>Vacation:Food</t>
  </si>
  <si>
    <t>Personal Care:Beauty &amp; Makeup</t>
  </si>
  <si>
    <t>Vacation:Rental Car &amp; Taxi</t>
  </si>
  <si>
    <t>Alaska Air</t>
  </si>
  <si>
    <t>Work Expense:Foreign Transaction Fee</t>
  </si>
  <si>
    <t>Work Expense:Lodging</t>
  </si>
  <si>
    <t>American Express (Costco) (Autopay)</t>
  </si>
  <si>
    <t>Bills &amp; Utilities:Mobile Phone</t>
  </si>
  <si>
    <t>Business Expenses (Koolikai):Meals</t>
  </si>
  <si>
    <t>Fresh Table</t>
  </si>
  <si>
    <t>Charity:Charity (Property)</t>
  </si>
  <si>
    <t>REI</t>
  </si>
  <si>
    <t>Pandora</t>
  </si>
  <si>
    <t>Business Expenses (Koolikai):Supplies (Business)</t>
  </si>
  <si>
    <t>Shopping:Clothing:Accessories</t>
  </si>
  <si>
    <t>Auto &amp; Transport:Driver's License</t>
  </si>
  <si>
    <t>Business Expenses (Koolikai):Tools</t>
  </si>
  <si>
    <t>Shopping:Hobbies:Camping Equipment</t>
  </si>
  <si>
    <t>Phinney Neighborhood Center</t>
  </si>
  <si>
    <t>Vacation:Activities</t>
  </si>
  <si>
    <t>Personal Care:Miscellaneous</t>
  </si>
  <si>
    <t>Auto &amp; Transport:Registration</t>
  </si>
  <si>
    <t>Vacation:Trinkets</t>
  </si>
  <si>
    <t>Business Expenses (Koolikai):Prof and Legal Fees</t>
  </si>
  <si>
    <t>Projects:Electric Car Setup</t>
  </si>
  <si>
    <t>Cafe Redmond Wa</t>
  </si>
  <si>
    <t>99 Monkeys</t>
  </si>
  <si>
    <t>Playdate Cafe</t>
  </si>
  <si>
    <t>Shopping:Sporting Goods</t>
  </si>
  <si>
    <t>Ecotality</t>
  </si>
  <si>
    <t>2011: ECOTALITY - BLINK 888-998-2546 AZ</t>
  </si>
  <si>
    <t>Bills &amp; Utilities:Credit Card Payment</t>
  </si>
  <si>
    <t>Food &amp; Dining:Fast Food</t>
  </si>
  <si>
    <t>2011: CREDIT-CASH BACK REWARD;@CAT:@</t>
  </si>
  <si>
    <t>Bank Fees &amp; Charges:Late Fee</t>
  </si>
  <si>
    <t>Balance of Sonos P5 Speaker</t>
  </si>
  <si>
    <t>C:\Temp\Smith_Family.QIF</t>
  </si>
  <si>
    <t>Capital One (Transfer)</t>
  </si>
  <si>
    <t>ACH Deposit--CAPITAL1 00000000000301749963 - TRANSFER</t>
  </si>
  <si>
    <t>@BAL:118199.00@@CAT:@</t>
  </si>
  <si>
    <t>ACH Deposit--CAPITAL1 00000000000301749025 - TRANSFER</t>
  </si>
  <si>
    <t>@BAL:123.04@@CAT:@</t>
  </si>
  <si>
    <t>Capital One (Savings)</t>
  </si>
  <si>
    <t>LPL</t>
  </si>
  <si>
    <t>Transfer to LPL account for mutual fund and managed account</t>
  </si>
  <si>
    <t>@CAT:@;@BAL:53225.77</t>
  </si>
  <si>
    <t>COSTCO MEMBER RENEWAL</t>
  </si>
  <si>
    <t>Lowes #00252*</t>
  </si>
  <si>
    <t>Channel locks</t>
  </si>
  <si>
    <t>Sink fixture repair parts</t>
  </si>
  <si>
    <t>Basin wrench, bucket, and inspection camera</t>
  </si>
  <si>
    <t>Seahawks sweatshirt</t>
  </si>
  <si>
    <t>Wne for the Owen birthday party</t>
  </si>
  <si>
    <t>Stranger Tickets Wa</t>
  </si>
  <si>
    <t>Play for Ang, Dave, Zach, and Josh</t>
  </si>
  <si>
    <t>2011: CAFE 86 11171386 REDMOND WA 98052 USA</t>
  </si>
  <si>
    <t>#Scottsdale_2014#</t>
  </si>
  <si>
    <t>2011: GG *PHINNEY NEIGHBORHO SEATTLE WA 98103 USA</t>
  </si>
  <si>
    <t>Blink Network Llc</t>
  </si>
  <si>
    <t>2011: BLINK NETWORK, LLC 06023459015 AZ 85003 USA</t>
  </si>
  <si>
    <t>High Tide</t>
  </si>
  <si>
    <t>Dinner at Sheryl's wedding#Sheryl's wedding#</t>
  </si>
  <si>
    <t>2011: CAPITAL ONE AUTOPAY PYMT AuthDate 06-FEB</t>
  </si>
  <si>
    <t>Auto</t>
  </si>
  <si>
    <t>@BAL:$1529.82@@CAT:@</t>
  </si>
  <si>
    <t>Chase Freedom XX9381</t>
  </si>
  <si>
    <t>Opening Balance</t>
  </si>
  <si>
    <t>Deposit (Erin Riordan)</t>
  </si>
  <si>
    <t>Rent for 9602 (January)</t>
  </si>
  <si>
    <t>Rent for 9602 (February)</t>
  </si>
  <si>
    <t>Rent for 9602 (March)</t>
  </si>
  <si>
    <t>Rent for 9602 (April)</t>
  </si>
  <si>
    <t>Capital Transfer</t>
  </si>
  <si>
    <t>ACH Withdrawal CAPITAL1         TRANSFER DAVE  SMITH</t>
  </si>
  <si>
    <t>Rent for 9602 (May)</t>
  </si>
  <si>
    <t>Rent for 9602 (June)</t>
  </si>
  <si>
    <t>Rent for 9602 (July)</t>
  </si>
  <si>
    <t>Erin Riordan</t>
  </si>
  <si>
    <t>Bathroom floor for 9602</t>
  </si>
  <si>
    <t>Refunded 1/2 of August rent</t>
  </si>
  <si>
    <t>Remainder of security deposit after paying SPU</t>
  </si>
  <si>
    <t>@BAL:100.00@</t>
  </si>
  <si>
    <t>Deposit Capital Transfer</t>
  </si>
  <si>
    <t>ACH deposit CAPITAL1         TRANSFER DAVE  SMITH</t>
  </si>
  <si>
    <t>Online Banking Transfer</t>
  </si>
  <si>
    <t>Online Banking transfer withdrawal TO ...3126 CE:  HB7AWG   HBK</t>
  </si>
  <si>
    <t>@BAL:47039.30@</t>
  </si>
  <si>
    <t>@BAL:47097.33@@CAT:@</t>
  </si>
  <si>
    <t>Capital One (Quarterly Bonus)</t>
  </si>
  <si>
    <t>@BAL:200550.50@</t>
  </si>
  <si>
    <t>Online Banking transfer deposit FR ...4959 CE:  HB7AO3   HBK</t>
  </si>
  <si>
    <t>@BAL:200930.18@</t>
  </si>
  <si>
    <t>@BAL:201126.22@;@CAT:@</t>
  </si>
  <si>
    <t>@BAL:-6591.33@@CAT:@</t>
  </si>
  <si>
    <t>Withdrawal Capital Transfer</t>
  </si>
  <si>
    <t>Online Banking transfer deposit FR ...6759 CE:  HB7AWG   HBK</t>
  </si>
  <si>
    <t>@BAL:116998.93@</t>
  </si>
  <si>
    <t>@BAL:117088.39@;@CAT:@</t>
  </si>
  <si>
    <t>Online Banking transfer withdrawal TO ...1201 CE:  HB7AO3   HBK</t>
  </si>
  <si>
    <t>@BAL:5004.22@</t>
  </si>
  <si>
    <t>@BAL:5008.48@;@CAT:@</t>
  </si>
  <si>
    <t>@BAL:5010.40@@CAT:@</t>
  </si>
  <si>
    <t>Microsoft Payroll</t>
  </si>
  <si>
    <t>Internal Revenue Service</t>
  </si>
  <si>
    <t>Espresso Dental</t>
  </si>
  <si>
    <t>Bite Guard</t>
  </si>
  <si>
    <t>Nycb Mtg Ach</t>
  </si>
  <si>
    <t>Mortgage for 9602</t>
  </si>
  <si>
    <t>Mortgage for 7231</t>
  </si>
  <si>
    <t>First Tech Cash Machine</t>
  </si>
  <si>
    <t>ATM Deposit--FIRST TECH 15255 NE 40TH ST #98A-1REDMOND      WAUS</t>
  </si>
  <si>
    <t>Rental income 7231</t>
  </si>
  <si>
    <t>Electricity for 7015</t>
  </si>
  <si>
    <t>Gas for 7015</t>
  </si>
  <si>
    <t>House cleaning</t>
  </si>
  <si>
    <t>Chase Credit Card Autopay</t>
  </si>
  <si>
    <t>ACH Debit--CHASE  - AUTOPAY</t>
  </si>
  <si>
    <t>CRAB</t>
  </si>
  <si>
    <t>CPR Training</t>
  </si>
  <si>
    <t>Cancer Research Payroll</t>
  </si>
  <si>
    <t>CRAB Paycheck</t>
  </si>
  <si>
    <t>Microsoft Paycheck; @BAL:91649.90@</t>
  </si>
  <si>
    <t>Premera Dependent Care</t>
  </si>
  <si>
    <t>Dependent care reimbursement</t>
  </si>
  <si>
    <t>First Tech Deposit</t>
  </si>
  <si>
    <t>Ballet tickets - Colette</t>
  </si>
  <si>
    <t>Ballet tickets - Jeannie and H</t>
  </si>
  <si>
    <t>ACH Debit--PSE AFT ACH - PSE   BILL</t>
  </si>
  <si>
    <t>Discover Card Credit Card Autopay</t>
  </si>
  <si>
    <t>Microsoft (Reimbursement)</t>
  </si>
  <si>
    <t>Cell phone reimbursement (?)</t>
  </si>
  <si>
    <t>ACH Deposit--Cancer Research  - payroll</t>
  </si>
  <si>
    <t>Water, Sewer, and Recycling;@BAL:68905.67@</t>
  </si>
  <si>
    <t>Cash back from refinance of 7015</t>
  </si>
  <si>
    <t>Girl Scouts</t>
  </si>
  <si>
    <t>Girl Scout Cookies</t>
  </si>
  <si>
    <t>Edward Jones</t>
  </si>
  <si>
    <t>401k Management Fees</t>
  </si>
  <si>
    <t>ACH Deposit--MICROSOFT  - EDIPAYMENT;@BAL:67574.38@</t>
  </si>
  <si>
    <t>Trial Deposit</t>
  </si>
  <si>
    <t>ACH Deposit--MSSB  - TRIAL DEP</t>
  </si>
  <si>
    <t>Refund from refinance of 7015 (escrow?)</t>
  </si>
  <si>
    <t>Transfer from MorganStanleySmithBarney</t>
  </si>
  <si>
    <t>Yen Nguyen</t>
  </si>
  <si>
    <t>Landscape cleanup at 7231</t>
  </si>
  <si>
    <t>Business Expenses (Koolikai):Repairs/7231:Tax Related</t>
  </si>
  <si>
    <t>Skip Knox</t>
  </si>
  <si>
    <t>Fence work at 7231#7231:Fence#</t>
  </si>
  <si>
    <t>Gift certificates for Emi and</t>
  </si>
  <si>
    <t>Seattle Families Of Multiples</t>
  </si>
  <si>
    <t>ACH Debit--PUGET SOUND ENER DIRECT DEBITING - PSE BILL  37500011</t>
  </si>
  <si>
    <t>Taylor &amp; Francis Group</t>
  </si>
  <si>
    <t>Angela's Book Royalties</t>
  </si>
  <si>
    <t>Morale Money</t>
  </si>
  <si>
    <t>Proceeds from clothing/toy sal</t>
  </si>
  <si>
    <t>#SFOM:April_2013#FedEx/Printin</t>
  </si>
  <si>
    <t>Fred Hutchinson Cancer Research</t>
  </si>
  <si>
    <t>#CRAB:Team lunch - Ang#Reimbursement for lunch</t>
  </si>
  <si>
    <t>ACH Deposit--MICROSOFT  - EDIPAYMENT;@BAL:84967.99@</t>
  </si>
  <si>
    <t>American Express reimbursement for credit at Costco for TV</t>
  </si>
  <si>
    <t>Casitas Del Mar</t>
  </si>
  <si>
    <t>#San Diego_2013#</t>
  </si>
  <si>
    <t>Cancer Research (Reimbursement)</t>
  </si>
  <si>
    <t>Rmbrs for grp mtg in SF#CRAB:San Francisco_2013#</t>
  </si>
  <si>
    <t>ACH Debit--PUGET SOUND ENER DIRECT DEBITING - PSE BILL  46250037</t>
  </si>
  <si>
    <t>Capital One Savings</t>
  </si>
  <si>
    <t>Transfer to secondary savings at Capital One</t>
  </si>
  <si>
    <t>Premera Health Savings Account</t>
  </si>
  <si>
    <t>ACH Debit--PREMERA FUNDING  - HSA-FUND  6823</t>
  </si>
  <si>
    <t>Celina Glassbaum</t>
  </si>
  <si>
    <t>Teacher appreciation gift</t>
  </si>
  <si>
    <t>Lincoln National Life Insurance</t>
  </si>
  <si>
    <t>Annual payment for life insurance policy</t>
  </si>
  <si>
    <t>American Express</t>
  </si>
  <si>
    <t>Award for AMEX law suit</t>
  </si>
  <si>
    <t>Capital One (3126)</t>
  </si>
  <si>
    <t>Transfer some money back to cover life insurance payment</t>
  </si>
  <si>
    <t>First Technology Federal Credit Union</t>
  </si>
  <si>
    <t>Check Printing Charge-- ATM Deposit $1281.04 on 03/13/2013</t>
  </si>
  <si>
    <t>ACH Deposit--MSSB  - ACH CREDIT</t>
  </si>
  <si>
    <t>Cancer Research  - Payroll</t>
  </si>
  <si>
    <t>ACH Deposit--Cancer Research  - payroll;@BAL:31503.64@</t>
  </si>
  <si>
    <t>Mortgage payment for 9602</t>
  </si>
  <si>
    <t>Paypal Transfer Transfer</t>
  </si>
  <si>
    <t>Lunch with group</t>
  </si>
  <si>
    <t>ACH Debit--PUGET SOUND ENER DIRECT DEBITING - PSE BILL  43750064</t>
  </si>
  <si>
    <t>Ausland</t>
  </si>
  <si>
    <t>Refund of $695 of rent to be paid mid month</t>
  </si>
  <si>
    <t>Manual entry for automatic payment</t>
  </si>
  <si>
    <t>Seattle Childrens Hospital</t>
  </si>
  <si>
    <t>Refund of over payment</t>
  </si>
  <si>
    <t>Caesar's Gardens</t>
  </si>
  <si>
    <t>Yard clearing at 7015#Landscaping#</t>
  </si>
  <si>
    <t>Babysitting for day date to see Star Trek</t>
  </si>
  <si>
    <t>ACH Debit--CITY OF SEATTLE  - 2 - SPU De;@BAL:26820.11@</t>
  </si>
  <si>
    <t>Second attempt at direct bill pay</t>
  </si>
  <si>
    <t>Phinney Ridge Cdc</t>
  </si>
  <si>
    <t>ACH Debit--PUGET SOUND ENER DIRECT DEBITING - PSE BILL  62501032</t>
  </si>
  <si>
    <t>ACH Deposit--Cancer Research  - payroll;@BAL:22681.00@</t>
  </si>
  <si>
    <t>Transfer Reducing Deposit</t>
  </si>
  <si>
    <t>Deposit-- Transfer From 5562129 ,Reducing balance of biz acct</t>
  </si>
  <si>
    <t>ACH Debit--CAPITAL1 00000000000269593713 - TRANSFER</t>
  </si>
  <si>
    <t>More cleanup and prep for 7015#Landscaping#</t>
  </si>
  <si>
    <t>ACH Debit--PUGET SOUND ENER DIRECT DEBITING - PSE BILL  22500119</t>
  </si>
  <si>
    <t>Intern lunch Matt's Rottiserie#MS:Intern Lunch - Dave#</t>
  </si>
  <si>
    <t>First Tech (Security Deposit)</t>
  </si>
  <si>
    <t>Refunded balance of Riordan security deposit</t>
  </si>
  <si>
    <t>Final SPU payment for Erin Riordan</t>
  </si>
  <si>
    <t>Discover Card Autopayment</t>
  </si>
  <si>
    <t>ACH Deposit--Cancer Research  - payroll;@BAL:15774.99@</t>
  </si>
  <si>
    <t>Transferring interest</t>
  </si>
  <si>
    <t>Angela's book royalties</t>
  </si>
  <si>
    <t>Magic Nissan</t>
  </si>
  <si>
    <t>Proceeds from sale of BMW</t>
  </si>
  <si>
    <t>ACH Debit--PUGET SOUND ENER DIRECT DEBITING - PSE BILL  37501487</t>
  </si>
  <si>
    <t>Marathon Plumbing</t>
  </si>
  <si>
    <t>Sewage Evacuation Pump for 7231#7231:Sewer Pump#</t>
  </si>
  <si>
    <t>Business Expenses (Koolikai):Projects/7231</t>
  </si>
  <si>
    <t>Heidi Denham</t>
  </si>
  <si>
    <t>Reimbursement for Tony's Birthday (Jazz Alley)</t>
  </si>
  <si>
    <t>Karen Jussel</t>
  </si>
  <si>
    <t>First Tech (Koolikai)</t>
  </si>
  <si>
    <t>Reducing balance on Koolikai account</t>
  </si>
  <si>
    <t>Refund of double payment?</t>
  </si>
  <si>
    <t>@BAL:50787.54@</t>
  </si>
  <si>
    <t>ATM Withdrawal--FIRST TECH 5854 154TH PL NE       REDMOND</t>
  </si>
  <si>
    <t>Install for front yard of 7015#Landscaping#</t>
  </si>
  <si>
    <t>#MS:Victoria_2013#</t>
  </si>
  <si>
    <t>Microsoft (Stay Fit)</t>
  </si>
  <si>
    <t>Reimbursement for Shoes</t>
  </si>
  <si>
    <t>Credit Balance Refund (1065)</t>
  </si>
  <si>
    <t>Cash out of balance on Angela's mastercard</t>
  </si>
  <si>
    <t>Variety of kid stuff</t>
  </si>
  <si>
    <t>ACH Debit--PUGET SOUND ENER DIRECT DEBITING - PSE BILL  3750148</t>
  </si>
  <si>
    <t>Jennifer Martin Onlne</t>
  </si>
  <si>
    <t>Sale proceeds for baby gate</t>
  </si>
  <si>
    <t>First Tech</t>
  </si>
  <si>
    <t>Balance transfer from closed savings account</t>
  </si>
  <si>
    <t>Reimbursement from dependent care account for day care</t>
  </si>
  <si>
    <t>Eurest food</t>
  </si>
  <si>
    <t>Pancake breakfast</t>
  </si>
  <si>
    <t>Stamps;@R@</t>
  </si>
  <si>
    <t>Reimbursement for University of Victoria Trip#MS:Victoria_2013#</t>
  </si>
  <si>
    <t>Fidelity Brokerage Account</t>
  </si>
  <si>
    <t>Transfer of funds from sale of ESPP and Stock Awards</t>
  </si>
  <si>
    <t>Reimbursement for sale expenses#SFOM:October_2013#</t>
  </si>
  <si>
    <t>Michelle Peterson</t>
  </si>
  <si>
    <t>Premera Funding Cyc</t>
  </si>
  <si>
    <t>LPL Funds Transfer</t>
  </si>
  <si>
    <t>Transfer to LPL cash account to pay next life insurance</t>
  </si>
  <si>
    <t>Transfer Reducin Deposit</t>
  </si>
  <si>
    <t>Deposit-- Transfer From 47755400 ,Reducing to minimum balance</t>
  </si>
  <si>
    <t>Utility bill for 7015 @BAL:56283.86@</t>
  </si>
  <si>
    <t>Mortgage for 7231;@C@</t>
  </si>
  <si>
    <t>Refund of overpayment</t>
  </si>
  <si>
    <t>Microsoft Edi Paymn</t>
  </si>
  <si>
    <t>Air fare for U of A trip#MS:U of A_2013#@C@</t>
  </si>
  <si>
    <t>PanCan</t>
  </si>
  <si>
    <t>Pancreatic Cancer Run</t>
  </si>
  <si>
    <t>#CRAB:Chicago_2013#</t>
  </si>
  <si>
    <t>ATM Microsoft</t>
  </si>
  <si>
    <t>Withdrawal for Ted dinner, but used CC instead</t>
  </si>
  <si>
    <t>Rmburse for University of Arizona trip#MS:U of A_2013#</t>
  </si>
  <si>
    <t>@BAL:60725.97@</t>
  </si>
  <si>
    <t>Partial payment of reimbursement claim</t>
  </si>
  <si>
    <t>ACH Debit--CATHLEEN CAESAR  - ONLINE PMT</t>
  </si>
  <si>
    <t>Mortgage for 7015@CAT:@</t>
  </si>
  <si>
    <t>Shared Branch Mobile Deposit</t>
  </si>
  <si>
    <t>Balance refund</t>
  </si>
  <si>
    <t>ACH Debit--PUGET SOUND ENER DIRECT DEBITING - PSE BILL  38750220</t>
  </si>
  <si>
    <t>Stay Fit Microso 304254681</t>
  </si>
  <si>
    <t>Reimbursement for bike</t>
  </si>
  <si>
    <t>Apria overcharge refund -- deposit to HSA</t>
  </si>
  <si>
    <t>Reimbursement of prescriptions from Walgreens@CAT:@</t>
  </si>
  <si>
    <t>Swedish Reimbursement of overpayment</t>
  </si>
  <si>
    <t>Nmac Lease Online</t>
  </si>
  <si>
    <t>ACH Debit--TARGET CARD SRVC  - BILL PAY</t>
  </si>
  <si>
    <t>Alyssa Priest</t>
  </si>
  <si>
    <t>CDC Teacher gifts</t>
  </si>
  <si>
    <t>Apria reimbursement of overpayment@CAT:@BAL:49761.49@</t>
  </si>
  <si>
    <t>City Of Seattle  - 2 - Spu De</t>
  </si>
  <si>
    <t>@BAL:$44,862.43@;@CAT:@</t>
  </si>
  <si>
    <t>REI (Autopay)</t>
  </si>
  <si>
    <t>ACH Debit--PUGET SOUND ENER DIRECT DEBITING - PSE BILL  10000317</t>
  </si>
  <si>
    <t>@BAL:$0.00@</t>
  </si>
  <si>
    <t>Transfer Reducing Withdrawal</t>
  </si>
  <si>
    <t>Reducing to minimum balance@CAT:@</t>
  </si>
  <si>
    <t>@BAL:$5.00@</t>
  </si>
  <si>
    <t>@CAT:@;@BAL:$5.00@</t>
  </si>
  <si>
    <t>@CAT:@@BAL:5.00@</t>
  </si>
  <si>
    <t>Angela's book royalty</t>
  </si>
  <si>
    <t>Chase (Koolikai) Autopay</t>
  </si>
  <si>
    <t>Transfer Sanfrd Deposit</t>
  </si>
  <si>
    <t>Deposit-- Transfer From 55621200 ,Sanfrd Sec refund less util an</t>
  </si>
  <si>
    <t>Deposit-- Transfer From 55621200 ,Sanfrd chg for wall and dog ha</t>
  </si>
  <si>
    <t>Deposit-- Transfer From 55621200 ,Sanfrd temp hold for utils</t>
  </si>
  <si>
    <t>@BAL:3049.62@</t>
  </si>
  <si>
    <t>Jonathan Sanford</t>
  </si>
  <si>
    <t>Security and pet deposit refund</t>
  </si>
  <si>
    <t>April rent (First month)</t>
  </si>
  <si>
    <t>Ausland pet deposit</t>
  </si>
  <si>
    <t>Transfer Ausland P</t>
  </si>
  <si>
    <t>Withdrawal-- Transfer to 55621200, ausland pet dep</t>
  </si>
  <si>
    <t>Security and pet deposit refund (utilities)</t>
  </si>
  <si>
    <t>Rent for 7231 (May)</t>
  </si>
  <si>
    <t>June Rent</t>
  </si>
  <si>
    <t>Business Income (Koolikai):Rent/7231:Tax Related</t>
  </si>
  <si>
    <t>Partial June rent</t>
  </si>
  <si>
    <t>July rent</t>
  </si>
  <si>
    <t>August Rent</t>
  </si>
  <si>
    <t>Withdrawal-- Transfer To 914775544 ,Reducing balance of biz acct</t>
  </si>
  <si>
    <t>Security deposit</t>
  </si>
  <si>
    <t>Business Expenses (Koolikai):Security Deposit/9602:Tax Related</t>
  </si>
  <si>
    <t>Schaibley security deposit</t>
  </si>
  <si>
    <t>September Rent</t>
  </si>
  <si>
    <t>October Rent</t>
  </si>
  <si>
    <t>First Tech (Checking)</t>
  </si>
  <si>
    <t>Payment for SPU bill due 10/26.  Paid by CC</t>
  </si>
  <si>
    <t>First Tech (Transfer)</t>
  </si>
  <si>
    <t>Deposit-- Transfer From 55621200 ,Transferring interest</t>
  </si>
  <si>
    <t>@BAL:5450.85@</t>
  </si>
  <si>
    <t>August utilities (post-Riordan)</t>
  </si>
  <si>
    <t>November rent</t>
  </si>
  <si>
    <t>Repayment on utility balance.</t>
  </si>
  <si>
    <t>November rent @FD:11/1/13@</t>
  </si>
  <si>
    <t>Rent for 9602 (December) @FD:12/1/13@</t>
  </si>
  <si>
    <t>Deposit--Shared Branch Mobile Deposit      @FD:12/1/13@</t>
  </si>
  <si>
    <t>Repayment of utility balance</t>
  </si>
  <si>
    <t>Seattle Fireplace</t>
  </si>
  <si>
    <t>Fireplace insert repair</t>
  </si>
  <si>
    <t>@BAL:14125.46@@CAT:@</t>
  </si>
  <si>
    <t>@FD:1/1/14@ Deposit--Shared Branch Mobile Deposit</t>
  </si>
  <si>
    <t>@FD:2/1/14@ Deposit--Shared Branch Mobile Deposit</t>
  </si>
  <si>
    <t>@BAL:21002.67@</t>
  </si>
  <si>
    <t>@FD:3/1/14@</t>
  </si>
  <si>
    <t>Transfer Sanfrd Sec</t>
  </si>
  <si>
    <t>Withdrawal-- Transfer To 5562129 ,Sanfrd Sec refund less util an</t>
  </si>
  <si>
    <t>Transfer Sanfrd Chg</t>
  </si>
  <si>
    <t>Withdrawal-- Transfer To 5562129 ,Sanfrd chg for wall and dog ha</t>
  </si>
  <si>
    <t>Transfer Sanfrd Tem</t>
  </si>
  <si>
    <t>Withdrawal-- Transfer To 5562129 ,Sanfrd temp hold for utils</t>
  </si>
  <si>
    <t>Ausland Security Deposit (Pet deposit comes later)</t>
  </si>
  <si>
    <t>Ausland Pet Deposit</t>
  </si>
  <si>
    <t>Transfer Refunded Withdrawal</t>
  </si>
  <si>
    <t>Withdrawal-- Transfer To 914775544 ,Refunded balance of Riordan</t>
  </si>
  <si>
    <t>Transfer Final Sp</t>
  </si>
  <si>
    <t>Withdrawal-- Transfer To 914775544 ,Final SPU payment for Erin R</t>
  </si>
  <si>
    <t>Transfer From 5562129, Schaible</t>
  </si>
  <si>
    <t>Deposit-- Transfer from 5562129, Schaibley security deposit</t>
  </si>
  <si>
    <t>Transfer To 914775544, Transfer</t>
  </si>
  <si>
    <t>Withdrawal-- Transfer to 914775544, transferring interest</t>
  </si>
  <si>
    <t>Transfer Transferri Withdrawal</t>
  </si>
  <si>
    <t>Withdrawal-- Transfer To 5562129 ,Transferring interest</t>
  </si>
  <si>
    <t>@BAL:4500.37@@CAT:@</t>
  </si>
  <si>
    <t>@BAL:$4500.75@;@CAT:@</t>
  </si>
  <si>
    <t>ATM Bank Of America</t>
  </si>
  <si>
    <t>ATM Alfi's Food &amp; Deli</t>
  </si>
  <si>
    <t>@BAL:$847.31@</t>
  </si>
  <si>
    <t>Cardtronics</t>
  </si>
  <si>
    <t>ATM Ken's Market</t>
  </si>
  <si>
    <t>@R@</t>
  </si>
  <si>
    <t>Toys at 99 Monkeys (3/29/13);@</t>
  </si>
  <si>
    <t>@BAL:767.40@</t>
  </si>
  <si>
    <t>Groceries and food for birthday party</t>
  </si>
  <si>
    <t>Food for Zach and Josh's birth</t>
  </si>
  <si>
    <t>ATM US Bank</t>
  </si>
  <si>
    <t>#Scottsdale_2013#</t>
  </si>
  <si>
    <t>Bart</t>
  </si>
  <si>
    <t>#CRAB:San Francisco_2013#</t>
  </si>
  <si>
    <t>Water, Sewer, and Garbage for 7231;@BAL:943.42@</t>
  </si>
  <si>
    <t>Business Expenses (Koolikai):Utilities (Business)/Tax Related</t>
  </si>
  <si>
    <t>Angela's Glasses;@R@</t>
  </si>
  <si>
    <t>ATM Umpqua Bank</t>
  </si>
  <si>
    <t>#Newhalem#Dinner</t>
  </si>
  <si>
    <t>#Newhalem#Campsite</t>
  </si>
  <si>
    <t>#Newhalem#</t>
  </si>
  <si>
    <t>ATM Shell Station</t>
  </si>
  <si>
    <t>Cash #Kalaloch_2013#</t>
  </si>
  <si>
    <t>Water, sewer, garbage for 7231</t>
  </si>
  <si>
    <t>Business Expenses (Koolikai):Utilities (Business)/7231:Tax Related</t>
  </si>
  <si>
    <t>Overdraft Transfer Brokerage</t>
  </si>
  <si>
    <t>Overdraft transfer for SPU bill</t>
  </si>
  <si>
    <t>SFOM sale#SFOM:October_2013#</t>
  </si>
  <si>
    <t>ATM Cardtronics</t>
  </si>
  <si>
    <t>Hair cuts for Zach and Josh;@R</t>
  </si>
  <si>
    <t>@BAL:1940.08@</t>
  </si>
  <si>
    <t>Panasonic phones</t>
  </si>
  <si>
    <t>Bank Of America</t>
  </si>
  <si>
    <t>Monorail ride with Pierre, Jes</t>
  </si>
  <si>
    <t>Miscellaneous left over cash</t>
  </si>
  <si>
    <t>Boys hair cut</t>
  </si>
  <si>
    <t>@BAL:1644.41@</t>
  </si>
  <si>
    <t>@BAL:1524.95@;@CAT:@</t>
  </si>
  <si>
    <t>Babysitter money for date night</t>
  </si>
  <si>
    <t>Transfer Reducingwithdrawal Transfer</t>
  </si>
  <si>
    <t>Transfer Reducingdeposit Transfer</t>
  </si>
  <si>
    <t>Costco (Gas)</t>
  </si>
  <si>
    <t>Gruyere;@R@</t>
  </si>
  <si>
    <t>TV Mount;@R@</t>
  </si>
  <si>
    <t>Toshiba TV;@R@</t>
  </si>
  <si>
    <t>Panasonic DVD Player;@R@</t>
  </si>
  <si>
    <t>Champagne;@R@</t>
  </si>
  <si>
    <t>TV Mount (SXDP5-B1);@R@</t>
  </si>
  <si>
    <t>Returned TV;@FD:12/31/12</t>
  </si>
  <si>
    <t>Gasoline</t>
  </si>
  <si>
    <t>9v batteries</t>
  </si>
  <si>
    <t>Glass storage containers</t>
  </si>
  <si>
    <t>Plastic storage containers</t>
  </si>
  <si>
    <t>Hummus with Sun dried tomatoes</t>
  </si>
  <si>
    <t>Women's vitamins</t>
  </si>
  <si>
    <t>@R@;Light bulbs</t>
  </si>
  <si>
    <t>Simplicity 19" - 47" TV mount</t>
  </si>
  <si>
    <t>LED light bulbs (x2)</t>
  </si>
  <si>
    <t>Strawberries</t>
  </si>
  <si>
    <t>Roses</t>
  </si>
  <si>
    <t>Il Bistro</t>
  </si>
  <si>
    <t>Valentine's Dinner@BAL:-521.30@</t>
  </si>
  <si>
    <t>Membership renewal@BAL:-411.30@</t>
  </si>
  <si>
    <t>@FD:3/9/2014@Cash refund appli</t>
  </si>
  <si>
    <t>American Express (Balance Adjustment)</t>
  </si>
  <si>
    <t>Microsoft (Windows Store)</t>
  </si>
  <si>
    <t>PS004VB6B1Y 800-642-7676@BAL:$1.63@</t>
  </si>
  <si>
    <t>034666000   2065460480;@R@</t>
  </si>
  <si>
    <t>@BAL:145.64@</t>
  </si>
  <si>
    <t>2xcoats for Zach and Josh</t>
  </si>
  <si>
    <t>Arco</t>
  </si>
  <si>
    <t>18892041    206-729-9608</t>
  </si>
  <si>
    <t>Chevron</t>
  </si>
  <si>
    <t>0904861     2067891661@BAL:$207.86@</t>
  </si>
  <si>
    <t>Razor blades</t>
  </si>
  <si>
    <t>Light bulbs</t>
  </si>
  <si>
    <t>Flashlights</t>
  </si>
  <si>
    <t>Felt feet</t>
  </si>
  <si>
    <t>Batteries (14x D Cells)</t>
  </si>
  <si>
    <t>Quinoa</t>
  </si>
  <si>
    <t>Shuttlepark 2</t>
  </si>
  <si>
    <t>#San Diego_2013#@BAL:$227.88@</t>
  </si>
  <si>
    <t>American Express (Travel)</t>
  </si>
  <si>
    <t>Air Canada flight to Victoria (via Vancouver)#MS:Victoria_2013#</t>
  </si>
  <si>
    <t>Alaska Airlines flight to SeaTac#MS:Victoria_2013#</t>
  </si>
  <si>
    <t>Airflight Insurance Premium</t>
  </si>
  <si>
    <t>Bogus charge.  Called to get refund 10/14.#MS:Victoria_2013#</t>
  </si>
  <si>
    <t>Avis</t>
  </si>
  <si>
    <t>R/A 437259126   800-352-7900#San Diego_2013#</t>
  </si>
  <si>
    <t>Seattle Great Wheel</t>
  </si>
  <si>
    <t>033342769   206-343-9173</t>
  </si>
  <si>
    <t>Baggage Fee#San Diego_2013#</t>
  </si>
  <si>
    <t>Foreign Transaction Fee</t>
  </si>
  <si>
    <t>AKAL Airport Transportation#MS:Victoria_2013#</t>
  </si>
  <si>
    <t>Akal Airport Express</t>
  </si>
  <si>
    <t>Cactus Club#MS:Victoria_2013#</t>
  </si>
  <si>
    <t>Cactus Club</t>
  </si>
  <si>
    <t>Dinner#MS:Victoria_2013#</t>
  </si>
  <si>
    <t>Kenmore Air Kenmore</t>
  </si>
  <si>
    <t>Return flight from Victoria#MS:Victoria_2013#</t>
  </si>
  <si>
    <t>Victoria Marriott#MS:Victoria_2013#</t>
  </si>
  <si>
    <t>Marriott - Victoria</t>
  </si>
  <si>
    <t>Alaska Airlines flight to Phoenix RT#MS:U of A_2013#</t>
  </si>
  <si>
    <t>Travel Insurance</t>
  </si>
  <si>
    <t>#MS:U of A_2013#@BAL:1805.30@</t>
  </si>
  <si>
    <t>Refund on bogus travel insurance#MS:U of A_2013#</t>
  </si>
  <si>
    <t>@BAL:17.98@</t>
  </si>
  <si>
    <t>American Express (Balance)</t>
  </si>
  <si>
    <t>Marriott</t>
  </si>
  <si>
    <t>#MS:U of A_2013#Hotel room</t>
  </si>
  <si>
    <t>Christmas cards</t>
  </si>
  <si>
    <t>Motion sensor lights for close</t>
  </si>
  <si>
    <t>Labeller for Diz</t>
  </si>
  <si>
    <t>gift: Knife sharpener</t>
  </si>
  <si>
    <t>Humidifier</t>
  </si>
  <si>
    <t>Steven's Pass tickets@CAT:@</t>
  </si>
  <si>
    <t>@BAL:$357.28@</t>
  </si>
  <si>
    <t>Balance</t>
  </si>
  <si>
    <t>@BAL:-110.00@@CAT:@</t>
  </si>
  <si>
    <t>047931000   2065460480</t>
  </si>
  <si>
    <t>[Chase Freedom XX9381]</t>
  </si>
  <si>
    <t>AAA Washington</t>
  </si>
  <si>
    <t>Hulu Plus</t>
  </si>
  <si>
    <t>Called for refund on 8/17/2013</t>
  </si>
  <si>
    <t>@BAL:-8.75@</t>
  </si>
  <si>
    <t>Balance refund@CAT:@</t>
  </si>
  <si>
    <t>Socks for boys</t>
  </si>
  <si>
    <t>One Republic CD</t>
  </si>
  <si>
    <t>Flap book</t>
  </si>
  <si>
    <t>Mickey Mouse coloring books</t>
  </si>
  <si>
    <t>Removable wall hooks</t>
  </si>
  <si>
    <t>Razors</t>
  </si>
  <si>
    <t>Basket</t>
  </si>
  <si>
    <t>Monkey basket</t>
  </si>
  <si>
    <t>Socks for Nick</t>
  </si>
  <si>
    <t>Sonos P3 speaker</t>
  </si>
  <si>
    <t>Sonos P5 speaker</t>
  </si>
  <si>
    <t>@BAL:-510.46@</t>
  </si>
  <si>
    <t>@BAL:-7.65@@CAT:@</t>
  </si>
  <si>
    <t>AT&amp;T Wireless</t>
  </si>
  <si>
    <t>Chase (Koolikai) Autopayment</t>
  </si>
  <si>
    <t>At&amp;t Wireless</t>
  </si>
  <si>
    <t>At&amp;t</t>
  </si>
  <si>
    <t>Supplies for repairs on 7231</t>
  </si>
  <si>
    <t>Redemption</t>
  </si>
  <si>
    <t>Electric Bill for 7231</t>
  </si>
  <si>
    <t>Lunch for repairs at 7231</t>
  </si>
  <si>
    <t>Supplies for repairs on 7231 (Adhesives)</t>
  </si>
  <si>
    <t>Wa Dor Bus License Svc</t>
  </si>
  <si>
    <t>Business License</t>
  </si>
  <si>
    <t>Business Expenses (Koolikai):Taxes (Business):Licenses  (Business)/Tax Related</t>
  </si>
  <si>
    <t>Godaddy.Com</t>
  </si>
  <si>
    <t>Supplies for repairs on 7231;Adhesives</t>
  </si>
  <si>
    <t>@BAL:-144.29@</t>
  </si>
  <si>
    <t>Automatic Thank</t>
  </si>
  <si>
    <t>@BAL:-146.54@</t>
  </si>
  <si>
    <t>Cash Back Reward</t>
  </si>
  <si>
    <t>Entertainment Book</t>
  </si>
  <si>
    <t>Gyro Express</t>
  </si>
  <si>
    <t>7-Eleven</t>
  </si>
  <si>
    <t>Amazon Fresh</t>
  </si>
  <si>
    <t>Bright Horizons</t>
  </si>
  <si>
    <t>Macy's</t>
  </si>
  <si>
    <t>Oliver Twist</t>
  </si>
  <si>
    <t>Toys R US</t>
  </si>
  <si>
    <t>Amazon.com</t>
  </si>
  <si>
    <t>50s Diner</t>
  </si>
  <si>
    <t>Ballard Liquor</t>
  </si>
  <si>
    <t>Rudys Barber Shop</t>
  </si>
  <si>
    <t>Waking Life Massage</t>
  </si>
  <si>
    <t>Sprout Beanie;@R@</t>
  </si>
  <si>
    <t>MARION&amp;MINOR 69 Q25SEATTLEWA</t>
  </si>
  <si>
    <t>Shoreline Central Market</t>
  </si>
  <si>
    <t>LOANDEPOT.COM08883376888CA</t>
  </si>
  <si>
    <t>Metropolis</t>
  </si>
  <si>
    <t>Cards, etc.;@R@</t>
  </si>
  <si>
    <t>Little Tikes</t>
  </si>
  <si>
    <t>Cinerama</t>
  </si>
  <si>
    <t>SEATTLE 684-PARKSEATTLEWA</t>
  </si>
  <si>
    <t>Netflix</t>
  </si>
  <si>
    <t>Woodland Park Zoo</t>
  </si>
  <si>
    <t>Stuffed animals for Tony and Michelle w/ Zoo membership;@R@</t>
  </si>
  <si>
    <t>Zoo membership for Tony and Michelle</t>
  </si>
  <si>
    <t>Magnetic zoo play set and alligator pull toy;@R@</t>
  </si>
  <si>
    <t>Zeeks Pizza</t>
  </si>
  <si>
    <t>B&amp;H Photo</t>
  </si>
  <si>
    <t>Camera lens for Ang</t>
  </si>
  <si>
    <t>Aquinas And More</t>
  </si>
  <si>
    <t>Gift for Allan</t>
  </si>
  <si>
    <t>Oracle jacket;@R@</t>
  </si>
  <si>
    <t>RP Optimus Gloves (returned);@</t>
  </si>
  <si>
    <t>Fenite Beanie;@R@</t>
  </si>
  <si>
    <t>Camper ornament;@R@</t>
  </si>
  <si>
    <t>Ski boot ornament;@R@</t>
  </si>
  <si>
    <t>Marmot gloves;@R@</t>
  </si>
  <si>
    <t>Piroshki</t>
  </si>
  <si>
    <t>USPS</t>
  </si>
  <si>
    <t>Poquitos</t>
  </si>
  <si>
    <t>Whole Foods</t>
  </si>
  <si>
    <t>Samsung 46" 1080P for basement</t>
  </si>
  <si>
    <t>Fireworks</t>
  </si>
  <si>
    <t>Nail clippers for gift exchange;@R@</t>
  </si>
  <si>
    <t>GO! CALENDARS,GAMES,BOSEATTLEWA</t>
  </si>
  <si>
    <t>Gamestop</t>
  </si>
  <si>
    <t>Cinnabon</t>
  </si>
  <si>
    <t>OfficeMax</t>
  </si>
  <si>
    <t>Kid supplies;@R@</t>
  </si>
  <si>
    <t>Lancer At Woodland</t>
  </si>
  <si>
    <t>Food at woodland park zoo</t>
  </si>
  <si>
    <t>Ikea</t>
  </si>
  <si>
    <t>Shelving unit;@R@</t>
  </si>
  <si>
    <t>Compact Flash Card for Ang</t>
  </si>
  <si>
    <t>AA Party Rentals</t>
  </si>
  <si>
    <t>Taco Time</t>
  </si>
  <si>
    <t>Pete's Eggnest</t>
  </si>
  <si>
    <t>Luisas Mexican Grill</t>
  </si>
  <si>
    <t>KFC</t>
  </si>
  <si>
    <t>Shipping to Spokane;@R@</t>
  </si>
  <si>
    <t>AMC Pacific Place</t>
  </si>
  <si>
    <t>The Barking Dog Alehouse</t>
  </si>
  <si>
    <t>Dogs For The Deaf</t>
  </si>
  <si>
    <t>Panera Bread</t>
  </si>
  <si>
    <t>Fare Start</t>
  </si>
  <si>
    <t>Seattle Times Fund For The Needy</t>
  </si>
  <si>
    <t>Oak Tree Cinema</t>
  </si>
  <si>
    <t>Market Foundation</t>
  </si>
  <si>
    <t>Skillet;@R@</t>
  </si>
  <si>
    <t>Alex's Watch And Clock Repair</t>
  </si>
  <si>
    <t>PAsados Safe Haven</t>
  </si>
  <si>
    <t>Food Cvr CLPSP;@R@</t>
  </si>
  <si>
    <t>Bakker's Fine Drycleaning</t>
  </si>
  <si>
    <t>Washington Department Of Licensing</t>
  </si>
  <si>
    <t>@BAL:9450.88@</t>
  </si>
  <si>
    <t>Razzis Pizzeria Seattle</t>
  </si>
  <si>
    <t>Babies "R" Us</t>
  </si>
  <si>
    <t>flush potty</t>
  </si>
  <si>
    <t>Kids:Toys/Confirmed - Have receipt</t>
  </si>
  <si>
    <t>socks and underpants</t>
  </si>
  <si>
    <t>Kids:Clothing/Confirmed - Have receipt</t>
  </si>
  <si>
    <t>Greenwood Hardware</t>
  </si>
  <si>
    <t>Watch batteries;@R@</t>
  </si>
  <si>
    <t>Office Max</t>
  </si>
  <si>
    <t>Returned compact flash for Ang;@FD:12/31/12</t>
  </si>
  <si>
    <t>Good To Go</t>
  </si>
  <si>
    <t>Amazon Digital Services (Software)</t>
  </si>
  <si>
    <t>Cut the Rope</t>
  </si>
  <si>
    <t>Hales Ales Ltd</t>
  </si>
  <si>
    <t>Seattle Times</t>
  </si>
  <si>
    <t>Angela's birthday presents</t>
  </si>
  <si>
    <t>Pike Place Chowder</t>
  </si>
  <si>
    <t>Chloe Bistro</t>
  </si>
  <si>
    <t>Old Spaghetti Factory</t>
  </si>
  <si>
    <t>Polar Bear</t>
  </si>
  <si>
    <t>Puff the Magic Dragon Book</t>
  </si>
  <si>
    <t>Monkey face shirt</t>
  </si>
  <si>
    <t>Robot shirt</t>
  </si>
  <si>
    <t>Flush Potty</t>
  </si>
  <si>
    <t>Return other flush potty</t>
  </si>
  <si>
    <t>Amazon Digital Services (Music)</t>
  </si>
  <si>
    <t>Fun - Some Nights</t>
  </si>
  <si>
    <t>Miro Tea</t>
  </si>
  <si>
    <t>Phones</t>
  </si>
  <si>
    <t>Greenwood Mandarin</t>
  </si>
  <si>
    <t>Dizzy's Tumble Bus</t>
  </si>
  <si>
    <t>Pacific Northwest Ballet</t>
  </si>
  <si>
    <t>US Airways</t>
  </si>
  <si>
    <t>Steven's Pass Ski Rentals</t>
  </si>
  <si>
    <t>Bulls Tooth Pub (at Steven's Pass)</t>
  </si>
  <si>
    <t>Sultan Bakery</t>
  </si>
  <si>
    <t>Terrace Pavillion Pool</t>
  </si>
  <si>
    <t>SFOM event at the pool</t>
  </si>
  <si>
    <t>Dave's gloves</t>
  </si>
  <si>
    <t>Bike computer (combined with xmas gift return);@R@</t>
  </si>
  <si>
    <t>Vios Cafe</t>
  </si>
  <si>
    <t>Seattle Rep</t>
  </si>
  <si>
    <t>Toulouse Petit Kitchen And Lounge</t>
  </si>
  <si>
    <t>Big Food (at Seattle Center)</t>
  </si>
  <si>
    <t>@C@;@BAL:6246.30@</t>
  </si>
  <si>
    <t>Skillet</t>
  </si>
  <si>
    <t>Seattle Childrens Museum</t>
  </si>
  <si>
    <t>#Kalaloch_2013#</t>
  </si>
  <si>
    <t>Something returned to Fred Meyer (toys or clothes?)</t>
  </si>
  <si>
    <t>Bizzarro Italian Cafe</t>
  </si>
  <si>
    <t>Book - What it's like to climb mt. everest;@R@</t>
  </si>
  <si>
    <t>Something returned to Target</t>
  </si>
  <si>
    <t>TinyPrints.com</t>
  </si>
  <si>
    <t>Invitations</t>
  </si>
  <si>
    <t>Books for Matthew</t>
  </si>
  <si>
    <t>Restaurant or activity?</t>
  </si>
  <si>
    <t>Brady's birthday present</t>
  </si>
  <si>
    <t>2011: 09 BARTELL DRUGS SEATTLE WA</t>
  </si>
  <si>
    <t>Children's museum</t>
  </si>
  <si>
    <t>2011: DIAMOND PARKING WE09 EVERETT WA</t>
  </si>
  <si>
    <t>Marion Minor Q</t>
  </si>
  <si>
    <t>2011: MARION&amp;MINOR 69 Q25 SEATTLE WA</t>
  </si>
  <si>
    <t>2011: FRESH TABLE-MET PARK SEATTLE WA</t>
  </si>
  <si>
    <t>2011: SEATTLE 684-PARK SEATTLE WA</t>
  </si>
  <si>
    <t>Cash back award</t>
  </si>
  <si>
    <t>Shoes for the boys</t>
  </si>
  <si>
    <t>2011: SQ *LISA AT STARDUST S Seattle WA</t>
  </si>
  <si>
    <t>Game for Claire</t>
  </si>
  <si>
    <t>Paint brushes</t>
  </si>
  <si>
    <t>2011: TRADER JOE'S #147 QPS SEATTLE WA</t>
  </si>
  <si>
    <t>50 North</t>
  </si>
  <si>
    <t>Dinner</t>
  </si>
  <si>
    <t>Pies Are Square</t>
  </si>
  <si>
    <t>2011: SQ *314 PIE FOOD TRUCK Seattle WA</t>
  </si>
  <si>
    <t>Glide Bikes Wilmington</t>
  </si>
  <si>
    <t>2011: GLIDE BIKES INC WILMINGTON NC</t>
  </si>
  <si>
    <t>Taco Del Mar</t>
  </si>
  <si>
    <t>2011: TACO DEL MAR GREENWOOD SEATTLE WA</t>
  </si>
  <si>
    <t>Lumineers and Grammy CDs</t>
  </si>
  <si>
    <t>Bike helmets for the boys</t>
  </si>
  <si>
    <t>@BAL:1882.01@</t>
  </si>
  <si>
    <t>Zach and Josh's Birthday</t>
  </si>
  <si>
    <t>2011: SAFEWAY STORE 00018457 SEATTLE WA</t>
  </si>
  <si>
    <t>Cuoco</t>
  </si>
  <si>
    <t>#CRAB:Team Lunch - Ang#reimbursed from Fred Huthinson</t>
  </si>
  <si>
    <t>Beach Comber Kids Cuts</t>
  </si>
  <si>
    <t>2011: BEACH COMBER KIDS CUTS SEATLE WA</t>
  </si>
  <si>
    <t>2011: RAZZIS PIZZERIA SEATTLE WA</t>
  </si>
  <si>
    <t>Stacias</t>
  </si>
  <si>
    <t>2011: STACIA`S PIZZA SEATTLE WA</t>
  </si>
  <si>
    <t>2011: PARTY @ DISPLAY &amp; C 206-362-4810 WA</t>
  </si>
  <si>
    <t>A A Party Rentals</t>
  </si>
  <si>
    <t>Kids 3rd birthday</t>
  </si>
  <si>
    <t>Kids 3rd Birthday</t>
  </si>
  <si>
    <t>2011: HALES ALES LTD SEATTLE WA</t>
  </si>
  <si>
    <t>Paint and patch, light bulbs for 7231;@R@</t>
  </si>
  <si>
    <t>Business Expenses (Koolikai):Repairs/Tax Related</t>
  </si>
  <si>
    <t>2011: NETFLIX.COM NETFLIX.COM CA</t>
  </si>
  <si>
    <t>Lowes</t>
  </si>
  <si>
    <t>Carpet cleaner rental for 7231;@R@</t>
  </si>
  <si>
    <t>Daniels Broiler</t>
  </si>
  <si>
    <t>2011: DANIELS BROILER LES 22 SEATTLE WA</t>
  </si>
  <si>
    <t>Latona Pub Seattle</t>
  </si>
  <si>
    <t>2011: LATONA PUB SEATTLE WA</t>
  </si>
  <si>
    <t>ACT*Seafair 877-228-4881 CA</t>
  </si>
  <si>
    <t>Torchlight Run</t>
  </si>
  <si>
    <t>Blueacre Seafood Seattle</t>
  </si>
  <si>
    <t>2011: BLUEACRE SEAFOOD SEATTLE WA</t>
  </si>
  <si>
    <t>Act Seafair Ca</t>
  </si>
  <si>
    <t>Blue Water Taco Grill</t>
  </si>
  <si>
    <t>2011: BLUE WATER TACO GRILL- SEATTLE WA</t>
  </si>
  <si>
    <t>Sprayer (2 Gallon);@R@</t>
  </si>
  <si>
    <t>Sprayer (1 Gallon);@R@</t>
  </si>
  <si>
    <t>Blinds;@R@</t>
  </si>
  <si>
    <t>Paint;@R@</t>
  </si>
  <si>
    <t>Moss cleaner;@R@</t>
  </si>
  <si>
    <t>Extension cord;@R@</t>
  </si>
  <si>
    <t>Extension cord (heavy duty);@R</t>
  </si>
  <si>
    <t>Fasteners;@R@</t>
  </si>
  <si>
    <t>9v Batteries;@R@</t>
  </si>
  <si>
    <t>Pliers;@R@</t>
  </si>
  <si>
    <t>Adjustable wrenches;@R@</t>
  </si>
  <si>
    <t>2011: GOOD2GO REPLENISHMENT SEATTLE WA</t>
  </si>
  <si>
    <t>2011: LUISAS MEXICAN GRILL SEATTLE WA</t>
  </si>
  <si>
    <t>2011: RUDYS BARBER SHOP - PH SEATTLE WA</t>
  </si>
  <si>
    <t>American Apt Owners Association</t>
  </si>
  <si>
    <t>Credit check for Aaron and Gabriella Ausland</t>
  </si>
  <si>
    <t>Business Expenses (Koolikai):Office Expenses (Business)/7231</t>
  </si>
  <si>
    <t>Digital scale</t>
  </si>
  <si>
    <t>Bag that hangs off purse</t>
  </si>
  <si>
    <t>Co-worker gift</t>
  </si>
  <si>
    <t>2011: TACO TIME LYNNWOOD LYNNWOOD WA</t>
  </si>
  <si>
    <t>Quincy Seattle Wa</t>
  </si>
  <si>
    <t>2011: QUINCY'S SEATTLE WA</t>
  </si>
  <si>
    <t>2011: PIE - SEATTLE CENTER SEATTLE WA</t>
  </si>
  <si>
    <t>Ballard Market</t>
  </si>
  <si>
    <t>Lunch for our day date</t>
  </si>
  <si>
    <t>Tent;@R@</t>
  </si>
  <si>
    <t>Rei</t>
  </si>
  <si>
    <t>Convertible pants;@R@</t>
  </si>
  <si>
    <t>2011: COMCAST CABLE COMM 800-COMCAST WA</t>
  </si>
  <si>
    <t>Bai Tong</t>
  </si>
  <si>
    <t>Lunch with Kirsty</t>
  </si>
  <si>
    <t>2011: GG *PHINNEY NEIGHBORHO SEATTLE WA</t>
  </si>
  <si>
    <t>Digital Photos</t>
  </si>
  <si>
    <t>School pictures</t>
  </si>
  <si>
    <t>2011: STARBUCKS #00104 SEATT Seattle WA</t>
  </si>
  <si>
    <t>diapers;@R@</t>
  </si>
  <si>
    <t>@R@;Boxers</t>
  </si>
  <si>
    <t>Discount Tire</t>
  </si>
  <si>
    <t>Tires for the Rav</t>
  </si>
  <si>
    <t>Union 76</t>
  </si>
  <si>
    <t>2011: 76 00448019 SEATTLE WA</t>
  </si>
  <si>
    <t>@BAL:4012.25@</t>
  </si>
  <si>
    <t>City Hardware Seattle</t>
  </si>
  <si>
    <t>Painters tape for SFOM#SFOM:April_2013#</t>
  </si>
  <si>
    <t>Fedexoffice Seattle Wa</t>
  </si>
  <si>
    <t>Printing for SFOM#SFOM:April_2013#</t>
  </si>
  <si>
    <t>2011: WOODLAND PARK ZOO SEATTLE WA</t>
  </si>
  <si>
    <t>Jersey Great Food</t>
  </si>
  <si>
    <t>Dinner with Pierre, Jessie, Jenny and Greg</t>
  </si>
  <si>
    <t>2011: VIOS CAFE AT 3RD PLACE SEATTLE WA</t>
  </si>
  <si>
    <t>Toys for Scottsdale trip;@R@</t>
  </si>
  <si>
    <t>Time Magazine</t>
  </si>
  <si>
    <t>2011: TWX*TIME MAGAZINE 800-843-TIME NY</t>
  </si>
  <si>
    <t>For Paige and Wendy's baby sho</t>
  </si>
  <si>
    <t>2011: THE CLEANING AUTHORITY SEATTLE WA</t>
  </si>
  <si>
    <t>Us Airways</t>
  </si>
  <si>
    <t>Baggage check for Scottsdale trip#Scottsdale_2013#</t>
  </si>
  <si>
    <t>#Scottsdale_2013#Groceries</t>
  </si>
  <si>
    <t>Great American Bagel</t>
  </si>
  <si>
    <t>2011: GREAT AMERICAN BAGEL SEATTLE WA</t>
  </si>
  <si>
    <t>Pinnacle Grille Scottsdale</t>
  </si>
  <si>
    <t>Aj Scottsdale Az</t>
  </si>
  <si>
    <t>Breakfast with Dad and Margot#Scottsdale_2013#</t>
  </si>
  <si>
    <t>Mc Cormick-stillman Railroad</t>
  </si>
  <si>
    <t>Paypal</t>
  </si>
  <si>
    <t>MyNissanLeaf.com membership</t>
  </si>
  <si>
    <t>Baggage Fee#Scottsdale_2013#</t>
  </si>
  <si>
    <t>Lunch in flight to Scottsdale#Scottsdale_2013#</t>
  </si>
  <si>
    <t>2011: WENDYS-SWL #0405 SEATTLE WA</t>
  </si>
  <si>
    <t>Tickets to San Diego#San Diego_2013#</t>
  </si>
  <si>
    <t>Obliteride Registratio Seattle</t>
  </si>
  <si>
    <t>2011: OBLITERIDE REGISTRATIO SEATTLE WA</t>
  </si>
  <si>
    <t>Thai Siam Restaurant</t>
  </si>
  <si>
    <t>2011: THAI SIAM RESTAURANT SEATTLE WA</t>
  </si>
  <si>
    <t>2011: WALGREENS #3515 SEATTLE WA</t>
  </si>
  <si>
    <t>2011: MCDONALD'S F12294 MOSES LAKE WA</t>
  </si>
  <si>
    <t>Pogacha Of Issaquah</t>
  </si>
  <si>
    <t>2011: POGACHA OF ISSAQUAH ISSAQUAH WA</t>
  </si>
  <si>
    <t>Madison Inn</t>
  </si>
  <si>
    <t>#Spokane_2013#</t>
  </si>
  <si>
    <t>Gasoline#Spokane_2013#</t>
  </si>
  <si>
    <t>Fiesta Mexicana</t>
  </si>
  <si>
    <t>Spokane lunch with Tony and Michelle#Spokane_2013#</t>
  </si>
  <si>
    <t>Perbacco</t>
  </si>
  <si>
    <t>Kangaroo &amp; Kiwi</t>
  </si>
  <si>
    <t>2011: KANGAROO &amp; KIWI SEATTLE WA</t>
  </si>
  <si>
    <t>Pallino</t>
  </si>
  <si>
    <t>2011: PALLINO PASTARIA SEATA SEATTLE WA</t>
  </si>
  <si>
    <t>2011: TACO TIME WALLINGFO SEATTLE WA</t>
  </si>
  <si>
    <t>Make up</t>
  </si>
  <si>
    <t>2011: WALGREENS #4680 SAN FRANCISCO CA</t>
  </si>
  <si>
    <t>Big Tent</t>
  </si>
  <si>
    <t>2011: BIGTENTGROUPS 4152305651 CA</t>
  </si>
  <si>
    <t>Jamba Juice</t>
  </si>
  <si>
    <t>2011: JAMBA JUICE #138 SAN FRANCISCO CA</t>
  </si>
  <si>
    <t>Slanted Door</t>
  </si>
  <si>
    <t>@BAL:3702.12@#CRAB:San Francisco_2013#</t>
  </si>
  <si>
    <t>Go Bistro Burlingame</t>
  </si>
  <si>
    <t>Blue Star Cafe</t>
  </si>
  <si>
    <t>2011: BLUE STAR CAFE &amp; P SEATTLE WA</t>
  </si>
  <si>
    <t>Pasta Bella</t>
  </si>
  <si>
    <t>2011: PASTA BELLA BALLARD SEATTLE WA</t>
  </si>
  <si>
    <t>Hyatt</t>
  </si>
  <si>
    <t>#CRAB:San Francisco_2013#Hyatt Hotel</t>
  </si>
  <si>
    <t>Solve It!  Think Out Of The Box</t>
  </si>
  <si>
    <t>2011: OLIVER'S TWIST SEATTLE WA</t>
  </si>
  <si>
    <t>Ftd</t>
  </si>
  <si>
    <t>Flowers for Linda (Mother's day)</t>
  </si>
  <si>
    <t>Vehicle Emissions Seattle</t>
  </si>
  <si>
    <t>Emissions test on BMW;@R@</t>
  </si>
  <si>
    <t>Refund on auto insurance for deductible change</t>
  </si>
  <si>
    <t>@C@; Have receipt but hard to tell what it is</t>
  </si>
  <si>
    <t>2011: SUBWAY 00040915 SEATTLE WA</t>
  </si>
  <si>
    <t>Ampco</t>
  </si>
  <si>
    <t>2011: AMPCO-LINDEMAN PAVILLI SEATTLE WA</t>
  </si>
  <si>
    <t>Printtixusa Taylorsville Ut</t>
  </si>
  <si>
    <t>Tap Root Tickets for Bach at Lepzig</t>
  </si>
  <si>
    <t>Wa Parksreservationswe Olympia</t>
  </si>
  <si>
    <t>#Rasar State Park#</t>
  </si>
  <si>
    <t>Century Nails &amp; Spa</t>
  </si>
  <si>
    <t>Pedicure</t>
  </si>
  <si>
    <t>2011: DIAMOND PARKING A135 SEATTLE WA</t>
  </si>
  <si>
    <t>Sq Flourish Colle</t>
  </si>
  <si>
    <t>Soaps and cards for mothers day</t>
  </si>
  <si>
    <t>2011: METROPOLIS SEATTLE WA</t>
  </si>
  <si>
    <t>Ludlow</t>
  </si>
  <si>
    <t>Tea and fig jam for mother's day</t>
  </si>
  <si>
    <t>Vehicle Licensing</t>
  </si>
  <si>
    <t>Tabs for BMW</t>
  </si>
  <si>
    <t>Quicken</t>
  </si>
  <si>
    <t>2011: TAPROOT THEATRE COMPAN SEATTLE WA</t>
  </si>
  <si>
    <t>Seattle Public Library</t>
  </si>
  <si>
    <t>2011: SEATTLE PUBLIC LIB FDT SEATTLE WA</t>
  </si>
  <si>
    <t>2011: PREMIER PARKING MARION NASHVILLE TN</t>
  </si>
  <si>
    <t>2011: THEHILIFE SEATTLE WA</t>
  </si>
  <si>
    <t>Photos</t>
  </si>
  <si>
    <t>2011: WENDYS-SWL #0407 EVERETT WA</t>
  </si>
  <si>
    <t>Super Jock n Jill</t>
  </si>
  <si>
    <t>@R@Running Shoes</t>
  </si>
  <si>
    <t>Blue Bird</t>
  </si>
  <si>
    <t>2011: BLUEBIRD ICE CREAM GRE 206-5881079 WA</t>
  </si>
  <si>
    <t>Six Arms</t>
  </si>
  <si>
    <t>2011: MCMENAMINS SIX ARMS PU SEATTLE WA</t>
  </si>
  <si>
    <t>Barking Dog Alehouse</t>
  </si>
  <si>
    <t>2011: THE BARKING DOG ALEHOU SEATTLE WA</t>
  </si>
  <si>
    <t>Queen Mary Tea Room</t>
  </si>
  <si>
    <t>Yannis Greek Restaurant</t>
  </si>
  <si>
    <t>2011: YANNIS GREEK RESTAURAN SEATTLE WA</t>
  </si>
  <si>
    <t>Chocolati</t>
  </si>
  <si>
    <t>2011: CHOCOLATI/CHOCOLATI CA SEATTLE WA</t>
  </si>
  <si>
    <t>Outdoor furniture</t>
  </si>
  <si>
    <t>Regal</t>
  </si>
  <si>
    <t>Candy at the movie</t>
  </si>
  <si>
    <t>The Great Gatsby</t>
  </si>
  <si>
    <t>2011: PANERA BREAD #01009 SEATTLE WA</t>
  </si>
  <si>
    <t>Boys sleeping bags</t>
  </si>
  <si>
    <t>Auto Technician</t>
  </si>
  <si>
    <t>O2 sensor for Rav</t>
  </si>
  <si>
    <t>Media organizer</t>
  </si>
  <si>
    <t>Seattle Times Subscrip</t>
  </si>
  <si>
    <t>Refund for remaining Seattle Times Subscription</t>
  </si>
  <si>
    <t>@BAL:4089.89@</t>
  </si>
  <si>
    <t>2011: SAFEWAY STORE00004960 REDMOND WA</t>
  </si>
  <si>
    <t>2011: FRED-MEYER #0122 SEATTLE WA</t>
  </si>
  <si>
    <t>Washington State Ferries</t>
  </si>
  <si>
    <t>Ferry to Whidby Island#Whidby_Island#</t>
  </si>
  <si>
    <t>Zazzle</t>
  </si>
  <si>
    <t>2011: ZAZZLE.COM 08009809890 CA</t>
  </si>
  <si>
    <t>2011: 7-ELEVEN 16022 SEATTLE WA</t>
  </si>
  <si>
    <t>Twx Runnwrld Ny</t>
  </si>
  <si>
    <t>Runners world subscription</t>
  </si>
  <si>
    <t>Recreation Gov Ny</t>
  </si>
  <si>
    <t>Heavy duty extension cord;@R@</t>
  </si>
  <si>
    <t>Sprayer 2 gallon;@R@</t>
  </si>
  <si>
    <t>Grill for pack porch;@R@</t>
  </si>
  <si>
    <t>Black spray paint;@R@</t>
  </si>
  <si>
    <t>Pac Sci Ctr</t>
  </si>
  <si>
    <t>Bogus charge for movie.  Refunded.</t>
  </si>
  <si>
    <t>Jewel</t>
  </si>
  <si>
    <t>2011: THE JEWEL BOX CAFE SEATTLE WA</t>
  </si>
  <si>
    <t>Movie Refund</t>
  </si>
  <si>
    <t>2011: REGAL THORNTON PLACE 1 SEATTLE WA</t>
  </si>
  <si>
    <t>Amazon Kindle</t>
  </si>
  <si>
    <t>Excel Macro Book</t>
  </si>
  <si>
    <t>Pacific Fabrics &amp; Crafts</t>
  </si>
  <si>
    <t>Tape for hemming jeans;@R@</t>
  </si>
  <si>
    <t>2011: TACO DEL MAR N00001776 SEATTLE WA</t>
  </si>
  <si>
    <t>Big 5 Sporting</t>
  </si>
  <si>
    <t>Kids wagon;@R@</t>
  </si>
  <si>
    <t>Play Date</t>
  </si>
  <si>
    <t>2011: PLAYDATE PDX SEATTLE WA</t>
  </si>
  <si>
    <t>Micro HDMI to HDMI cable</t>
  </si>
  <si>
    <t>Ivars</t>
  </si>
  <si>
    <t>Amazon Prime</t>
  </si>
  <si>
    <t>Amazon Prime Subscription</t>
  </si>
  <si>
    <t>Gymboree</t>
  </si>
  <si>
    <t>Ann Taylor</t>
  </si>
  <si>
    <t>Jockey</t>
  </si>
  <si>
    <t>Maidenform</t>
  </si>
  <si>
    <t>Leggs Hanes Bali</t>
  </si>
  <si>
    <t>Oshkosh</t>
  </si>
  <si>
    <t>Athletica</t>
  </si>
  <si>
    <t>@R@;Swim suit</t>
  </si>
  <si>
    <t>Eddie Bauer</t>
  </si>
  <si>
    <t>@R@Shirts</t>
  </si>
  <si>
    <t>Greenlake Bar &amp; Grill Seattle Wa</t>
  </si>
  <si>
    <t>2011: GREENLAKE BAR &amp; GRILL SEATTLE WA</t>
  </si>
  <si>
    <t>Streamliner Diner Bainbridge Is</t>
  </si>
  <si>
    <t>@BAL:2180.29@#Bainbridge_2013#</t>
  </si>
  <si>
    <t>Rudys Barber Shop - Ph Seattle W</t>
  </si>
  <si>
    <t>Luisas Mexican Grill Seattle Wa</t>
  </si>
  <si>
    <t>Mora Iced Creamery Bainbridge Is</t>
  </si>
  <si>
    <t>#Bainbridge_2013#</t>
  </si>
  <si>
    <t>Wsferries-cd 888808797 Seattle W</t>
  </si>
  <si>
    <t>@R@;Shipping to Custer</t>
  </si>
  <si>
    <t>8" Hook;@R@</t>
  </si>
  <si>
    <t>Pump for camping;@R@</t>
  </si>
  <si>
    <t>Cards;@R@</t>
  </si>
  <si>
    <t>Curved Hook (camping?);@R@</t>
  </si>
  <si>
    <t>Dunk bag (camping?);@R@</t>
  </si>
  <si>
    <t>Door knob, pad lock</t>
  </si>
  <si>
    <t>@R@;Bird feeder hanger &amp; hook</t>
  </si>
  <si>
    <t>Lancer At Woodland Seattle Wa</t>
  </si>
  <si>
    <t>2011: LANCER AT WOODLAND SEATTLE WA</t>
  </si>
  <si>
    <t>Sleepbuddy 4049849004 Ga</t>
  </si>
  <si>
    <t>2011: SLEEPBUDDY 4049849004 GA</t>
  </si>
  <si>
    <t>Yard Cafe Seattle</t>
  </si>
  <si>
    <t>2011: THE YARD CAFE SEATTLE WA</t>
  </si>
  <si>
    <t>2011: BRIGHT HORIZONS 6176738000 MA</t>
  </si>
  <si>
    <t>Lls E Fundraising</t>
  </si>
  <si>
    <t>Charity run contribution - check Taxes account for email</t>
  </si>
  <si>
    <t>Shell</t>
  </si>
  <si>
    <t>2011: SHELL OIL 636522202QPS BURLINGTON WA</t>
  </si>
  <si>
    <t>O'reilly Auto Parts</t>
  </si>
  <si>
    <t>Battery charger;@R@</t>
  </si>
  <si>
    <t>Matts Rotisserie &amp; Oyster Lng</t>
  </si>
  <si>
    <t>#MS:Intern Lunch - Dave#</t>
  </si>
  <si>
    <t>Camping supplies;@R@#Kalaloch_2013#</t>
  </si>
  <si>
    <t>2011: SHELL OIL 57444040406 SEATTLE WA</t>
  </si>
  <si>
    <t>2011: FRED-MEYER #0608 SEATTLE WA</t>
  </si>
  <si>
    <t>74th St Ale House</t>
  </si>
  <si>
    <t>2011: 74TH ST ALE HOUSE INC SEATTLE WA</t>
  </si>
  <si>
    <t>La Isla</t>
  </si>
  <si>
    <t>2011: LA ISLA SEATTLE WA</t>
  </si>
  <si>
    <t>Gifts for Georgia;@R@</t>
  </si>
  <si>
    <t>2011: WENDYS-SWL #0416 EVERETT WA</t>
  </si>
  <si>
    <t>Newhalem Visitor Center</t>
  </si>
  <si>
    <t>Stuffed animals for kids;@R@#Newhalem#</t>
  </si>
  <si>
    <t>2011: 76 10108538 SEATTLE WA</t>
  </si>
  <si>
    <t>Ride The Ducks</t>
  </si>
  <si>
    <t>Team event covered by Ang's book royalty</t>
  </si>
  <si>
    <t>Stockwell &amp; Associates</t>
  </si>
  <si>
    <t>2011: STOCKWELL AND ASSOCIAT LYNNWOOD WA</t>
  </si>
  <si>
    <t>Credit for chargepoint car chargers</t>
  </si>
  <si>
    <t>@C@@BAL:2973.01@</t>
  </si>
  <si>
    <t>2011: SAFEWAY STORE00011437 SEATTLE WA</t>
  </si>
  <si>
    <t>Groundspeak Membership Groundspeak</t>
  </si>
  <si>
    <t>2011: Groundspeak Membership 206-302-7721 WA</t>
  </si>
  <si>
    <t>Seattle Children's Theater</t>
  </si>
  <si>
    <t>Dot and Ziggy Tickets</t>
  </si>
  <si>
    <t>Close Erin Riordan's water account</t>
  </si>
  <si>
    <t>Kfc</t>
  </si>
  <si>
    <t>Kalaloch Lodge Store</t>
  </si>
  <si>
    <t>Ice#Kalaloch_2013#</t>
  </si>
  <si>
    <t>Gas#Kalaloch_2013#</t>
  </si>
  <si>
    <t>Olympic National Park</t>
  </si>
  <si>
    <t>Angela's Hat</t>
  </si>
  <si>
    <t>Blue tooth gadget for monitoring the Leaf</t>
  </si>
  <si>
    <t>Cold Stone Creamery</t>
  </si>
  <si>
    <t>Ice cream cake for Dave's Birthday</t>
  </si>
  <si>
    <t>Bass</t>
  </si>
  <si>
    <t>Leggs Hanes Bali Outlet</t>
  </si>
  <si>
    <t>Banana Republic</t>
  </si>
  <si>
    <t>Hole saws for electrical outlet;@R@</t>
  </si>
  <si>
    <t>Dishwshr for 7231 w instl kit and 5y svc agrmt#7231:Dishwasher#</t>
  </si>
  <si>
    <t>Business Expenses (Koolikai):Projects/Tax Related</t>
  </si>
  <si>
    <t>Dishwasher diagnostic for 7231</t>
  </si>
  <si>
    <t>Madison Delivery Kitch</t>
  </si>
  <si>
    <t>Pizza for Duck tour</t>
  </si>
  <si>
    <t>Dishwasher discount;@R@#7231:Dishwasher#</t>
  </si>
  <si>
    <t>#Electric Car#@R@</t>
  </si>
  <si>
    <t>Phinney Market Pub</t>
  </si>
  <si>
    <t>Hc Henry Pier</t>
  </si>
  <si>
    <t>American Apt Own</t>
  </si>
  <si>
    <t>Credit check for John and Valerie Shaibley</t>
  </si>
  <si>
    <t>Business Expenses (Koolikai):Office Expenses (Business)/9602</t>
  </si>
  <si>
    <t>Bird feeder hanger;@R@</t>
  </si>
  <si>
    <t>Cowgirl Kate return;@R@</t>
  </si>
  <si>
    <t>Train tracks;@R@</t>
  </si>
  <si>
    <t>Electric screwdriver;@R@</t>
  </si>
  <si>
    <t>Kids colored glasses;@R@</t>
  </si>
  <si>
    <t>Toys and backpacks for San Diego</t>
  </si>
  <si>
    <t>Fat Fish Cantina</t>
  </si>
  <si>
    <t>Albertsons</t>
  </si>
  <si>
    <t>Sea World</t>
  </si>
  <si>
    <t>#San Diego_2013#Parking Sea World</t>
  </si>
  <si>
    <t>#San Diego_2013#Lunch on the plane</t>
  </si>
  <si>
    <t>Anthony's</t>
  </si>
  <si>
    <t>Water bottles and other assorted vacation items</t>
  </si>
  <si>
    <t>Cvs</t>
  </si>
  <si>
    <t>Dlux Dziner Eyez</t>
  </si>
  <si>
    <t>@R@;Sunglasses for Ang</t>
  </si>
  <si>
    <t>Bare Back Grill</t>
  </si>
  <si>
    <t>Wap Parking Escondido</t>
  </si>
  <si>
    <t>#San Diego_2013#Parking Safari Park</t>
  </si>
  <si>
    <t>Wap Safari Cones</t>
  </si>
  <si>
    <t>#San Diego_2013#Orange Ice at Safari Park</t>
  </si>
  <si>
    <t>Carousel Kiosk San</t>
  </si>
  <si>
    <t>Carousel pass at Safari Park#San Diego_2013#</t>
  </si>
  <si>
    <t>Patio San Diego</t>
  </si>
  <si>
    <t>Taco Surf San</t>
  </si>
  <si>
    <t>Enoteca Adriano San</t>
  </si>
  <si>
    <t>Corner San Diego</t>
  </si>
  <si>
    <t>Gasoline#San Diego_2013#</t>
  </si>
  <si>
    <t>Shuttlepark Tukwila Wa</t>
  </si>
  <si>
    <t>Ballard Sfb Seattle</t>
  </si>
  <si>
    <t>Wild Ginger</t>
  </si>
  <si>
    <t>Toggle bolts for 9602;@R@</t>
  </si>
  <si>
    <t>Oliver's Twist</t>
  </si>
  <si>
    <t>Light fixture for 9602;@R@</t>
  </si>
  <si>
    <t>@R@;Bath vanity replacement at</t>
  </si>
  <si>
    <t>@R@#Electric Car#</t>
  </si>
  <si>
    <t>Running bra</t>
  </si>
  <si>
    <t>Kids place mats;@R@</t>
  </si>
  <si>
    <t>Remlinger Farms Carnation</t>
  </si>
  <si>
    <t>baby shower (Paige?)</t>
  </si>
  <si>
    <t>Wild Coffee</t>
  </si>
  <si>
    <t>Allergy medication#MS:Victoria_2013#</t>
  </si>
  <si>
    <t>West Coast Waffles</t>
  </si>
  <si>
    <t>Lush</t>
  </si>
  <si>
    <t>Ecotality Blink A</t>
  </si>
  <si>
    <t>Michaels</t>
  </si>
  <si>
    <t>Fireworks Westlake Cen</t>
  </si>
  <si>
    <t>Book: But I wanted a pony;@R@</t>
  </si>
  <si>
    <t>Floyd Diner Victoria</t>
  </si>
  <si>
    <t>#MS:Victoria_2013#Breakfast</t>
  </si>
  <si>
    <t>Carter's</t>
  </si>
  <si>
    <t>OshKosh B'gosh</t>
  </si>
  <si>
    <t>@R@;Jeans</t>
  </si>
  <si>
    <t>Jazz Alley</t>
  </si>
  <si>
    <t>Tony's birthday present</t>
  </si>
  <si>
    <t>Burger King</t>
  </si>
  <si>
    <t>Seattle Rep Web</t>
  </si>
  <si>
    <t>Pancreatic cancer donation</t>
  </si>
  <si>
    <t>Washington State Fair</t>
  </si>
  <si>
    <t>Bernie Burgers Tacoma</t>
  </si>
  <si>
    <t>Transfer Station</t>
  </si>
  <si>
    <t>Cleanup for 9602</t>
  </si>
  <si>
    <t>Tutta Bela</t>
  </si>
  <si>
    <t>Turtle wax and pads;@R@</t>
  </si>
  <si>
    <t>#Electric Car# 6 awg wire;@R@</t>
  </si>
  <si>
    <t>Thai Siam</t>
  </si>
  <si>
    <t>Playdate Sea</t>
  </si>
  <si>
    <t>ClipperCreek</t>
  </si>
  <si>
    <t>Charging station for Leaf#Electric Car#</t>
  </si>
  <si>
    <t>O Reilly Auto</t>
  </si>
  <si>
    <t>Fogon Cocina Mexicana</t>
  </si>
  <si>
    <t>Refund of sales taxes on charging outlet;#Electric Car#@R@</t>
  </si>
  <si>
    <t>Returned bathroom vanity light for 9602;@R@</t>
  </si>
  <si>
    <t>Pesos</t>
  </si>
  <si>
    <t>Date Night - Servant of two masters;@R@;</t>
  </si>
  <si>
    <t>Mr Gyros Seattle</t>
  </si>
  <si>
    <t>City Of Seattle (DPD)</t>
  </si>
  <si>
    <t>Permit for 240v charging outlet#Electric Car#</t>
  </si>
  <si>
    <t>Mohai</t>
  </si>
  <si>
    <t>#SFOM:October_2013#</t>
  </si>
  <si>
    <t>@BAL:$2473.36@</t>
  </si>
  <si>
    <t>#Electric Car# - outlet cover;@R@</t>
  </si>
  <si>
    <t>Great Wolf Lodge</t>
  </si>
  <si>
    <t>@C@#Great Wolf Lodge#</t>
  </si>
  <si>
    <t>Clara for date night (11/16);@</t>
  </si>
  <si>
    <t>Pesos for date night (11/16);@</t>
  </si>
  <si>
    <t>Rudy's Tip (11/16);@C@</t>
  </si>
  <si>
    <t>Balance of cash from Ruby;@C@</t>
  </si>
  <si>
    <t>Sports bra return</t>
  </si>
  <si>
    <t>2011: JERSEY'S GREAT FOOD AN SHORELINE WA</t>
  </si>
  <si>
    <t>Razzis Pizzeria</t>
  </si>
  <si>
    <t>Smurf costumes</t>
  </si>
  <si>
    <t>Time Out Burgers</t>
  </si>
  <si>
    <t>Dinner with Rich and Amy</t>
  </si>
  <si>
    <t>Aa Inflight Tulsa</t>
  </si>
  <si>
    <t>#CRAB:Chicago_2013#In flight meal?</t>
  </si>
  <si>
    <t>Bockwinkel's Grocery</t>
  </si>
  <si>
    <t>Bella Bacino</t>
  </si>
  <si>
    <t>Return extra components #Electric Car#@R@</t>
  </si>
  <si>
    <t>CVS</t>
  </si>
  <si>
    <t>Extension cord for 9602;@R@</t>
  </si>
  <si>
    <t>Grill cover for grill on deck;@R@</t>
  </si>
  <si>
    <t>Bandera</t>
  </si>
  <si>
    <t>Volare</t>
  </si>
  <si>
    <t>Macaroni Grill</t>
  </si>
  <si>
    <t>Pie</t>
  </si>
  <si>
    <t>Quincy's Burgers</t>
  </si>
  <si>
    <t>Pacific Science Center</t>
  </si>
  <si>
    <t>2011: PAC SCI CTR BOX OFFICE 206-443-2855 WA</t>
  </si>
  <si>
    <t>Nick's Junior</t>
  </si>
  <si>
    <t>2011: NICKS JR EVERETT WA</t>
  </si>
  <si>
    <t>#CRAB:Chicago_2013#Hyatt Hotel</t>
  </si>
  <si>
    <t>Microsoft Phone Store</t>
  </si>
  <si>
    <t>Brain Teasers app for the Phone</t>
  </si>
  <si>
    <t>Entertainment Weekly</t>
  </si>
  <si>
    <t>2 year subscription</t>
  </si>
  <si>
    <t>Additional premium for Leaf</t>
  </si>
  <si>
    <t>Refund for Blue tooth ODBC gadget</t>
  </si>
  <si>
    <t>Santoros Books</t>
  </si>
  <si>
    <t>Halloween books;@R@</t>
  </si>
  <si>
    <t>Great Wolf Grnd</t>
  </si>
  <si>
    <t>#Great Wolf Lodge#</t>
  </si>
  <si>
    <t>Great Wolf Gift</t>
  </si>
  <si>
    <t>Flip flops for Angela</t>
  </si>
  <si>
    <t>Flourish</t>
  </si>
  <si>
    <t>House warming gifts for Gus and Louma;@R@</t>
  </si>
  <si>
    <t>Travel to and from GWL#Great Wolf Lodge#</t>
  </si>
  <si>
    <t>Bear statue and refrigerator magnet</t>
  </si>
  <si>
    <t>Current/Volt meter;@R@</t>
  </si>
  <si>
    <t>Asurion Wireless</t>
  </si>
  <si>
    <t>Replacement phone for Angela (HTC 8X)</t>
  </si>
  <si>
    <t>Company Store</t>
  </si>
  <si>
    <t>Arc Mouse;@R@</t>
  </si>
  <si>
    <t>2011: DIAMOND PARKING A096 SEATTLE WA</t>
  </si>
  <si>
    <t>Registration for the RAV</t>
  </si>
  <si>
    <t>Washington Park Reservations</t>
  </si>
  <si>
    <t>#Deception Pass_2014#</t>
  </si>
  <si>
    <t>Utility bill for 7231</t>
  </si>
  <si>
    <t>Take Market Cafe</t>
  </si>
  <si>
    <t>@R@;Take out dinner by Kirke park</t>
  </si>
  <si>
    <t>Fandango</t>
  </si>
  <si>
    <t>Gravity</t>
  </si>
  <si>
    <t>2011: GOOD2GO REPLENISHMENT 08669368246 WA</t>
  </si>
  <si>
    <t>Twigs</t>
  </si>
  <si>
    <t>Dinner on date night</t>
  </si>
  <si>
    <t>Old Navy</t>
  </si>
  <si>
    <t>2011: OLD NAVY 4216 SEATTLE WA</t>
  </si>
  <si>
    <t>The Big Climb</t>
  </si>
  <si>
    <t>2011: LLS WA/AK 206-628-0777 WA @BAL:4026.67@</t>
  </si>
  <si>
    <t>Uofa U Mart</t>
  </si>
  <si>
    <t>#MS:U of A_2013#</t>
  </si>
  <si>
    <t>Beechers</t>
  </si>
  <si>
    <t>Paradise Bakery</t>
  </si>
  <si>
    <t>Pelio Grill</t>
  </si>
  <si>
    <t>#MS:U of A_2013#Breakfast</t>
  </si>
  <si>
    <t>National Car</t>
  </si>
  <si>
    <t>Car rental for U of A trip#MS:U of A_2013#</t>
  </si>
  <si>
    <t>#MS:U of A_2013#Gas for rental car in Chandler</t>
  </si>
  <si>
    <t>Parking#MS:U of A_2013#</t>
  </si>
  <si>
    <t>@R@;Christmas present for Ang</t>
  </si>
  <si>
    <t>@R@;Cold medicine for Ruby</t>
  </si>
  <si>
    <t>Gas for dad's truck#Scottsdale2_2013#</t>
  </si>
  <si>
    <t>2011: PANERA BREAD #601413 BELLEVUE WA</t>
  </si>
  <si>
    <t>Kids Quest</t>
  </si>
  <si>
    <t>2011: KIDSQUEST CHILDRENS BELLEVUE WA</t>
  </si>
  <si>
    <t>Phinney Market</t>
  </si>
  <si>
    <t>2011: PHINNEY MARKET PUB &amp; E SEATTLE WA</t>
  </si>
  <si>
    <t>Baggage Fee#MS:U of A_2013#</t>
  </si>
  <si>
    <t>Port Of Seattle</t>
  </si>
  <si>
    <t>2011: SQ *PLAYDATE CAFE Lynnwood WA</t>
  </si>
  <si>
    <t>Play Date Sea</t>
  </si>
  <si>
    <t>Office 365 for Frank</t>
  </si>
  <si>
    <t>2011: TAPROOT THEATRE SEATTLE WA</t>
  </si>
  <si>
    <t>Screen protector</t>
  </si>
  <si>
    <t>Physical therapy</t>
  </si>
  <si>
    <t>Tilikum Place Cafe</t>
  </si>
  <si>
    <t>Dinner with Ted</t>
  </si>
  <si>
    <t>Flowers for mom</t>
  </si>
  <si>
    <t>Groceries for Devon</t>
  </si>
  <si>
    <t>2011: JAMBA JUICE REDMOND WA</t>
  </si>
  <si>
    <t>2011: KEN'S MARKET #75-116 SEATTLE WA</t>
  </si>
  <si>
    <t>2011: BABIES R US #9572 QPS LYNNWOOD WA</t>
  </si>
  <si>
    <t>Dimitrious Jazz Alley</t>
  </si>
  <si>
    <t>2011: DIMITRIOU'S JAZZ ALLEY SEATTLE WA</t>
  </si>
  <si>
    <t>Schoolsin Com Oh</t>
  </si>
  <si>
    <t>Play rug</t>
  </si>
  <si>
    <t>Baby Shampoo</t>
  </si>
  <si>
    <t>Taj Mahal</t>
  </si>
  <si>
    <t>2011: CHERAW SC / TAJ MAHAL NEW YORK NY</t>
  </si>
  <si>
    <t>Puffy coats for boys</t>
  </si>
  <si>
    <t>2011: TACO TIME TOTEM LAK KIRKLAND WA</t>
  </si>
  <si>
    <t>2011: ANN TAYLOR LOFT #2955 TULALIP WA</t>
  </si>
  <si>
    <t>Petes Eggnest Seattle</t>
  </si>
  <si>
    <t>2011: PETES EGGNEST SEATTLE WA</t>
  </si>
  <si>
    <t>Gap</t>
  </si>
  <si>
    <t>2011: GAP OUTLET 1986 TULALIP WA</t>
  </si>
  <si>
    <t>2011: EDDIE BAUER 372 TULALIP WA</t>
  </si>
  <si>
    <t>2011: ANN TAYLOR FACTORY #12 TULALIP WA</t>
  </si>
  <si>
    <t>J.Crew</t>
  </si>
  <si>
    <t>2011: J CREW FACTORY #054 TULALIP WA</t>
  </si>
  <si>
    <t>Tablecloths, place mats, glass</t>
  </si>
  <si>
    <t>Disposable dishes, napkins, et</t>
  </si>
  <si>
    <t>Puzzle</t>
  </si>
  <si>
    <t>Yogurt, whipped cream, eggs</t>
  </si>
  <si>
    <t>Current Usa</t>
  </si>
  <si>
    <t>2011: CURRENT USA 800-525-7170 CO</t>
  </si>
  <si>
    <t>Recycled Cycles</t>
  </si>
  <si>
    <t>2011: RECYCLED CYCLES, INC SEATTLE WA</t>
  </si>
  <si>
    <t>ACH Debit--CAPITAL ONE  - CRCARDPMT@CAT:@</t>
  </si>
  <si>
    <t>Uwmc Accounting Wa</t>
  </si>
  <si>
    <t>2011: UWMC ACCOUNTING 206-5984187 WA</t>
  </si>
  <si>
    <t>AA Rechargeable batteries</t>
  </si>
  <si>
    <t>Ambulance</t>
  </si>
  <si>
    <t>Stepping Stones (2x)</t>
  </si>
  <si>
    <t>Books for Claire and Nora</t>
  </si>
  <si>
    <t>Gifts for the boys</t>
  </si>
  <si>
    <t>2011: Amazon.com AMZN.COM/BILL WA</t>
  </si>
  <si>
    <t>2011: STACIA`S PIZZA SEATTLE WA 98117 USA</t>
  </si>
  <si>
    <t>Camera for Dave (Should get refund)</t>
  </si>
  <si>
    <t>Fuego</t>
  </si>
  <si>
    <t>Calendars for Devon</t>
  </si>
  <si>
    <t>Holiday Mall Photos</t>
  </si>
  <si>
    <t>Santa pictures</t>
  </si>
  <si>
    <t>Beehive Salon Seattle</t>
  </si>
  <si>
    <t>Green Lake Elementary</t>
  </si>
  <si>
    <t>Christmas Tree</t>
  </si>
  <si>
    <t>Game of Thrones Boxed Set</t>
  </si>
  <si>
    <t>Gregg S Greenlake Cycl Seattle W</t>
  </si>
  <si>
    <t>Bike helmet</t>
  </si>
  <si>
    <t>Super Jock &amp; Jill</t>
  </si>
  <si>
    <t>Shoes and running clothes</t>
  </si>
  <si>
    <t>Greenwood Hardware Seattle</t>
  </si>
  <si>
    <t>Twine for outdoor lights</t>
  </si>
  <si>
    <t>Hand lotion</t>
  </si>
  <si>
    <t>Kabob Corner Seattle Wa 98109 Us</t>
  </si>
  <si>
    <t>Dinner with Pierre and Jessie at Seattle Center</t>
  </si>
  <si>
    <t>Mod Superfast Pizza</t>
  </si>
  <si>
    <t>Bows</t>
  </si>
  <si>
    <t>Hair brush</t>
  </si>
  <si>
    <t>Camera for Dave</t>
  </si>
  <si>
    <t>Admission</t>
  </si>
  <si>
    <t>Food at playdate cafe</t>
  </si>
  <si>
    <t>Safeway Store 00018457 Seattle W</t>
  </si>
  <si>
    <t>Target 00012849 Seattle Wa 98125</t>
  </si>
  <si>
    <t>CD for Angela</t>
  </si>
  <si>
    <t>Fred-meyer #0122 Seattle Wa 9811</t>
  </si>
  <si>
    <t>Macy's East #367 Seattle Wa 9810</t>
  </si>
  <si>
    <t>Ornaments for Ruby and Kurt</t>
  </si>
  <si>
    <t>Entertainmentbook 888231SAVE Mi</t>
  </si>
  <si>
    <t>2011: ENTERTAINMENTBOOK 888231SAVE MI 48083 USA</t>
  </si>
  <si>
    <t>Etsy Com Brooklyn</t>
  </si>
  <si>
    <t>Macy's East #371 Seattle Wa 9812</t>
  </si>
  <si>
    <t>Sharpening steel</t>
  </si>
  <si>
    <t>Fireworks-westlake Cen Seattle W</t>
  </si>
  <si>
    <t>2011: FIREWORKS-WESTLAKE CEN SEATTLE WA 98101 USA</t>
  </si>
  <si>
    <t>Comforter for Angela</t>
  </si>
  <si>
    <t>09 Bartell Drugs Seattle Wa 9810</t>
  </si>
  <si>
    <t>Cookie cutters</t>
  </si>
  <si>
    <t>Cookie dough scooper</t>
  </si>
  <si>
    <t>Seattle Cinerama 206-342-2143 Wa</t>
  </si>
  <si>
    <t>2011: SEATTLE CINERAMA 206-342-2143 WA 98121 USA</t>
  </si>
  <si>
    <t>Seattle Cinerama Seattle Wa 9812</t>
  </si>
  <si>
    <t>2011: SEATTLE CINERAMA SEATTLE WA 98121 USA</t>
  </si>
  <si>
    <t>Usps 54761300135103035 Seattle W</t>
  </si>
  <si>
    <t>Shipping to Arizona</t>
  </si>
  <si>
    <t>Vendini</t>
  </si>
  <si>
    <t>Play tickets for Angela's parents</t>
  </si>
  <si>
    <t>Amazon.Com Amzn.COM/BILL Wa 9810</t>
  </si>
  <si>
    <t>Refund for digital camera</t>
  </si>
  <si>
    <t>Premier Parking Marion Nashville</t>
  </si>
  <si>
    <t>Kelsun Distributors Bellevue Wa</t>
  </si>
  <si>
    <t>Under cabinet light bulbs</t>
  </si>
  <si>
    <t>Recycled Cycles, Inc Seattle Wa</t>
  </si>
  <si>
    <t>Ratchet lock pliers</t>
  </si>
  <si>
    <t>Luch with Steve and Ted</t>
  </si>
  <si>
    <t>Market House Meats</t>
  </si>
  <si>
    <t>2011: MARKET HOUSE MEATS INC SEATTLE WA 98101 USA</t>
  </si>
  <si>
    <t>Ballard Liquor Seattle</t>
  </si>
  <si>
    <t>2011: BALLARD LIQUOR STORE SEATTLE WA 98107 USA</t>
  </si>
  <si>
    <t>Ham, flank steak, cheese plate</t>
  </si>
  <si>
    <t>Lifesaver books</t>
  </si>
  <si>
    <t>Plates and napkins</t>
  </si>
  <si>
    <t>Removable hooks</t>
  </si>
  <si>
    <t>Target Seattle Wa</t>
  </si>
  <si>
    <t>Returned Ang CD</t>
  </si>
  <si>
    <t>Various charges which were returned and recharged.</t>
  </si>
  <si>
    <t>Satsumas</t>
  </si>
  <si>
    <t>Candy</t>
  </si>
  <si>
    <t>$20 gift card for Angela</t>
  </si>
  <si>
    <t>Extra place settings</t>
  </si>
  <si>
    <t>2011: THIRD PLACE BOOKS SEATTLE WA 98115 USA</t>
  </si>
  <si>
    <t>Zeeks Pizza Phinney</t>
  </si>
  <si>
    <t>2011: ZEEKS PIZZA PHINNEY SEATTLE WA 98103 USA</t>
  </si>
  <si>
    <t>@BAL:-6317.85@</t>
  </si>
  <si>
    <t>Passenger -- All the Little Lights@CAT:@</t>
  </si>
  <si>
    <t>Katy Perry -- Prism</t>
  </si>
  <si>
    <t>2011: METROPOLIS SEATTLE WA 98103 USA</t>
  </si>
  <si>
    <t>Cornuto Seattle Wa</t>
  </si>
  <si>
    <t>2011: CORNUTO SEATTLE WA 98103 USA</t>
  </si>
  <si>
    <t>Mr Gyros</t>
  </si>
  <si>
    <t>2011: MR GYROS SEATTLE WA 98103 USA</t>
  </si>
  <si>
    <t>2011: RUDYS BARBER SHOP - PH SEATTLE WA 98103 USA</t>
  </si>
  <si>
    <t>Children's Museum</t>
  </si>
  <si>
    <t>2011: THE CHILDRENS MUSEUM S 206-4411768 WA 981094623 USA</t>
  </si>
  <si>
    <t>Bean Sprouts</t>
  </si>
  <si>
    <t>2011: BEAN SPROUTS SEATTLE WA 98109 USA</t>
  </si>
  <si>
    <t>Hygrometer</t>
  </si>
  <si>
    <t>2011: PLAYDATE SEA LLC SEATTLE WA 98109 USA</t>
  </si>
  <si>
    <t>Gregg Greenlake Cycl</t>
  </si>
  <si>
    <t>2011: GREGG S GREENLAKE CYCL SEATTLE WA 98115 USA</t>
  </si>
  <si>
    <t>Shipping to Spokane</t>
  </si>
  <si>
    <t>2011: REGAL THORNTON PLACE (American Hustle)</t>
  </si>
  <si>
    <t>Underpants for boys</t>
  </si>
  <si>
    <t>Dog basket for stuffed animals</t>
  </si>
  <si>
    <t>2011: SUBWAY 00443796 SEATTLE WA 98125 USA</t>
  </si>
  <si>
    <t>Receipt organizer</t>
  </si>
  <si>
    <t>Amazon.Com</t>
  </si>
  <si>
    <t>Breaking Bad -- Season 2</t>
  </si>
  <si>
    <t>@BAL:$4025.58@</t>
  </si>
  <si>
    <t>Shot glass, spatula, cake pan, etc.</t>
  </si>
  <si>
    <t>2011: BLUEBIRD ICE CREAM GRE SEATTLE WA 98103 USA</t>
  </si>
  <si>
    <t>Bruno's</t>
  </si>
  <si>
    <t>#Sheryl'ls wedding#</t>
  </si>
  <si>
    <t>Budget Rent</t>
  </si>
  <si>
    <t>Kleins Deli San</t>
  </si>
  <si>
    <t>Itty Bitty</t>
  </si>
  <si>
    <t>Hot air popper</t>
  </si>
  <si>
    <t>Twigs Northgate L</t>
  </si>
  <si>
    <t>2011: TWIGS NORTHGATE, L SEATTLE WA 98125 USA</t>
  </si>
  <si>
    <t>Crepe Cafe &amp; Wine Bar</t>
  </si>
  <si>
    <t>2011: THE CREPE CAFE AND WIN SEATTLE WA 98115 USA</t>
  </si>
  <si>
    <t>2011: 09 BARTELL DRUGS SEATTLE WA 98103 USA</t>
  </si>
  <si>
    <t>Aurora</t>
  </si>
  <si>
    <t>2011: 808 AURORA KIDD VA SEATTLE WA 98133 USA</t>
  </si>
  <si>
    <t>2011: PHINNEY MARKET PUB &amp; E SEATTLE WA 98103 USA</t>
  </si>
  <si>
    <t>2011: STARBUCKS #00104 SEATT Seattle WA 981011448 USA</t>
  </si>
  <si>
    <t>D Ambrosio Gelato</t>
  </si>
  <si>
    <t>2011: D AMBROSIO GELATO SEATTLE WA 98107 USA</t>
  </si>
  <si>
    <t>Skillet Diner Seattle</t>
  </si>
  <si>
    <t>2011: SKILLET DINER SEATTLE WA 98107 USA</t>
  </si>
  <si>
    <t>2011: TWIRL PLAY CAFE SEATTLE WA 98119 USA</t>
  </si>
  <si>
    <t>2011: TOP TEN TOYS SEATTLE WA 98103 USA</t>
  </si>
  <si>
    <t>2011: CARTER'S #663 BURLINGTON WA 98233 USA</t>
  </si>
  <si>
    <t>2011: TACO TIME LYNDEN LYNDEN WA 98264 USA</t>
  </si>
  <si>
    <t>Orchard Supply Hardware</t>
  </si>
  <si>
    <t>2011: OSH KOSH #198 BURLINGTON WA 98233 USA</t>
  </si>
  <si>
    <t>Haggen</t>
  </si>
  <si>
    <t>2011: HAGGEN FOOD #43 BELLINGHAM WA 98225 USA</t>
  </si>
  <si>
    <t>Microsoft FSA Contribution</t>
  </si>
  <si>
    <t>HSA EFF DATE 01/01/13 OPENING CR</t>
  </si>
  <si>
    <t>01/15/2013 Employer Contribution</t>
  </si>
  <si>
    <t>Employee FSA Contribution</t>
  </si>
  <si>
    <t>01/15/2013 Employee Contribution</t>
  </si>
  <si>
    <t>01/31/2013 Employee Contribution</t>
  </si>
  <si>
    <t>FSA Interest</t>
  </si>
  <si>
    <t>INTEREST PAYMENT GENERATE</t>
  </si>
  <si>
    <t>Paid claim #22605386</t>
  </si>
  <si>
    <t>02/15/2013 Employee Contribution</t>
  </si>
  <si>
    <t>Accredo</t>
  </si>
  <si>
    <t>Paid claim #22734608</t>
  </si>
  <si>
    <t>02/28/2013 Employee Contribution</t>
  </si>
  <si>
    <t>Apria Medical Supplies</t>
  </si>
  <si>
    <t>Paid claim #23095933</t>
  </si>
  <si>
    <t>ESI Mail Pharmacy Service</t>
  </si>
  <si>
    <t>Paid claim #23164396 (Growth hormone)</t>
  </si>
  <si>
    <t>Paid claim #23202783</t>
  </si>
  <si>
    <t>03/15/2013 Employee Contribution</t>
  </si>
  <si>
    <t>Paid claim #23356497</t>
  </si>
  <si>
    <t>03/29/2013 Employee Contribution</t>
  </si>
  <si>
    <t>Paid claim #23617578 (Nose spray)</t>
  </si>
  <si>
    <t>Paid claim #23671512</t>
  </si>
  <si>
    <t>04/15/2013 Employee Contribution</t>
  </si>
  <si>
    <t>Paid claim #23874729 (Growth hormone)</t>
  </si>
  <si>
    <t>Swedish Medical Center</t>
  </si>
  <si>
    <t>Paid claim #23969099</t>
  </si>
  <si>
    <t>Paid claim #24039005</t>
  </si>
  <si>
    <t>04/30/2013 Employee Contribution</t>
  </si>
  <si>
    <t>Paid claim #24169016 (Nose spray)</t>
  </si>
  <si>
    <t>05/15/2013 Employee Contribution</t>
  </si>
  <si>
    <t>University Of Washington Medical Center</t>
  </si>
  <si>
    <t>Paid claim #24501279</t>
  </si>
  <si>
    <t>Aquaphor;@R@</t>
  </si>
  <si>
    <t>Health &amp; Fitness:Pharmacy/Tax Related</t>
  </si>
  <si>
    <t>Surgery supplies;@R@</t>
  </si>
  <si>
    <t>Toothpaste;@R@</t>
  </si>
  <si>
    <t>Prescription for surgery meds;</t>
  </si>
  <si>
    <t>Camping chairs for the boys;@R</t>
  </si>
  <si>
    <t>Paid claim #24615225 (Growth hormone)</t>
  </si>
  <si>
    <t>Paid Claim #24507940, Charge #37502386 (Speech Therapy)</t>
  </si>
  <si>
    <t>Paid Claim #24084985, Charge #36829221 (Speech Therapy)</t>
  </si>
  <si>
    <t>Boyer Childrens Clinic</t>
  </si>
  <si>
    <t>Paid Claim #23205281, Charge #35375077 (Speech Therapy)</t>
  </si>
  <si>
    <t>Paid Claim #23205259, Charge #35375076 (Speech Therapy)</t>
  </si>
  <si>
    <t>Paid Claim #24054291, Charge #36797832 (Speech Therapy)</t>
  </si>
  <si>
    <t>Paid Claim #23205289, Charge #35375086 (Speech Therapy)</t>
  </si>
  <si>
    <t>Paid Claim #24054290, Charge #36797831 (Speech Therapy)</t>
  </si>
  <si>
    <t>Paid Claim #23369345, Charge #35630950 (Speech Therapy)</t>
  </si>
  <si>
    <t>Nose spray</t>
  </si>
  <si>
    <t>University Medical Center</t>
  </si>
  <si>
    <t>Paid claim #24766213 (Heart Check up?)</t>
  </si>
  <si>
    <t>05/31/2013 Employee Contribution</t>
  </si>
  <si>
    <t>Apria reimbursement of overpayment</t>
  </si>
  <si>
    <t>Gifts for Devon's baby shower</t>
  </si>
  <si>
    <t>Camping equipment;@R@</t>
  </si>
  <si>
    <t>Back pack;@R@</t>
  </si>
  <si>
    <t>Summerset Jacket (w/ $100 gift card)</t>
  </si>
  <si>
    <t>Dave's bag@CAT:@</t>
  </si>
  <si>
    <t>Angela's bag</t>
  </si>
  <si>
    <t>@BAL:-183.41@</t>
  </si>
  <si>
    <t>Angela's gloves@CAT:@</t>
  </si>
  <si>
    <t>@BAL:$126.00@;@CAT:@</t>
  </si>
  <si>
    <t>@BAL:-126.00@CAT:@</t>
  </si>
  <si>
    <t>@CAT:@@BAL:$0.00@</t>
  </si>
  <si>
    <t>Cards for Jerry and Gail</t>
  </si>
  <si>
    <t>Diapers</t>
  </si>
  <si>
    <t>Hotdog buns;@R@</t>
  </si>
  <si>
    <t>Air mattress;@R@</t>
  </si>
  <si>
    <t>Craft supplies for the boys;@R@</t>
  </si>
  <si>
    <t>First attempt at direct bill pay</t>
  </si>
  <si>
    <t>Interest fee for returned payment</t>
  </si>
  <si>
    <t>Rejected bill pay</t>
  </si>
  <si>
    <t>This one may have been rejected</t>
  </si>
  <si>
    <t>Returned check fee</t>
  </si>
  <si>
    <t>Returned E</t>
  </si>
  <si>
    <t>Beach toys;@R@</t>
  </si>
  <si>
    <t>Kids sheets;@R@</t>
  </si>
  <si>
    <t>Refund of returned check fee</t>
  </si>
  <si>
    <t>Test charge of online payment</t>
  </si>
  <si>
    <t>Kids Underpants;@R@</t>
  </si>
  <si>
    <t>Play doh, drawing tablets, milk;@R@</t>
  </si>
  <si>
    <t>@BAL:44.44@</t>
  </si>
  <si>
    <t>Angela's Pajamas;@R@</t>
  </si>
  <si>
    <t>Paints for the box house.</t>
  </si>
  <si>
    <t>@CAT:@;@BAL:$42.62@</t>
  </si>
  <si>
    <t>Gift cards</t>
  </si>
  <si>
    <t>Nalgene bottles</t>
  </si>
  <si>
    <t>Christmas stockings</t>
  </si>
  <si>
    <t>cookie cutters and flour sifte</t>
  </si>
  <si>
    <t>Imagine Dragons CD</t>
  </si>
  <si>
    <t>Gift wrap</t>
  </si>
  <si>
    <t>Sonos P3</t>
  </si>
  <si>
    <t>Returned CD for Angela</t>
  </si>
  <si>
    <t>@BAL:-533.98@</t>
  </si>
  <si>
    <t>@BAL:$491.36@</t>
  </si>
  <si>
    <t>Valentines for the boys;@BAL:$61.60@</t>
  </si>
  <si>
    <t>@BAL:-$266.42@@CAT:@</t>
  </si>
  <si>
    <t>Central Checkout Northga</t>
  </si>
  <si>
    <t>XOut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</si>
</sst>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8" fontId="0" fillId="0" borderId="0" xfId="0" applyNumberFormat="1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601980</xdr:colOff>
      <xdr:row>0</xdr:row>
      <xdr:rowOff>167640</xdr:rowOff>
    </xdr:from>
    <xdr:to>
      <xdr:col>8</xdr:col>
      <xdr:colOff>472440</xdr:colOff>
      <xdr:row>2</xdr:row>
      <xdr:rowOff>160020</xdr:rowOff>
    </xdr:to>
    <xdr:sp macro="[0]!btnParseQIF" textlink="">
      <xdr:nvSpPr>
        <xdr:cNvPr id="2" name="Rounded Rectangle 1"/>
        <xdr:cNvSpPr/>
      </xdr:nvSpPr>
      <xdr:spPr>
        <a:xfrm>
          <a:off x="4259580" y="167640"/>
          <a:ext cx="1089660" cy="3581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</a:p>
      </xdr:txBody>
    </xdr:sp>
    <xdr:clientData/>
  </xdr:twoCellAnchor>
  <xdr:twoCellAnchor>
    <xdr:from>
      <xdr:col>7</xdr:col>
      <xdr:colOff>7620</xdr:colOff>
      <xdr:row>3</xdr:row>
      <xdr:rowOff>121920</xdr:rowOff>
    </xdr:from>
    <xdr:to>
      <xdr:col>8</xdr:col>
      <xdr:colOff>487680</xdr:colOff>
      <xdr:row>5</xdr:row>
      <xdr:rowOff>99060</xdr:rowOff>
    </xdr:to>
    <xdr:sp macro="[0]!Budget.Main" textlink="">
      <xdr:nvSpPr>
        <xdr:cNvPr id="3" name="Rounded Rectangle 2"/>
        <xdr:cNvSpPr/>
      </xdr:nvSpPr>
      <xdr:spPr>
        <a:xfrm>
          <a:off x="4754880" y="670560"/>
          <a:ext cx="1089660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Pivots</a:t>
          </a:r>
        </a:p>
      </xdr:txBody>
    </xdr:sp>
    <xdr:clientData/>
  </xdr:twoCellAnchor>
  <xdr:twoCellAnchor>
    <xdr:from>
      <xdr:col>7</xdr:col>
      <xdr:colOff>15240</xdr:colOff>
      <xdr:row>6</xdr:row>
      <xdr:rowOff>83820</xdr:rowOff>
    </xdr:from>
    <xdr:to>
      <xdr:col>9</xdr:col>
      <xdr:colOff>121920</xdr:colOff>
      <xdr:row>8</xdr:row>
      <xdr:rowOff>68580</xdr:rowOff>
    </xdr:to>
    <xdr:sp macro="[0]!btnPurgeTempSheets" textlink="">
      <xdr:nvSpPr>
        <xdr:cNvPr id="5" name="Rounded Rectangle 4"/>
        <xdr:cNvSpPr/>
      </xdr:nvSpPr>
      <xdr:spPr>
        <a:xfrm>
          <a:off x="5013960" y="1181100"/>
          <a:ext cx="1325880" cy="3505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Purge Temp Sheets</a:t>
          </a:r>
        </a:p>
      </xdr:txBody>
    </xdr:sp>
    <xdr:clientData/>
  </xdr:twoCellAnchor>
  <xdr:twoCellAnchor>
    <xdr:from>
      <xdr:col>7</xdr:col>
      <xdr:colOff>15240</xdr:colOff>
      <xdr:row>9</xdr:row>
      <xdr:rowOff>15240</xdr:rowOff>
    </xdr:from>
    <xdr:to>
      <xdr:col>9</xdr:col>
      <xdr:colOff>121920</xdr:colOff>
      <xdr:row>11</xdr:row>
      <xdr:rowOff>0</xdr:rowOff>
    </xdr:to>
    <xdr:sp macro="[0]!btnDeleteWorksheets" textlink="">
      <xdr:nvSpPr>
        <xdr:cNvPr id="6" name="Rounded Rectangle 5"/>
        <xdr:cNvSpPr/>
      </xdr:nvSpPr>
      <xdr:spPr>
        <a:xfrm>
          <a:off x="5013960" y="1661160"/>
          <a:ext cx="1325880" cy="3505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Purge Worksheets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6"/>
  <sheetViews>
    <sheetView workbookViewId="0"/>
  </sheetViews>
  <sheetFormatPr defaultRowHeight="14.4" x14ac:dyDescent="0.3"/>
  <cols>
    <col min="1" max="1" width="36.109375" bestFit="1" customWidth="1"/>
    <col min="2" max="2" width="5.88671875" bestFit="1" customWidth="1"/>
    <col min="3" max="3" width="9" bestFit="1" customWidth="1"/>
  </cols>
  <sheetData>
    <row r="1" spans="1:3" x14ac:dyDescent="0.3">
      <c r="A1" t="s">
        <v>264</v>
      </c>
      <c r="B1" t="s">
        <v>0</v>
      </c>
      <c r="C1" t="s">
        <v>265</v>
      </c>
    </row>
    <row r="2" spans="1:3" x14ac:dyDescent="0.3">
      <c r="A2" t="s">
        <v>278</v>
      </c>
      <c r="B2" t="s">
        <v>279</v>
      </c>
    </row>
    <row r="3" spans="1:3" x14ac:dyDescent="0.3">
      <c r="A3" t="s">
        <v>280</v>
      </c>
      <c r="B3" t="s">
        <v>279</v>
      </c>
    </row>
    <row r="4" spans="1:3" x14ac:dyDescent="0.3">
      <c r="A4" t="s">
        <v>281</v>
      </c>
      <c r="B4" t="s">
        <v>279</v>
      </c>
    </row>
    <row r="5" spans="1:3" x14ac:dyDescent="0.3">
      <c r="A5" t="s">
        <v>282</v>
      </c>
      <c r="B5" t="s">
        <v>279</v>
      </c>
    </row>
    <row r="6" spans="1:3" x14ac:dyDescent="0.3">
      <c r="A6" t="s">
        <v>283</v>
      </c>
      <c r="B6" t="s">
        <v>279</v>
      </c>
    </row>
    <row r="7" spans="1:3" x14ac:dyDescent="0.3">
      <c r="A7" t="s">
        <v>284</v>
      </c>
      <c r="B7" t="s">
        <v>279</v>
      </c>
    </row>
    <row r="8" spans="1:3" x14ac:dyDescent="0.3">
      <c r="A8" t="s">
        <v>285</v>
      </c>
      <c r="B8" t="s">
        <v>279</v>
      </c>
    </row>
    <row r="9" spans="1:3" x14ac:dyDescent="0.3">
      <c r="A9" t="s">
        <v>286</v>
      </c>
      <c r="B9" t="s">
        <v>279</v>
      </c>
    </row>
    <row r="10" spans="1:3" x14ac:dyDescent="0.3">
      <c r="A10" t="s">
        <v>287</v>
      </c>
      <c r="B10" t="s">
        <v>279</v>
      </c>
    </row>
    <row r="11" spans="1:3" x14ac:dyDescent="0.3">
      <c r="A11" t="s">
        <v>288</v>
      </c>
      <c r="B11" t="s">
        <v>279</v>
      </c>
    </row>
    <row r="12" spans="1:3" x14ac:dyDescent="0.3">
      <c r="A12" t="s">
        <v>289</v>
      </c>
      <c r="B12" t="s">
        <v>279</v>
      </c>
    </row>
    <row r="13" spans="1:3" x14ac:dyDescent="0.3">
      <c r="A13" t="s">
        <v>290</v>
      </c>
      <c r="B13" t="s">
        <v>279</v>
      </c>
    </row>
    <row r="14" spans="1:3" x14ac:dyDescent="0.3">
      <c r="A14" t="s">
        <v>291</v>
      </c>
      <c r="B14" t="s">
        <v>292</v>
      </c>
      <c r="C14">
        <v>0</v>
      </c>
    </row>
    <row r="15" spans="1:3" x14ac:dyDescent="0.3">
      <c r="A15" t="s">
        <v>701</v>
      </c>
      <c r="B15" t="s">
        <v>292</v>
      </c>
      <c r="C15">
        <v>0</v>
      </c>
    </row>
    <row r="16" spans="1:3" x14ac:dyDescent="0.3">
      <c r="A16" t="s">
        <v>293</v>
      </c>
      <c r="B16" t="s">
        <v>292</v>
      </c>
      <c r="C16">
        <v>0</v>
      </c>
    </row>
    <row r="17" spans="1:3" x14ac:dyDescent="0.3">
      <c r="A17" t="s">
        <v>294</v>
      </c>
      <c r="B17" t="s">
        <v>292</v>
      </c>
      <c r="C17">
        <v>0</v>
      </c>
    </row>
    <row r="18" spans="1:3" x14ac:dyDescent="0.3">
      <c r="A18" t="s">
        <v>295</v>
      </c>
      <c r="B18" t="s">
        <v>292</v>
      </c>
      <c r="C18">
        <v>0</v>
      </c>
    </row>
    <row r="19" spans="1:3" x14ac:dyDescent="0.3">
      <c r="A19" t="s">
        <v>296</v>
      </c>
      <c r="B19" t="s">
        <v>292</v>
      </c>
      <c r="C19" s="4">
        <v>15000</v>
      </c>
    </row>
    <row r="20" spans="1:3" x14ac:dyDescent="0.3">
      <c r="A20" t="s">
        <v>297</v>
      </c>
      <c r="B20" t="s">
        <v>292</v>
      </c>
      <c r="C20">
        <v>0</v>
      </c>
    </row>
    <row r="21" spans="1:3" x14ac:dyDescent="0.3">
      <c r="A21" t="s">
        <v>298</v>
      </c>
      <c r="B21" t="s">
        <v>292</v>
      </c>
      <c r="C21">
        <v>0</v>
      </c>
    </row>
    <row r="22" spans="1:3" x14ac:dyDescent="0.3">
      <c r="A22" t="s">
        <v>299</v>
      </c>
      <c r="B22" t="s">
        <v>292</v>
      </c>
      <c r="C22">
        <v>0</v>
      </c>
    </row>
    <row r="23" spans="1:3" x14ac:dyDescent="0.3">
      <c r="A23" t="s">
        <v>300</v>
      </c>
      <c r="B23" t="s">
        <v>292</v>
      </c>
      <c r="C23">
        <v>600</v>
      </c>
    </row>
    <row r="24" spans="1:3" x14ac:dyDescent="0.3">
      <c r="A24" t="s">
        <v>301</v>
      </c>
      <c r="B24" t="s">
        <v>302</v>
      </c>
    </row>
    <row r="25" spans="1:3" x14ac:dyDescent="0.3">
      <c r="A25" t="s">
        <v>303</v>
      </c>
      <c r="B25" t="s">
        <v>304</v>
      </c>
    </row>
    <row r="26" spans="1:3" x14ac:dyDescent="0.3">
      <c r="A26" t="s">
        <v>416</v>
      </c>
      <c r="B26" t="s">
        <v>279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289"/>
  <sheetViews>
    <sheetView workbookViewId="0"/>
  </sheetViews>
  <sheetFormatPr defaultRowHeight="14.4" x14ac:dyDescent="0.3"/>
  <cols>
    <col min="1" max="1" width="36.109375" bestFit="1" customWidth="1"/>
    <col min="2" max="2" width="10.5546875" bestFit="1" customWidth="1"/>
    <col min="3" max="3" width="10.6640625" bestFit="1" customWidth="1"/>
    <col min="4" max="4" width="6" bestFit="1" customWidth="1"/>
    <col min="5" max="5" width="35.109375" bestFit="1" customWidth="1"/>
    <col min="6" max="6" width="61.44140625" bestFit="1" customWidth="1"/>
    <col min="7" max="7" width="65.44140625" bestFit="1" customWidth="1"/>
    <col min="8" max="8" width="12.88671875" bestFit="1" customWidth="1"/>
    <col min="9" max="9" width="4.44140625" bestFit="1" customWidth="1"/>
  </cols>
  <sheetData>
    <row r="1" spans="1:9" x14ac:dyDescent="0.3">
      <c r="A1" t="s">
        <v>2</v>
      </c>
      <c r="B1" t="s">
        <v>266</v>
      </c>
      <c r="C1" t="s">
        <v>267</v>
      </c>
      <c r="D1" t="s">
        <v>268</v>
      </c>
      <c r="E1" t="s">
        <v>269</v>
      </c>
      <c r="F1" t="s">
        <v>270</v>
      </c>
      <c r="G1" t="s">
        <v>3</v>
      </c>
      <c r="H1" t="s">
        <v>271</v>
      </c>
      <c r="I1" t="s">
        <v>272</v>
      </c>
    </row>
    <row r="2" spans="1:9" x14ac:dyDescent="0.3">
      <c r="A2" t="s">
        <v>278</v>
      </c>
      <c r="B2" s="5">
        <v>41275</v>
      </c>
      <c r="C2" s="4">
        <v>2990</v>
      </c>
      <c r="D2" t="s">
        <v>305</v>
      </c>
      <c r="E2" t="s">
        <v>702</v>
      </c>
      <c r="G2" t="s">
        <v>4</v>
      </c>
    </row>
    <row r="3" spans="1:9" x14ac:dyDescent="0.3">
      <c r="A3" t="s">
        <v>278</v>
      </c>
      <c r="B3" s="5">
        <v>41281</v>
      </c>
      <c r="C3" s="4">
        <v>1595</v>
      </c>
      <c r="D3" t="s">
        <v>305</v>
      </c>
      <c r="E3" t="s">
        <v>703</v>
      </c>
      <c r="F3" t="s">
        <v>704</v>
      </c>
      <c r="G3" t="s">
        <v>306</v>
      </c>
    </row>
    <row r="4" spans="1:9" x14ac:dyDescent="0.3">
      <c r="A4" t="s">
        <v>278</v>
      </c>
      <c r="B4" s="5">
        <v>41306</v>
      </c>
      <c r="C4" s="4">
        <v>1595</v>
      </c>
      <c r="D4" t="s">
        <v>305</v>
      </c>
      <c r="E4" t="s">
        <v>703</v>
      </c>
      <c r="F4" t="s">
        <v>705</v>
      </c>
      <c r="G4" t="s">
        <v>306</v>
      </c>
    </row>
    <row r="5" spans="1:9" x14ac:dyDescent="0.3">
      <c r="A5" t="s">
        <v>278</v>
      </c>
      <c r="B5" s="5">
        <v>41331</v>
      </c>
      <c r="C5" s="4">
        <v>1585</v>
      </c>
      <c r="D5" t="s">
        <v>305</v>
      </c>
      <c r="E5" t="s">
        <v>703</v>
      </c>
      <c r="F5" t="s">
        <v>706</v>
      </c>
      <c r="G5" t="s">
        <v>306</v>
      </c>
    </row>
    <row r="6" spans="1:9" x14ac:dyDescent="0.3">
      <c r="A6" t="s">
        <v>278</v>
      </c>
      <c r="B6" s="5">
        <v>41366</v>
      </c>
      <c r="C6" s="4">
        <v>1605</v>
      </c>
      <c r="D6" t="s">
        <v>305</v>
      </c>
      <c r="E6" t="s">
        <v>703</v>
      </c>
      <c r="F6" t="s">
        <v>707</v>
      </c>
      <c r="G6" t="s">
        <v>306</v>
      </c>
    </row>
    <row r="7" spans="1:9" x14ac:dyDescent="0.3">
      <c r="A7" t="s">
        <v>278</v>
      </c>
      <c r="B7" s="5">
        <v>41375</v>
      </c>
      <c r="C7" s="4">
        <v>-4262.5600000000004</v>
      </c>
      <c r="D7" t="s">
        <v>305</v>
      </c>
      <c r="E7" t="s">
        <v>708</v>
      </c>
      <c r="F7" t="s">
        <v>709</v>
      </c>
      <c r="G7" t="s">
        <v>5</v>
      </c>
    </row>
    <row r="8" spans="1:9" x14ac:dyDescent="0.3">
      <c r="A8" t="s">
        <v>278</v>
      </c>
      <c r="B8" s="5">
        <v>41375</v>
      </c>
      <c r="C8" s="4">
        <v>-5000</v>
      </c>
      <c r="D8" t="s">
        <v>305</v>
      </c>
      <c r="E8" t="s">
        <v>708</v>
      </c>
      <c r="F8" t="s">
        <v>709</v>
      </c>
      <c r="G8" t="s">
        <v>6</v>
      </c>
    </row>
    <row r="9" spans="1:9" x14ac:dyDescent="0.3">
      <c r="A9" t="s">
        <v>278</v>
      </c>
      <c r="B9" s="5">
        <v>41404</v>
      </c>
      <c r="C9" s="4">
        <v>1595</v>
      </c>
      <c r="D9" t="s">
        <v>305</v>
      </c>
      <c r="E9" t="s">
        <v>703</v>
      </c>
      <c r="F9" t="s">
        <v>710</v>
      </c>
      <c r="G9" t="s">
        <v>306</v>
      </c>
    </row>
    <row r="10" spans="1:9" x14ac:dyDescent="0.3">
      <c r="A10" t="s">
        <v>278</v>
      </c>
      <c r="B10" s="5">
        <v>41408</v>
      </c>
      <c r="C10" s="4">
        <v>-1595</v>
      </c>
      <c r="D10" t="s">
        <v>305</v>
      </c>
      <c r="E10" t="s">
        <v>708</v>
      </c>
      <c r="F10" t="s">
        <v>709</v>
      </c>
      <c r="G10" t="s">
        <v>7</v>
      </c>
    </row>
    <row r="11" spans="1:9" x14ac:dyDescent="0.3">
      <c r="A11" t="s">
        <v>278</v>
      </c>
      <c r="B11" s="5">
        <v>41432</v>
      </c>
      <c r="C11" s="4">
        <v>1595</v>
      </c>
      <c r="D11" t="s">
        <v>307</v>
      </c>
      <c r="E11" t="s">
        <v>703</v>
      </c>
      <c r="F11" t="s">
        <v>711</v>
      </c>
      <c r="G11" t="s">
        <v>306</v>
      </c>
      <c r="I11" t="s">
        <v>272</v>
      </c>
    </row>
    <row r="12" spans="1:9" x14ac:dyDescent="0.3">
      <c r="A12" t="s">
        <v>278</v>
      </c>
      <c r="B12" s="5">
        <v>41432</v>
      </c>
      <c r="C12">
        <v>51</v>
      </c>
      <c r="D12" t="s">
        <v>307</v>
      </c>
      <c r="E12" t="s">
        <v>703</v>
      </c>
      <c r="G12" t="s">
        <v>599</v>
      </c>
      <c r="I12" t="s">
        <v>272</v>
      </c>
    </row>
    <row r="13" spans="1:9" x14ac:dyDescent="0.3">
      <c r="A13" t="s">
        <v>278</v>
      </c>
      <c r="B13" s="5">
        <v>41458</v>
      </c>
      <c r="C13" s="4">
        <v>1595</v>
      </c>
      <c r="D13" t="s">
        <v>307</v>
      </c>
      <c r="E13" t="s">
        <v>703</v>
      </c>
      <c r="F13" t="s">
        <v>712</v>
      </c>
      <c r="G13" t="s">
        <v>306</v>
      </c>
    </row>
    <row r="14" spans="1:9" x14ac:dyDescent="0.3">
      <c r="A14" t="s">
        <v>278</v>
      </c>
      <c r="B14" s="5">
        <v>41480</v>
      </c>
      <c r="C14">
        <v>-383.25</v>
      </c>
      <c r="D14" t="s">
        <v>307</v>
      </c>
      <c r="E14" t="s">
        <v>713</v>
      </c>
      <c r="F14" t="s">
        <v>714</v>
      </c>
      <c r="G14" t="s">
        <v>308</v>
      </c>
    </row>
    <row r="15" spans="1:9" x14ac:dyDescent="0.3">
      <c r="A15" t="s">
        <v>278</v>
      </c>
      <c r="B15" s="5">
        <v>41480</v>
      </c>
      <c r="C15">
        <v>-747.5</v>
      </c>
      <c r="D15" t="s">
        <v>307</v>
      </c>
      <c r="E15" t="s">
        <v>713</v>
      </c>
      <c r="F15" t="s">
        <v>715</v>
      </c>
      <c r="G15" t="s">
        <v>306</v>
      </c>
    </row>
    <row r="16" spans="1:9" x14ac:dyDescent="0.3">
      <c r="A16" t="s">
        <v>278</v>
      </c>
      <c r="B16" s="5">
        <v>41495</v>
      </c>
      <c r="C16">
        <v>-276.56</v>
      </c>
      <c r="D16" t="s">
        <v>307</v>
      </c>
      <c r="E16" t="s">
        <v>713</v>
      </c>
      <c r="F16" t="s">
        <v>716</v>
      </c>
      <c r="G16" t="s">
        <v>600</v>
      </c>
    </row>
    <row r="17" spans="1:8" x14ac:dyDescent="0.3">
      <c r="A17" t="s">
        <v>278</v>
      </c>
      <c r="B17" s="5">
        <v>41526</v>
      </c>
      <c r="C17" s="4">
        <v>-1841.13</v>
      </c>
      <c r="D17" t="s">
        <v>307</v>
      </c>
      <c r="E17" t="s">
        <v>708</v>
      </c>
      <c r="F17" t="s">
        <v>709</v>
      </c>
      <c r="G17" t="s">
        <v>7</v>
      </c>
    </row>
    <row r="18" spans="1:8" x14ac:dyDescent="0.3">
      <c r="A18" t="s">
        <v>278</v>
      </c>
      <c r="B18" s="5">
        <v>41636</v>
      </c>
      <c r="C18">
        <v>0</v>
      </c>
      <c r="E18" t="s">
        <v>309</v>
      </c>
      <c r="F18" t="s">
        <v>717</v>
      </c>
      <c r="G18" t="s">
        <v>4</v>
      </c>
    </row>
    <row r="19" spans="1:8" x14ac:dyDescent="0.3">
      <c r="A19" t="s">
        <v>278</v>
      </c>
      <c r="B19" s="5">
        <v>41687</v>
      </c>
      <c r="C19">
        <v>0</v>
      </c>
      <c r="E19" t="s">
        <v>309</v>
      </c>
      <c r="F19" t="s">
        <v>717</v>
      </c>
      <c r="G19" t="s">
        <v>4</v>
      </c>
    </row>
    <row r="20" spans="1:8" x14ac:dyDescent="0.3">
      <c r="A20" t="s">
        <v>280</v>
      </c>
      <c r="B20" s="5">
        <v>41275</v>
      </c>
      <c r="C20" s="4">
        <v>26920.39</v>
      </c>
      <c r="D20" t="s">
        <v>305</v>
      </c>
      <c r="E20" t="s">
        <v>702</v>
      </c>
      <c r="G20" t="s">
        <v>6</v>
      </c>
    </row>
    <row r="21" spans="1:8" x14ac:dyDescent="0.3">
      <c r="A21" t="s">
        <v>280</v>
      </c>
      <c r="B21" s="5">
        <v>41305</v>
      </c>
      <c r="C21">
        <v>11.43</v>
      </c>
      <c r="D21" t="s">
        <v>305</v>
      </c>
      <c r="E21" t="s">
        <v>310</v>
      </c>
      <c r="G21" t="s">
        <v>8</v>
      </c>
    </row>
    <row r="22" spans="1:8" x14ac:dyDescent="0.3">
      <c r="A22" t="s">
        <v>280</v>
      </c>
      <c r="B22" s="5">
        <v>41333</v>
      </c>
      <c r="C22">
        <v>10.33</v>
      </c>
      <c r="D22" t="s">
        <v>305</v>
      </c>
      <c r="E22" t="s">
        <v>310</v>
      </c>
      <c r="G22" t="s">
        <v>8</v>
      </c>
    </row>
    <row r="23" spans="1:8" x14ac:dyDescent="0.3">
      <c r="A23" t="s">
        <v>280</v>
      </c>
      <c r="B23" s="5">
        <v>41362</v>
      </c>
      <c r="C23">
        <v>11.44</v>
      </c>
      <c r="D23" t="s">
        <v>305</v>
      </c>
      <c r="E23" t="s">
        <v>310</v>
      </c>
      <c r="G23" t="s">
        <v>8</v>
      </c>
    </row>
    <row r="24" spans="1:8" x14ac:dyDescent="0.3">
      <c r="A24" t="s">
        <v>280</v>
      </c>
      <c r="B24" s="5">
        <v>41375</v>
      </c>
      <c r="C24" s="4">
        <v>5000</v>
      </c>
      <c r="D24" t="s">
        <v>305</v>
      </c>
      <c r="E24" t="s">
        <v>718</v>
      </c>
      <c r="G24" t="s">
        <v>4</v>
      </c>
    </row>
    <row r="25" spans="1:8" x14ac:dyDescent="0.3">
      <c r="A25" t="s">
        <v>280</v>
      </c>
      <c r="B25" s="5">
        <v>41394</v>
      </c>
      <c r="C25">
        <v>12.45</v>
      </c>
      <c r="D25" t="s">
        <v>305</v>
      </c>
      <c r="E25" t="s">
        <v>310</v>
      </c>
      <c r="G25" t="s">
        <v>8</v>
      </c>
    </row>
    <row r="26" spans="1:8" x14ac:dyDescent="0.3">
      <c r="A26" t="s">
        <v>280</v>
      </c>
      <c r="B26" s="5">
        <v>41425</v>
      </c>
      <c r="C26">
        <v>13.58</v>
      </c>
      <c r="D26" t="s">
        <v>305</v>
      </c>
      <c r="E26" t="s">
        <v>310</v>
      </c>
      <c r="G26" t="s">
        <v>8</v>
      </c>
      <c r="H26" t="s">
        <v>311</v>
      </c>
    </row>
    <row r="27" spans="1:8" x14ac:dyDescent="0.3">
      <c r="A27" t="s">
        <v>280</v>
      </c>
      <c r="B27" s="5">
        <v>41453</v>
      </c>
      <c r="C27">
        <v>13.14</v>
      </c>
      <c r="D27" t="s">
        <v>305</v>
      </c>
      <c r="E27" t="s">
        <v>310</v>
      </c>
      <c r="G27" t="s">
        <v>8</v>
      </c>
      <c r="H27" t="s">
        <v>311</v>
      </c>
    </row>
    <row r="28" spans="1:8" x14ac:dyDescent="0.3">
      <c r="A28" t="s">
        <v>280</v>
      </c>
      <c r="B28" s="5">
        <v>41486</v>
      </c>
      <c r="C28">
        <v>13.59</v>
      </c>
      <c r="D28" t="s">
        <v>305</v>
      </c>
      <c r="E28" t="s">
        <v>310</v>
      </c>
      <c r="G28" t="s">
        <v>8</v>
      </c>
      <c r="H28" t="s">
        <v>311</v>
      </c>
    </row>
    <row r="29" spans="1:8" x14ac:dyDescent="0.3">
      <c r="A29" t="s">
        <v>280</v>
      </c>
      <c r="B29" s="5">
        <v>41493</v>
      </c>
      <c r="C29" s="4">
        <v>15000</v>
      </c>
      <c r="D29" t="s">
        <v>305</v>
      </c>
      <c r="E29" t="s">
        <v>718</v>
      </c>
      <c r="F29" t="s">
        <v>719</v>
      </c>
      <c r="G29" t="s">
        <v>9</v>
      </c>
    </row>
    <row r="30" spans="1:8" x14ac:dyDescent="0.3">
      <c r="A30" t="s">
        <v>280</v>
      </c>
      <c r="B30" s="5">
        <v>41516</v>
      </c>
      <c r="C30">
        <v>18.73</v>
      </c>
      <c r="D30" t="s">
        <v>305</v>
      </c>
      <c r="E30" t="s">
        <v>310</v>
      </c>
      <c r="G30" t="s">
        <v>8</v>
      </c>
      <c r="H30" t="s">
        <v>311</v>
      </c>
    </row>
    <row r="31" spans="1:8" x14ac:dyDescent="0.3">
      <c r="A31" t="s">
        <v>280</v>
      </c>
      <c r="B31" s="5">
        <v>41547</v>
      </c>
      <c r="C31">
        <v>19.329999999999998</v>
      </c>
      <c r="D31" t="s">
        <v>305</v>
      </c>
      <c r="E31" t="s">
        <v>310</v>
      </c>
      <c r="G31" t="s">
        <v>8</v>
      </c>
      <c r="H31" t="s">
        <v>311</v>
      </c>
    </row>
    <row r="32" spans="1:8" x14ac:dyDescent="0.3">
      <c r="A32" t="s">
        <v>280</v>
      </c>
      <c r="B32" s="5">
        <v>41564</v>
      </c>
      <c r="C32">
        <v>-44.41</v>
      </c>
      <c r="D32" t="s">
        <v>305</v>
      </c>
      <c r="E32" t="s">
        <v>720</v>
      </c>
      <c r="F32" t="s">
        <v>721</v>
      </c>
      <c r="G32" t="s">
        <v>7</v>
      </c>
    </row>
    <row r="33" spans="1:8" x14ac:dyDescent="0.3">
      <c r="A33" t="s">
        <v>280</v>
      </c>
      <c r="B33" s="5">
        <v>41578</v>
      </c>
      <c r="C33">
        <v>19.97</v>
      </c>
      <c r="D33" t="s">
        <v>305</v>
      </c>
      <c r="E33" t="s">
        <v>310</v>
      </c>
      <c r="G33" t="s">
        <v>8</v>
      </c>
      <c r="H33" t="s">
        <v>311</v>
      </c>
    </row>
    <row r="34" spans="1:8" x14ac:dyDescent="0.3">
      <c r="A34" t="s">
        <v>280</v>
      </c>
      <c r="B34" s="5">
        <v>41607</v>
      </c>
      <c r="C34">
        <v>19.329999999999998</v>
      </c>
      <c r="D34" t="s">
        <v>305</v>
      </c>
      <c r="E34" t="s">
        <v>310</v>
      </c>
      <c r="F34" t="s">
        <v>601</v>
      </c>
      <c r="G34" t="s">
        <v>8</v>
      </c>
      <c r="H34" t="s">
        <v>311</v>
      </c>
    </row>
    <row r="35" spans="1:8" x14ac:dyDescent="0.3">
      <c r="A35" t="s">
        <v>280</v>
      </c>
      <c r="B35" s="5">
        <v>41636</v>
      </c>
      <c r="C35">
        <v>0</v>
      </c>
      <c r="D35" t="s">
        <v>305</v>
      </c>
      <c r="E35" t="s">
        <v>309</v>
      </c>
      <c r="F35" t="s">
        <v>722</v>
      </c>
      <c r="G35" t="s">
        <v>6</v>
      </c>
    </row>
    <row r="36" spans="1:8" x14ac:dyDescent="0.3">
      <c r="A36" t="s">
        <v>280</v>
      </c>
      <c r="B36" s="5">
        <v>41639</v>
      </c>
      <c r="C36">
        <v>19.98</v>
      </c>
      <c r="D36" t="s">
        <v>305</v>
      </c>
      <c r="E36" t="s">
        <v>310</v>
      </c>
      <c r="F36" t="s">
        <v>601</v>
      </c>
      <c r="G36" t="s">
        <v>8</v>
      </c>
      <c r="H36" t="s">
        <v>311</v>
      </c>
    </row>
    <row r="37" spans="1:8" x14ac:dyDescent="0.3">
      <c r="A37" t="s">
        <v>280</v>
      </c>
      <c r="B37" s="5">
        <v>41670</v>
      </c>
      <c r="C37">
        <v>19.989999999999998</v>
      </c>
      <c r="D37" t="s">
        <v>305</v>
      </c>
      <c r="E37" t="s">
        <v>310</v>
      </c>
      <c r="F37" t="s">
        <v>602</v>
      </c>
      <c r="G37" t="s">
        <v>8</v>
      </c>
      <c r="H37" t="s">
        <v>311</v>
      </c>
    </row>
    <row r="38" spans="1:8" x14ac:dyDescent="0.3">
      <c r="A38" t="s">
        <v>280</v>
      </c>
      <c r="B38" s="5">
        <v>41698</v>
      </c>
      <c r="C38">
        <v>18.059999999999999</v>
      </c>
      <c r="D38" t="s">
        <v>305</v>
      </c>
      <c r="E38" t="s">
        <v>310</v>
      </c>
      <c r="F38" t="s">
        <v>723</v>
      </c>
      <c r="G38" t="s">
        <v>8</v>
      </c>
      <c r="H38" t="s">
        <v>311</v>
      </c>
    </row>
    <row r="39" spans="1:8" x14ac:dyDescent="0.3">
      <c r="A39" t="s">
        <v>281</v>
      </c>
      <c r="B39" s="5">
        <v>41275</v>
      </c>
      <c r="C39" s="4">
        <v>195469.24</v>
      </c>
      <c r="D39" t="s">
        <v>305</v>
      </c>
      <c r="E39" t="s">
        <v>702</v>
      </c>
      <c r="G39" t="s">
        <v>5</v>
      </c>
    </row>
    <row r="40" spans="1:8" x14ac:dyDescent="0.3">
      <c r="A40" t="s">
        <v>281</v>
      </c>
      <c r="B40" s="5">
        <v>41290</v>
      </c>
      <c r="C40">
        <v>27.04</v>
      </c>
      <c r="D40" t="s">
        <v>305</v>
      </c>
      <c r="E40" t="s">
        <v>724</v>
      </c>
      <c r="G40" t="s">
        <v>8</v>
      </c>
    </row>
    <row r="41" spans="1:8" x14ac:dyDescent="0.3">
      <c r="A41" t="s">
        <v>281</v>
      </c>
      <c r="B41" s="5">
        <v>41305</v>
      </c>
      <c r="C41">
        <v>83.03</v>
      </c>
      <c r="D41" t="s">
        <v>305</v>
      </c>
      <c r="E41" t="s">
        <v>310</v>
      </c>
      <c r="G41" t="s">
        <v>8</v>
      </c>
    </row>
    <row r="42" spans="1:8" x14ac:dyDescent="0.3">
      <c r="A42" t="s">
        <v>281</v>
      </c>
      <c r="B42" s="5">
        <v>41333</v>
      </c>
      <c r="C42">
        <v>75.03</v>
      </c>
      <c r="D42" t="s">
        <v>305</v>
      </c>
      <c r="E42" t="s">
        <v>310</v>
      </c>
      <c r="G42" t="s">
        <v>8</v>
      </c>
    </row>
    <row r="43" spans="1:8" x14ac:dyDescent="0.3">
      <c r="A43" t="s">
        <v>281</v>
      </c>
      <c r="B43" s="5">
        <v>41362</v>
      </c>
      <c r="C43">
        <v>83.1</v>
      </c>
      <c r="D43" t="s">
        <v>305</v>
      </c>
      <c r="E43" t="s">
        <v>310</v>
      </c>
      <c r="G43" t="s">
        <v>8</v>
      </c>
    </row>
    <row r="44" spans="1:8" x14ac:dyDescent="0.3">
      <c r="A44" t="s">
        <v>281</v>
      </c>
      <c r="B44" s="5">
        <v>41375</v>
      </c>
      <c r="C44" s="4">
        <v>4262.5600000000004</v>
      </c>
      <c r="D44" t="s">
        <v>305</v>
      </c>
      <c r="E44" t="s">
        <v>718</v>
      </c>
      <c r="G44" t="s">
        <v>4</v>
      </c>
    </row>
    <row r="45" spans="1:8" x14ac:dyDescent="0.3">
      <c r="A45" t="s">
        <v>281</v>
      </c>
      <c r="B45" s="5">
        <v>41380</v>
      </c>
      <c r="C45">
        <v>24.12</v>
      </c>
      <c r="D45" t="s">
        <v>305</v>
      </c>
      <c r="E45" t="s">
        <v>724</v>
      </c>
      <c r="G45" t="s">
        <v>8</v>
      </c>
    </row>
    <row r="46" spans="1:8" x14ac:dyDescent="0.3">
      <c r="A46" t="s">
        <v>281</v>
      </c>
      <c r="B46" s="5">
        <v>41394</v>
      </c>
      <c r="C46">
        <v>81.63</v>
      </c>
      <c r="D46" t="s">
        <v>305</v>
      </c>
      <c r="E46" t="s">
        <v>310</v>
      </c>
      <c r="G46" t="s">
        <v>8</v>
      </c>
    </row>
    <row r="47" spans="1:8" x14ac:dyDescent="0.3">
      <c r="A47" t="s">
        <v>281</v>
      </c>
      <c r="B47" s="5">
        <v>41425</v>
      </c>
      <c r="C47">
        <v>84.99</v>
      </c>
      <c r="D47" t="s">
        <v>305</v>
      </c>
      <c r="E47" t="s">
        <v>310</v>
      </c>
      <c r="G47" t="s">
        <v>8</v>
      </c>
      <c r="H47" t="s">
        <v>311</v>
      </c>
    </row>
    <row r="48" spans="1:8" x14ac:dyDescent="0.3">
      <c r="A48" t="s">
        <v>281</v>
      </c>
      <c r="B48" s="5">
        <v>41453</v>
      </c>
      <c r="C48">
        <v>82.29</v>
      </c>
      <c r="D48" t="s">
        <v>305</v>
      </c>
      <c r="E48" t="s">
        <v>310</v>
      </c>
      <c r="G48" t="s">
        <v>8</v>
      </c>
      <c r="H48" t="s">
        <v>311</v>
      </c>
    </row>
    <row r="49" spans="1:8" x14ac:dyDescent="0.3">
      <c r="A49" t="s">
        <v>281</v>
      </c>
      <c r="B49" s="5">
        <v>41470</v>
      </c>
      <c r="C49">
        <v>24.89</v>
      </c>
      <c r="D49" t="s">
        <v>305</v>
      </c>
      <c r="E49" t="s">
        <v>724</v>
      </c>
      <c r="G49" t="s">
        <v>8</v>
      </c>
    </row>
    <row r="50" spans="1:8" x14ac:dyDescent="0.3">
      <c r="A50" t="s">
        <v>281</v>
      </c>
      <c r="B50" s="5">
        <v>41486</v>
      </c>
      <c r="C50">
        <v>85.07</v>
      </c>
      <c r="D50" t="s">
        <v>305</v>
      </c>
      <c r="E50" t="s">
        <v>310</v>
      </c>
      <c r="G50" t="s">
        <v>8</v>
      </c>
      <c r="H50" t="s">
        <v>311</v>
      </c>
    </row>
    <row r="51" spans="1:8" x14ac:dyDescent="0.3">
      <c r="A51" t="s">
        <v>281</v>
      </c>
      <c r="B51" s="5">
        <v>41516</v>
      </c>
      <c r="C51">
        <v>85.11</v>
      </c>
      <c r="D51" t="s">
        <v>305</v>
      </c>
      <c r="E51" t="s">
        <v>310</v>
      </c>
      <c r="G51" t="s">
        <v>8</v>
      </c>
      <c r="H51" t="s">
        <v>311</v>
      </c>
    </row>
    <row r="52" spans="1:8" x14ac:dyDescent="0.3">
      <c r="A52" t="s">
        <v>281</v>
      </c>
      <c r="B52" s="5">
        <v>41547</v>
      </c>
      <c r="C52">
        <v>82.4</v>
      </c>
      <c r="D52" t="s">
        <v>305</v>
      </c>
      <c r="E52" t="s">
        <v>310</v>
      </c>
      <c r="F52" t="s">
        <v>725</v>
      </c>
      <c r="G52" t="s">
        <v>8</v>
      </c>
      <c r="H52" t="s">
        <v>311</v>
      </c>
    </row>
    <row r="53" spans="1:8" x14ac:dyDescent="0.3">
      <c r="A53" t="s">
        <v>281</v>
      </c>
      <c r="B53" s="5">
        <v>41564</v>
      </c>
      <c r="C53">
        <v>186.64</v>
      </c>
      <c r="D53" t="s">
        <v>305</v>
      </c>
      <c r="E53" t="s">
        <v>720</v>
      </c>
      <c r="F53" t="s">
        <v>726</v>
      </c>
      <c r="G53" t="s">
        <v>10</v>
      </c>
    </row>
    <row r="54" spans="1:8" x14ac:dyDescent="0.3">
      <c r="A54" t="s">
        <v>281</v>
      </c>
      <c r="B54" s="5">
        <v>41568</v>
      </c>
      <c r="C54">
        <v>24.89</v>
      </c>
      <c r="D54" t="s">
        <v>305</v>
      </c>
      <c r="E54" t="s">
        <v>724</v>
      </c>
      <c r="G54" t="s">
        <v>8</v>
      </c>
    </row>
    <row r="55" spans="1:8" x14ac:dyDescent="0.3">
      <c r="A55" t="s">
        <v>281</v>
      </c>
      <c r="B55" s="5">
        <v>41576</v>
      </c>
      <c r="C55">
        <v>0.37</v>
      </c>
      <c r="D55" t="s">
        <v>305</v>
      </c>
      <c r="E55" t="s">
        <v>724</v>
      </c>
      <c r="G55" t="s">
        <v>8</v>
      </c>
    </row>
    <row r="56" spans="1:8" x14ac:dyDescent="0.3">
      <c r="A56" t="s">
        <v>281</v>
      </c>
      <c r="B56" s="5">
        <v>41578</v>
      </c>
      <c r="C56">
        <v>85.22</v>
      </c>
      <c r="D56" t="s">
        <v>305</v>
      </c>
      <c r="E56" t="s">
        <v>310</v>
      </c>
      <c r="G56" t="s">
        <v>8</v>
      </c>
      <c r="H56" t="s">
        <v>311</v>
      </c>
    </row>
    <row r="57" spans="1:8" x14ac:dyDescent="0.3">
      <c r="A57" t="s">
        <v>281</v>
      </c>
      <c r="B57" s="5">
        <v>41607</v>
      </c>
      <c r="C57">
        <v>82.56</v>
      </c>
      <c r="D57" t="s">
        <v>305</v>
      </c>
      <c r="E57" t="s">
        <v>310</v>
      </c>
      <c r="F57" t="s">
        <v>601</v>
      </c>
      <c r="G57" t="s">
        <v>8</v>
      </c>
      <c r="H57" t="s">
        <v>311</v>
      </c>
    </row>
    <row r="58" spans="1:8" x14ac:dyDescent="0.3">
      <c r="A58" t="s">
        <v>281</v>
      </c>
      <c r="B58" s="5">
        <v>41636</v>
      </c>
      <c r="C58">
        <v>0</v>
      </c>
      <c r="D58" t="s">
        <v>305</v>
      </c>
      <c r="E58" t="s">
        <v>309</v>
      </c>
      <c r="F58" t="s">
        <v>727</v>
      </c>
      <c r="G58" t="s">
        <v>5</v>
      </c>
    </row>
    <row r="59" spans="1:8" x14ac:dyDescent="0.3">
      <c r="A59" t="s">
        <v>281</v>
      </c>
      <c r="B59" s="5">
        <v>41639</v>
      </c>
      <c r="C59">
        <v>85.34</v>
      </c>
      <c r="D59" t="s">
        <v>305</v>
      </c>
      <c r="E59" t="s">
        <v>310</v>
      </c>
      <c r="F59" t="s">
        <v>601</v>
      </c>
      <c r="G59" t="s">
        <v>8</v>
      </c>
      <c r="H59" t="s">
        <v>311</v>
      </c>
    </row>
    <row r="60" spans="1:8" x14ac:dyDescent="0.3">
      <c r="A60" t="s">
        <v>281</v>
      </c>
      <c r="B60" s="5">
        <v>41655</v>
      </c>
      <c r="C60">
        <v>25.31</v>
      </c>
      <c r="D60" t="s">
        <v>305</v>
      </c>
      <c r="E60" t="s">
        <v>312</v>
      </c>
      <c r="G60" t="s">
        <v>8</v>
      </c>
    </row>
    <row r="61" spans="1:8" x14ac:dyDescent="0.3">
      <c r="A61" t="s">
        <v>281</v>
      </c>
      <c r="B61" s="5">
        <v>41670</v>
      </c>
      <c r="C61">
        <v>85.39</v>
      </c>
      <c r="D61" t="s">
        <v>305</v>
      </c>
      <c r="E61" t="s">
        <v>310</v>
      </c>
      <c r="F61" t="s">
        <v>728</v>
      </c>
      <c r="G61" t="s">
        <v>8</v>
      </c>
      <c r="H61" t="s">
        <v>311</v>
      </c>
    </row>
    <row r="62" spans="1:8" x14ac:dyDescent="0.3">
      <c r="A62" t="s">
        <v>281</v>
      </c>
      <c r="B62" s="5">
        <v>41696</v>
      </c>
      <c r="C62" s="4">
        <v>-83000</v>
      </c>
      <c r="D62" t="s">
        <v>305</v>
      </c>
      <c r="E62" t="s">
        <v>673</v>
      </c>
      <c r="F62" t="s">
        <v>674</v>
      </c>
      <c r="G62" t="s">
        <v>9</v>
      </c>
    </row>
    <row r="63" spans="1:8" x14ac:dyDescent="0.3">
      <c r="A63" t="s">
        <v>281</v>
      </c>
      <c r="B63" s="5">
        <v>41698</v>
      </c>
      <c r="C63">
        <v>72.61</v>
      </c>
      <c r="D63" t="s">
        <v>305</v>
      </c>
      <c r="E63" t="s">
        <v>310</v>
      </c>
      <c r="G63" t="s">
        <v>8</v>
      </c>
      <c r="H63" t="s">
        <v>311</v>
      </c>
    </row>
    <row r="64" spans="1:8" x14ac:dyDescent="0.3">
      <c r="A64" t="s">
        <v>281</v>
      </c>
      <c r="B64" s="5">
        <v>41700</v>
      </c>
      <c r="C64">
        <v>0</v>
      </c>
      <c r="D64" t="s">
        <v>305</v>
      </c>
      <c r="E64" t="s">
        <v>309</v>
      </c>
      <c r="F64" t="s">
        <v>675</v>
      </c>
      <c r="G64" t="s">
        <v>5</v>
      </c>
    </row>
    <row r="65" spans="1:8" x14ac:dyDescent="0.3">
      <c r="A65" t="s">
        <v>281</v>
      </c>
      <c r="B65" s="5">
        <v>41700</v>
      </c>
      <c r="C65">
        <v>0</v>
      </c>
      <c r="D65" t="s">
        <v>305</v>
      </c>
      <c r="E65" t="s">
        <v>309</v>
      </c>
      <c r="F65" t="s">
        <v>729</v>
      </c>
      <c r="G65" t="s">
        <v>13</v>
      </c>
    </row>
    <row r="66" spans="1:8" x14ac:dyDescent="0.3">
      <c r="A66" t="s">
        <v>282</v>
      </c>
      <c r="B66" s="5">
        <v>41275</v>
      </c>
      <c r="C66" s="4">
        <v>84926.91</v>
      </c>
      <c r="D66" t="s">
        <v>305</v>
      </c>
      <c r="E66" t="s">
        <v>702</v>
      </c>
      <c r="G66" t="s">
        <v>7</v>
      </c>
    </row>
    <row r="67" spans="1:8" x14ac:dyDescent="0.3">
      <c r="A67" t="s">
        <v>282</v>
      </c>
      <c r="B67" s="5">
        <v>41305</v>
      </c>
      <c r="C67">
        <v>32.46</v>
      </c>
      <c r="D67" t="s">
        <v>305</v>
      </c>
      <c r="E67" t="s">
        <v>310</v>
      </c>
      <c r="G67" t="s">
        <v>8</v>
      </c>
      <c r="H67" t="s">
        <v>311</v>
      </c>
    </row>
    <row r="68" spans="1:8" x14ac:dyDescent="0.3">
      <c r="A68" t="s">
        <v>282</v>
      </c>
      <c r="B68" s="5">
        <v>41333</v>
      </c>
      <c r="C68">
        <v>29.33</v>
      </c>
      <c r="D68" t="s">
        <v>305</v>
      </c>
      <c r="E68" t="s">
        <v>310</v>
      </c>
      <c r="G68" t="s">
        <v>8</v>
      </c>
    </row>
    <row r="69" spans="1:8" x14ac:dyDescent="0.3">
      <c r="A69" t="s">
        <v>282</v>
      </c>
      <c r="B69" s="5">
        <v>41362</v>
      </c>
      <c r="C69">
        <v>32.49</v>
      </c>
      <c r="D69" t="s">
        <v>305</v>
      </c>
      <c r="E69" t="s">
        <v>310</v>
      </c>
      <c r="G69" t="s">
        <v>8</v>
      </c>
    </row>
    <row r="70" spans="1:8" x14ac:dyDescent="0.3">
      <c r="A70" t="s">
        <v>282</v>
      </c>
      <c r="B70" s="5">
        <v>41394</v>
      </c>
      <c r="C70">
        <v>31.45</v>
      </c>
      <c r="D70" t="s">
        <v>305</v>
      </c>
      <c r="E70" t="s">
        <v>310</v>
      </c>
      <c r="G70" t="s">
        <v>8</v>
      </c>
    </row>
    <row r="71" spans="1:8" x14ac:dyDescent="0.3">
      <c r="A71" t="s">
        <v>282</v>
      </c>
      <c r="B71" s="5">
        <v>41408</v>
      </c>
      <c r="C71" s="4">
        <v>47859.4</v>
      </c>
      <c r="D71" t="s">
        <v>305</v>
      </c>
      <c r="E71" t="s">
        <v>718</v>
      </c>
      <c r="F71" t="s">
        <v>719</v>
      </c>
      <c r="G71" t="s">
        <v>9</v>
      </c>
    </row>
    <row r="72" spans="1:8" x14ac:dyDescent="0.3">
      <c r="A72" t="s">
        <v>282</v>
      </c>
      <c r="B72" s="5">
        <v>41408</v>
      </c>
      <c r="C72" s="4">
        <v>1595</v>
      </c>
      <c r="D72" t="s">
        <v>305</v>
      </c>
      <c r="E72" t="s">
        <v>718</v>
      </c>
      <c r="F72" t="s">
        <v>719</v>
      </c>
      <c r="G72" t="s">
        <v>4</v>
      </c>
    </row>
    <row r="73" spans="1:8" x14ac:dyDescent="0.3">
      <c r="A73" t="s">
        <v>282</v>
      </c>
      <c r="B73" s="5">
        <v>41408</v>
      </c>
      <c r="C73" s="4">
        <v>-1000</v>
      </c>
      <c r="D73" t="s">
        <v>305</v>
      </c>
      <c r="E73" t="s">
        <v>730</v>
      </c>
      <c r="F73" t="s">
        <v>709</v>
      </c>
      <c r="G73" t="s">
        <v>11</v>
      </c>
    </row>
    <row r="74" spans="1:8" x14ac:dyDescent="0.3">
      <c r="A74" t="s">
        <v>282</v>
      </c>
      <c r="B74" s="5">
        <v>41418</v>
      </c>
      <c r="C74" s="4">
        <v>-16700</v>
      </c>
      <c r="D74" t="s">
        <v>305</v>
      </c>
      <c r="E74" t="s">
        <v>730</v>
      </c>
      <c r="F74" t="s">
        <v>709</v>
      </c>
      <c r="G74" t="s">
        <v>9</v>
      </c>
    </row>
    <row r="75" spans="1:8" x14ac:dyDescent="0.3">
      <c r="A75" t="s">
        <v>282</v>
      </c>
      <c r="B75" s="5">
        <v>41425</v>
      </c>
      <c r="C75">
        <v>41.62</v>
      </c>
      <c r="D75" t="s">
        <v>305</v>
      </c>
      <c r="E75" t="s">
        <v>310</v>
      </c>
      <c r="G75" t="s">
        <v>8</v>
      </c>
      <c r="H75" t="s">
        <v>311</v>
      </c>
    </row>
    <row r="76" spans="1:8" x14ac:dyDescent="0.3">
      <c r="A76" t="s">
        <v>282</v>
      </c>
      <c r="B76" s="5">
        <v>41453</v>
      </c>
      <c r="C76">
        <v>43.23</v>
      </c>
      <c r="D76" t="s">
        <v>305</v>
      </c>
      <c r="E76" t="s">
        <v>310</v>
      </c>
      <c r="G76" t="s">
        <v>8</v>
      </c>
      <c r="H76" t="s">
        <v>311</v>
      </c>
    </row>
    <row r="77" spans="1:8" x14ac:dyDescent="0.3">
      <c r="A77" t="s">
        <v>282</v>
      </c>
      <c r="B77" s="5">
        <v>41486</v>
      </c>
      <c r="C77">
        <v>44.68</v>
      </c>
      <c r="D77" t="s">
        <v>305</v>
      </c>
      <c r="E77" t="s">
        <v>310</v>
      </c>
      <c r="G77" t="s">
        <v>8</v>
      </c>
      <c r="H77" t="s">
        <v>311</v>
      </c>
    </row>
    <row r="78" spans="1:8" x14ac:dyDescent="0.3">
      <c r="A78" t="s">
        <v>282</v>
      </c>
      <c r="B78" s="5">
        <v>41516</v>
      </c>
      <c r="C78">
        <v>44.7</v>
      </c>
      <c r="D78" t="s">
        <v>305</v>
      </c>
      <c r="E78" t="s">
        <v>310</v>
      </c>
      <c r="G78" t="s">
        <v>8</v>
      </c>
      <c r="H78" t="s">
        <v>311</v>
      </c>
    </row>
    <row r="79" spans="1:8" x14ac:dyDescent="0.3">
      <c r="A79" t="s">
        <v>282</v>
      </c>
      <c r="B79" s="5">
        <v>41526</v>
      </c>
      <c r="C79" s="4">
        <v>1841.13</v>
      </c>
      <c r="D79" t="s">
        <v>305</v>
      </c>
      <c r="E79" t="s">
        <v>718</v>
      </c>
      <c r="F79" t="s">
        <v>719</v>
      </c>
      <c r="G79" t="s">
        <v>4</v>
      </c>
    </row>
    <row r="80" spans="1:8" x14ac:dyDescent="0.3">
      <c r="A80" t="s">
        <v>282</v>
      </c>
      <c r="B80" s="5">
        <v>41547</v>
      </c>
      <c r="C80">
        <v>43.77</v>
      </c>
      <c r="D80" t="s">
        <v>305</v>
      </c>
      <c r="E80" t="s">
        <v>310</v>
      </c>
      <c r="G80" t="s">
        <v>8</v>
      </c>
      <c r="H80" t="s">
        <v>311</v>
      </c>
    </row>
    <row r="81" spans="1:8" x14ac:dyDescent="0.3">
      <c r="A81" t="s">
        <v>282</v>
      </c>
      <c r="B81" s="5">
        <v>41564</v>
      </c>
      <c r="C81">
        <v>44.41</v>
      </c>
      <c r="D81" t="s">
        <v>305</v>
      </c>
      <c r="E81" t="s">
        <v>720</v>
      </c>
      <c r="F81" t="s">
        <v>731</v>
      </c>
      <c r="G81" t="s">
        <v>6</v>
      </c>
    </row>
    <row r="82" spans="1:8" x14ac:dyDescent="0.3">
      <c r="A82" t="s">
        <v>282</v>
      </c>
      <c r="B82" s="5">
        <v>41564</v>
      </c>
      <c r="C82" s="4">
        <v>-2000</v>
      </c>
      <c r="D82" t="s">
        <v>305</v>
      </c>
      <c r="E82" t="s">
        <v>730</v>
      </c>
      <c r="F82" t="s">
        <v>709</v>
      </c>
      <c r="G82" t="s">
        <v>11</v>
      </c>
    </row>
    <row r="83" spans="1:8" x14ac:dyDescent="0.3">
      <c r="A83" t="s">
        <v>282</v>
      </c>
      <c r="B83" s="5">
        <v>41578</v>
      </c>
      <c r="C83">
        <v>45.08</v>
      </c>
      <c r="D83" t="s">
        <v>305</v>
      </c>
      <c r="E83" t="s">
        <v>310</v>
      </c>
      <c r="G83" t="s">
        <v>8</v>
      </c>
      <c r="H83" t="s">
        <v>311</v>
      </c>
    </row>
    <row r="84" spans="1:8" x14ac:dyDescent="0.3">
      <c r="A84" t="s">
        <v>282</v>
      </c>
      <c r="B84" s="5">
        <v>41607</v>
      </c>
      <c r="C84">
        <v>43.27</v>
      </c>
      <c r="D84" t="s">
        <v>305</v>
      </c>
      <c r="E84" t="s">
        <v>310</v>
      </c>
      <c r="F84" t="s">
        <v>601</v>
      </c>
      <c r="G84" t="s">
        <v>8</v>
      </c>
      <c r="H84" t="s">
        <v>311</v>
      </c>
    </row>
    <row r="85" spans="1:8" x14ac:dyDescent="0.3">
      <c r="A85" t="s">
        <v>282</v>
      </c>
      <c r="B85" s="5">
        <v>41636</v>
      </c>
      <c r="C85">
        <v>0</v>
      </c>
      <c r="D85" t="s">
        <v>305</v>
      </c>
      <c r="E85" t="s">
        <v>309</v>
      </c>
      <c r="F85" t="s">
        <v>732</v>
      </c>
      <c r="G85" t="s">
        <v>7</v>
      </c>
    </row>
    <row r="86" spans="1:8" x14ac:dyDescent="0.3">
      <c r="A86" t="s">
        <v>282</v>
      </c>
      <c r="B86" s="5">
        <v>41639</v>
      </c>
      <c r="C86">
        <v>44.72</v>
      </c>
      <c r="D86" t="s">
        <v>305</v>
      </c>
      <c r="E86" t="s">
        <v>310</v>
      </c>
      <c r="F86" t="s">
        <v>601</v>
      </c>
      <c r="G86" t="s">
        <v>8</v>
      </c>
      <c r="H86" t="s">
        <v>311</v>
      </c>
    </row>
    <row r="87" spans="1:8" x14ac:dyDescent="0.3">
      <c r="A87" t="s">
        <v>282</v>
      </c>
      <c r="B87" s="5">
        <v>41670</v>
      </c>
      <c r="C87">
        <v>44.74</v>
      </c>
      <c r="D87" t="s">
        <v>305</v>
      </c>
      <c r="E87" t="s">
        <v>310</v>
      </c>
      <c r="F87" t="s">
        <v>733</v>
      </c>
      <c r="G87" t="s">
        <v>8</v>
      </c>
      <c r="H87" t="s">
        <v>311</v>
      </c>
    </row>
    <row r="88" spans="1:8" x14ac:dyDescent="0.3">
      <c r="A88" t="s">
        <v>282</v>
      </c>
      <c r="B88" s="5">
        <v>41696</v>
      </c>
      <c r="C88" s="4">
        <v>-117000</v>
      </c>
      <c r="D88" t="s">
        <v>305</v>
      </c>
      <c r="E88" t="s">
        <v>673</v>
      </c>
      <c r="F88" t="s">
        <v>676</v>
      </c>
      <c r="G88" t="s">
        <v>9</v>
      </c>
    </row>
    <row r="89" spans="1:8" x14ac:dyDescent="0.3">
      <c r="A89" t="s">
        <v>282</v>
      </c>
      <c r="B89" s="5">
        <v>41698</v>
      </c>
      <c r="C89">
        <v>34.65</v>
      </c>
      <c r="D89" t="s">
        <v>305</v>
      </c>
      <c r="E89" t="s">
        <v>310</v>
      </c>
      <c r="G89" t="s">
        <v>8</v>
      </c>
      <c r="H89" t="s">
        <v>311</v>
      </c>
    </row>
    <row r="90" spans="1:8" x14ac:dyDescent="0.3">
      <c r="A90" t="s">
        <v>282</v>
      </c>
      <c r="B90" s="5">
        <v>41700</v>
      </c>
      <c r="C90">
        <v>0</v>
      </c>
      <c r="D90" t="s">
        <v>305</v>
      </c>
      <c r="E90" t="s">
        <v>309</v>
      </c>
      <c r="F90" t="s">
        <v>677</v>
      </c>
      <c r="G90" t="s">
        <v>7</v>
      </c>
    </row>
    <row r="91" spans="1:8" x14ac:dyDescent="0.3">
      <c r="A91" t="s">
        <v>283</v>
      </c>
      <c r="B91" s="5">
        <v>41275</v>
      </c>
      <c r="C91" s="4">
        <v>5167.28</v>
      </c>
      <c r="D91" t="s">
        <v>305</v>
      </c>
      <c r="E91" t="s">
        <v>702</v>
      </c>
      <c r="G91" t="s">
        <v>10</v>
      </c>
    </row>
    <row r="92" spans="1:8" x14ac:dyDescent="0.3">
      <c r="A92" t="s">
        <v>283</v>
      </c>
      <c r="B92" s="5">
        <v>41305</v>
      </c>
      <c r="C92">
        <v>2.19</v>
      </c>
      <c r="D92" t="s">
        <v>305</v>
      </c>
      <c r="E92" t="s">
        <v>310</v>
      </c>
      <c r="G92" t="s">
        <v>8</v>
      </c>
      <c r="H92" t="s">
        <v>311</v>
      </c>
    </row>
    <row r="93" spans="1:8" x14ac:dyDescent="0.3">
      <c r="A93" t="s">
        <v>283</v>
      </c>
      <c r="B93" s="5">
        <v>41333</v>
      </c>
      <c r="C93">
        <v>1.98</v>
      </c>
      <c r="D93" t="s">
        <v>305</v>
      </c>
      <c r="E93" t="s">
        <v>310</v>
      </c>
      <c r="G93" t="s">
        <v>8</v>
      </c>
    </row>
    <row r="94" spans="1:8" x14ac:dyDescent="0.3">
      <c r="A94" t="s">
        <v>283</v>
      </c>
      <c r="B94" s="5">
        <v>41362</v>
      </c>
      <c r="C94">
        <v>2.2000000000000002</v>
      </c>
      <c r="D94" t="s">
        <v>305</v>
      </c>
      <c r="E94" t="s">
        <v>310</v>
      </c>
      <c r="G94" t="s">
        <v>8</v>
      </c>
    </row>
    <row r="95" spans="1:8" x14ac:dyDescent="0.3">
      <c r="A95" t="s">
        <v>283</v>
      </c>
      <c r="B95" s="5">
        <v>41394</v>
      </c>
      <c r="C95">
        <v>2.13</v>
      </c>
      <c r="D95" t="s">
        <v>305</v>
      </c>
      <c r="E95" t="s">
        <v>310</v>
      </c>
      <c r="G95" t="s">
        <v>8</v>
      </c>
    </row>
    <row r="96" spans="1:8" x14ac:dyDescent="0.3">
      <c r="A96" t="s">
        <v>283</v>
      </c>
      <c r="B96" s="5">
        <v>41425</v>
      </c>
      <c r="C96">
        <v>2.2000000000000002</v>
      </c>
      <c r="D96" t="s">
        <v>305</v>
      </c>
      <c r="E96" t="s">
        <v>310</v>
      </c>
      <c r="G96" t="s">
        <v>8</v>
      </c>
      <c r="H96" t="s">
        <v>311</v>
      </c>
    </row>
    <row r="97" spans="1:8" x14ac:dyDescent="0.3">
      <c r="A97" t="s">
        <v>283</v>
      </c>
      <c r="B97" s="5">
        <v>41453</v>
      </c>
      <c r="C97">
        <v>2.13</v>
      </c>
      <c r="D97" t="s">
        <v>305</v>
      </c>
      <c r="E97" t="s">
        <v>310</v>
      </c>
      <c r="G97" t="s">
        <v>8</v>
      </c>
      <c r="H97" t="s">
        <v>311</v>
      </c>
    </row>
    <row r="98" spans="1:8" x14ac:dyDescent="0.3">
      <c r="A98" t="s">
        <v>283</v>
      </c>
      <c r="B98" s="5">
        <v>41486</v>
      </c>
      <c r="C98">
        <v>2.2000000000000002</v>
      </c>
      <c r="D98" t="s">
        <v>305</v>
      </c>
      <c r="E98" t="s">
        <v>310</v>
      </c>
      <c r="G98" t="s">
        <v>8</v>
      </c>
      <c r="H98" t="s">
        <v>311</v>
      </c>
    </row>
    <row r="99" spans="1:8" x14ac:dyDescent="0.3">
      <c r="A99" t="s">
        <v>283</v>
      </c>
      <c r="B99" s="5">
        <v>41516</v>
      </c>
      <c r="C99">
        <v>2.2000000000000002</v>
      </c>
      <c r="D99" t="s">
        <v>305</v>
      </c>
      <c r="E99" t="s">
        <v>310</v>
      </c>
      <c r="G99" t="s">
        <v>8</v>
      </c>
      <c r="H99" t="s">
        <v>311</v>
      </c>
    </row>
    <row r="100" spans="1:8" x14ac:dyDescent="0.3">
      <c r="A100" t="s">
        <v>283</v>
      </c>
      <c r="B100" s="5">
        <v>41547</v>
      </c>
      <c r="C100">
        <v>2.13</v>
      </c>
      <c r="D100" t="s">
        <v>305</v>
      </c>
      <c r="E100" t="s">
        <v>310</v>
      </c>
      <c r="G100" t="s">
        <v>8</v>
      </c>
      <c r="H100" t="s">
        <v>311</v>
      </c>
    </row>
    <row r="101" spans="1:8" x14ac:dyDescent="0.3">
      <c r="A101" t="s">
        <v>283</v>
      </c>
      <c r="B101" s="5">
        <v>41564</v>
      </c>
      <c r="C101">
        <v>-186.64</v>
      </c>
      <c r="D101" t="s">
        <v>305</v>
      </c>
      <c r="E101" t="s">
        <v>720</v>
      </c>
      <c r="F101" t="s">
        <v>734</v>
      </c>
      <c r="G101" t="s">
        <v>5</v>
      </c>
    </row>
    <row r="102" spans="1:8" x14ac:dyDescent="0.3">
      <c r="A102" t="s">
        <v>283</v>
      </c>
      <c r="B102" s="5">
        <v>41578</v>
      </c>
      <c r="C102">
        <v>2.16</v>
      </c>
      <c r="D102" t="s">
        <v>305</v>
      </c>
      <c r="E102" t="s">
        <v>310</v>
      </c>
      <c r="G102" t="s">
        <v>8</v>
      </c>
      <c r="H102" t="s">
        <v>311</v>
      </c>
    </row>
    <row r="103" spans="1:8" x14ac:dyDescent="0.3">
      <c r="A103" t="s">
        <v>283</v>
      </c>
      <c r="B103" s="5">
        <v>41607</v>
      </c>
      <c r="C103">
        <v>2.06</v>
      </c>
      <c r="D103" t="s">
        <v>305</v>
      </c>
      <c r="E103" t="s">
        <v>310</v>
      </c>
      <c r="F103" t="s">
        <v>601</v>
      </c>
      <c r="G103" t="s">
        <v>8</v>
      </c>
      <c r="H103" t="s">
        <v>311</v>
      </c>
    </row>
    <row r="104" spans="1:8" x14ac:dyDescent="0.3">
      <c r="A104" t="s">
        <v>283</v>
      </c>
      <c r="B104" s="5">
        <v>41636</v>
      </c>
      <c r="C104">
        <v>0</v>
      </c>
      <c r="D104" t="s">
        <v>305</v>
      </c>
      <c r="E104" t="s">
        <v>309</v>
      </c>
      <c r="F104" t="s">
        <v>735</v>
      </c>
      <c r="G104" t="s">
        <v>10</v>
      </c>
    </row>
    <row r="105" spans="1:8" x14ac:dyDescent="0.3">
      <c r="A105" t="s">
        <v>283</v>
      </c>
      <c r="B105" s="5">
        <v>41639</v>
      </c>
      <c r="C105">
        <v>2.13</v>
      </c>
      <c r="D105" t="s">
        <v>305</v>
      </c>
      <c r="E105" t="s">
        <v>310</v>
      </c>
      <c r="F105" t="s">
        <v>601</v>
      </c>
      <c r="G105" t="s">
        <v>8</v>
      </c>
      <c r="H105" t="s">
        <v>311</v>
      </c>
    </row>
    <row r="106" spans="1:8" x14ac:dyDescent="0.3">
      <c r="A106" t="s">
        <v>283</v>
      </c>
      <c r="B106" s="5">
        <v>41670</v>
      </c>
      <c r="C106">
        <v>2.13</v>
      </c>
      <c r="D106" t="s">
        <v>305</v>
      </c>
      <c r="E106" t="s">
        <v>310</v>
      </c>
      <c r="F106" t="s">
        <v>736</v>
      </c>
      <c r="G106" t="s">
        <v>8</v>
      </c>
      <c r="H106" t="s">
        <v>311</v>
      </c>
    </row>
    <row r="107" spans="1:8" x14ac:dyDescent="0.3">
      <c r="A107" t="s">
        <v>283</v>
      </c>
      <c r="B107" s="5">
        <v>41698</v>
      </c>
      <c r="C107">
        <v>1.92</v>
      </c>
      <c r="D107" t="s">
        <v>305</v>
      </c>
      <c r="E107" t="s">
        <v>310</v>
      </c>
      <c r="G107" t="s">
        <v>8</v>
      </c>
      <c r="H107" t="s">
        <v>311</v>
      </c>
    </row>
    <row r="108" spans="1:8" x14ac:dyDescent="0.3">
      <c r="A108" t="s">
        <v>283</v>
      </c>
      <c r="B108" s="5">
        <v>41700</v>
      </c>
      <c r="C108">
        <v>0</v>
      </c>
      <c r="D108" t="s">
        <v>305</v>
      </c>
      <c r="E108" t="s">
        <v>309</v>
      </c>
      <c r="F108" t="s">
        <v>737</v>
      </c>
      <c r="G108" t="s">
        <v>10</v>
      </c>
    </row>
    <row r="109" spans="1:8" x14ac:dyDescent="0.3">
      <c r="A109" t="s">
        <v>284</v>
      </c>
      <c r="B109" s="5">
        <v>41272</v>
      </c>
      <c r="C109" s="4">
        <v>110623.4</v>
      </c>
      <c r="D109" t="s">
        <v>305</v>
      </c>
      <c r="E109" t="s">
        <v>702</v>
      </c>
      <c r="G109" t="s">
        <v>9</v>
      </c>
    </row>
    <row r="110" spans="1:8" x14ac:dyDescent="0.3">
      <c r="A110" t="s">
        <v>284</v>
      </c>
      <c r="B110" s="5">
        <v>41274</v>
      </c>
      <c r="C110" s="4">
        <v>5306.43</v>
      </c>
      <c r="D110" t="s">
        <v>305</v>
      </c>
      <c r="E110" t="s">
        <v>738</v>
      </c>
      <c r="F110" t="s">
        <v>313</v>
      </c>
      <c r="G110" t="s">
        <v>12</v>
      </c>
    </row>
    <row r="111" spans="1:8" x14ac:dyDescent="0.3">
      <c r="A111" t="s">
        <v>284</v>
      </c>
      <c r="B111" s="5">
        <v>41274</v>
      </c>
      <c r="C111">
        <v>-193.07</v>
      </c>
      <c r="D111" t="s">
        <v>305</v>
      </c>
      <c r="E111" t="s">
        <v>603</v>
      </c>
      <c r="F111" t="s">
        <v>604</v>
      </c>
      <c r="G111" t="s">
        <v>314</v>
      </c>
    </row>
    <row r="112" spans="1:8" x14ac:dyDescent="0.3">
      <c r="A112" t="s">
        <v>284</v>
      </c>
      <c r="B112" s="5">
        <v>41276</v>
      </c>
      <c r="C112" s="4">
        <v>-2147</v>
      </c>
      <c r="D112" t="s">
        <v>305</v>
      </c>
      <c r="E112" t="s">
        <v>315</v>
      </c>
      <c r="F112" t="s">
        <v>316</v>
      </c>
      <c r="G112" t="s">
        <v>317</v>
      </c>
    </row>
    <row r="113" spans="1:8" x14ac:dyDescent="0.3">
      <c r="A113" t="s">
        <v>284</v>
      </c>
      <c r="B113" s="5">
        <v>41276</v>
      </c>
      <c r="C113" s="4">
        <v>-20000</v>
      </c>
      <c r="D113" t="s">
        <v>305</v>
      </c>
      <c r="E113" t="s">
        <v>739</v>
      </c>
      <c r="G113" t="s">
        <v>605</v>
      </c>
    </row>
    <row r="114" spans="1:8" x14ac:dyDescent="0.3">
      <c r="A114" t="s">
        <v>284</v>
      </c>
      <c r="B114" s="5">
        <v>41276</v>
      </c>
      <c r="C114">
        <v>-180.27</v>
      </c>
      <c r="D114" t="s">
        <v>305</v>
      </c>
      <c r="E114" t="s">
        <v>740</v>
      </c>
      <c r="F114" t="s">
        <v>741</v>
      </c>
      <c r="G114" t="s">
        <v>606</v>
      </c>
      <c r="H114">
        <v>2272</v>
      </c>
    </row>
    <row r="115" spans="1:8" x14ac:dyDescent="0.3">
      <c r="A115" t="s">
        <v>284</v>
      </c>
      <c r="B115" s="5">
        <v>41277</v>
      </c>
      <c r="C115" s="4">
        <v>-2047.57</v>
      </c>
      <c r="D115" t="s">
        <v>305</v>
      </c>
      <c r="E115" t="s">
        <v>742</v>
      </c>
      <c r="F115" t="s">
        <v>743</v>
      </c>
      <c r="G115" t="s">
        <v>318</v>
      </c>
    </row>
    <row r="116" spans="1:8" x14ac:dyDescent="0.3">
      <c r="A116" t="s">
        <v>284</v>
      </c>
      <c r="B116" s="5">
        <v>41277</v>
      </c>
      <c r="C116" s="4">
        <v>-3479.17</v>
      </c>
      <c r="D116" t="s">
        <v>305</v>
      </c>
      <c r="E116" t="s">
        <v>742</v>
      </c>
      <c r="F116" t="s">
        <v>744</v>
      </c>
      <c r="G116" t="s">
        <v>318</v>
      </c>
    </row>
    <row r="117" spans="1:8" x14ac:dyDescent="0.3">
      <c r="A117" t="s">
        <v>284</v>
      </c>
      <c r="B117" s="5">
        <v>41277</v>
      </c>
      <c r="C117" s="4">
        <v>-3598.56</v>
      </c>
      <c r="D117" t="s">
        <v>305</v>
      </c>
      <c r="E117" t="s">
        <v>319</v>
      </c>
      <c r="F117" t="s">
        <v>320</v>
      </c>
      <c r="G117" t="s">
        <v>321</v>
      </c>
    </row>
    <row r="118" spans="1:8" x14ac:dyDescent="0.3">
      <c r="A118" t="s">
        <v>284</v>
      </c>
      <c r="B118" s="5">
        <v>41277</v>
      </c>
      <c r="C118" s="4">
        <v>-4948.2</v>
      </c>
      <c r="D118" t="s">
        <v>305</v>
      </c>
      <c r="E118" t="s">
        <v>322</v>
      </c>
      <c r="F118" t="s">
        <v>607</v>
      </c>
      <c r="G118" t="s">
        <v>13</v>
      </c>
    </row>
    <row r="119" spans="1:8" x14ac:dyDescent="0.3">
      <c r="A119" t="s">
        <v>284</v>
      </c>
      <c r="B119" s="5">
        <v>41277</v>
      </c>
      <c r="C119">
        <v>-68</v>
      </c>
      <c r="D119" t="s">
        <v>305</v>
      </c>
      <c r="E119" t="s">
        <v>608</v>
      </c>
      <c r="G119" t="s">
        <v>323</v>
      </c>
      <c r="H119">
        <v>2273</v>
      </c>
    </row>
    <row r="120" spans="1:8" x14ac:dyDescent="0.3">
      <c r="A120" t="s">
        <v>284</v>
      </c>
      <c r="B120" s="5">
        <v>41283</v>
      </c>
      <c r="C120">
        <v>10</v>
      </c>
      <c r="D120" t="s">
        <v>305</v>
      </c>
      <c r="E120" t="s">
        <v>745</v>
      </c>
      <c r="F120" t="s">
        <v>746</v>
      </c>
      <c r="G120" t="s">
        <v>14</v>
      </c>
    </row>
    <row r="121" spans="1:8" x14ac:dyDescent="0.3">
      <c r="A121" t="s">
        <v>284</v>
      </c>
      <c r="B121" s="5">
        <v>41283</v>
      </c>
      <c r="C121" s="4">
        <v>1895</v>
      </c>
      <c r="D121" t="s">
        <v>305</v>
      </c>
      <c r="E121" t="s">
        <v>745</v>
      </c>
      <c r="F121" t="s">
        <v>747</v>
      </c>
      <c r="G121" t="s">
        <v>306</v>
      </c>
    </row>
    <row r="122" spans="1:8" x14ac:dyDescent="0.3">
      <c r="A122" t="s">
        <v>284</v>
      </c>
      <c r="B122" s="5">
        <v>41285</v>
      </c>
      <c r="C122">
        <v>225</v>
      </c>
      <c r="D122" t="s">
        <v>305</v>
      </c>
      <c r="E122" t="s">
        <v>745</v>
      </c>
      <c r="F122" t="s">
        <v>746</v>
      </c>
      <c r="G122" t="s">
        <v>14</v>
      </c>
    </row>
    <row r="123" spans="1:8" x14ac:dyDescent="0.3">
      <c r="A123" t="s">
        <v>284</v>
      </c>
      <c r="B123" s="5">
        <v>41285</v>
      </c>
      <c r="C123">
        <v>-89.81</v>
      </c>
      <c r="D123" t="s">
        <v>305</v>
      </c>
      <c r="E123" t="s">
        <v>324</v>
      </c>
      <c r="F123" t="s">
        <v>748</v>
      </c>
      <c r="G123" t="s">
        <v>314</v>
      </c>
    </row>
    <row r="124" spans="1:8" x14ac:dyDescent="0.3">
      <c r="A124" t="s">
        <v>284</v>
      </c>
      <c r="B124" s="5">
        <v>41289</v>
      </c>
      <c r="C124" s="4">
        <v>3040.35</v>
      </c>
      <c r="D124" t="s">
        <v>305</v>
      </c>
      <c r="E124" t="s">
        <v>738</v>
      </c>
      <c r="F124" t="s">
        <v>313</v>
      </c>
      <c r="G124" t="s">
        <v>12</v>
      </c>
    </row>
    <row r="125" spans="1:8" x14ac:dyDescent="0.3">
      <c r="A125" t="s">
        <v>284</v>
      </c>
      <c r="B125" s="5">
        <v>41289</v>
      </c>
      <c r="C125">
        <v>-131.57</v>
      </c>
      <c r="D125" t="s">
        <v>305</v>
      </c>
      <c r="E125" t="s">
        <v>325</v>
      </c>
      <c r="F125" t="s">
        <v>749</v>
      </c>
      <c r="G125" t="s">
        <v>314</v>
      </c>
    </row>
    <row r="126" spans="1:8" x14ac:dyDescent="0.3">
      <c r="A126" t="s">
        <v>284</v>
      </c>
      <c r="B126" s="5">
        <v>41290</v>
      </c>
      <c r="C126">
        <v>-60</v>
      </c>
      <c r="D126" t="s">
        <v>305</v>
      </c>
      <c r="E126" t="s">
        <v>608</v>
      </c>
      <c r="G126" t="s">
        <v>323</v>
      </c>
      <c r="H126">
        <v>2100</v>
      </c>
    </row>
    <row r="127" spans="1:8" x14ac:dyDescent="0.3">
      <c r="A127" t="s">
        <v>284</v>
      </c>
      <c r="B127" s="5">
        <v>41290</v>
      </c>
      <c r="C127">
        <v>-105</v>
      </c>
      <c r="D127" t="s">
        <v>305</v>
      </c>
      <c r="E127" t="s">
        <v>326</v>
      </c>
      <c r="F127" t="s">
        <v>750</v>
      </c>
      <c r="G127" t="s">
        <v>327</v>
      </c>
      <c r="H127">
        <v>2274</v>
      </c>
    </row>
    <row r="128" spans="1:8" x14ac:dyDescent="0.3">
      <c r="A128" t="s">
        <v>284</v>
      </c>
      <c r="B128" s="5">
        <v>41297</v>
      </c>
      <c r="C128">
        <v>-27.88</v>
      </c>
      <c r="D128" t="s">
        <v>305</v>
      </c>
      <c r="E128" t="s">
        <v>328</v>
      </c>
      <c r="F128" t="s">
        <v>329</v>
      </c>
      <c r="G128" t="s">
        <v>330</v>
      </c>
    </row>
    <row r="129" spans="1:8" x14ac:dyDescent="0.3">
      <c r="A129" t="s">
        <v>284</v>
      </c>
      <c r="B129" s="5">
        <v>41297</v>
      </c>
      <c r="C129" s="4">
        <v>-1215.95</v>
      </c>
      <c r="D129" t="s">
        <v>305</v>
      </c>
      <c r="E129" t="s">
        <v>291</v>
      </c>
      <c r="F129" t="s">
        <v>331</v>
      </c>
      <c r="G129" t="s">
        <v>15</v>
      </c>
    </row>
    <row r="130" spans="1:8" x14ac:dyDescent="0.3">
      <c r="A130" t="s">
        <v>284</v>
      </c>
      <c r="B130" s="5">
        <v>41299</v>
      </c>
      <c r="C130">
        <v>-40</v>
      </c>
      <c r="D130" t="s">
        <v>305</v>
      </c>
      <c r="E130" t="s">
        <v>332</v>
      </c>
      <c r="F130" t="s">
        <v>333</v>
      </c>
      <c r="G130" t="s">
        <v>334</v>
      </c>
    </row>
    <row r="131" spans="1:8" x14ac:dyDescent="0.3">
      <c r="A131" t="s">
        <v>284</v>
      </c>
      <c r="B131" s="5">
        <v>41299</v>
      </c>
      <c r="C131">
        <v>-30</v>
      </c>
      <c r="D131" t="s">
        <v>305</v>
      </c>
      <c r="E131" t="s">
        <v>751</v>
      </c>
      <c r="F131" t="s">
        <v>752</v>
      </c>
      <c r="G131" t="s">
        <v>16</v>
      </c>
    </row>
    <row r="132" spans="1:8" x14ac:dyDescent="0.3">
      <c r="A132" t="s">
        <v>284</v>
      </c>
      <c r="B132" s="5">
        <v>41302</v>
      </c>
      <c r="C132">
        <v>-105</v>
      </c>
      <c r="D132" t="s">
        <v>305</v>
      </c>
      <c r="E132" t="s">
        <v>326</v>
      </c>
      <c r="F132" t="s">
        <v>326</v>
      </c>
      <c r="G132" t="s">
        <v>327</v>
      </c>
      <c r="H132">
        <v>2102</v>
      </c>
    </row>
    <row r="133" spans="1:8" x14ac:dyDescent="0.3">
      <c r="A133" t="s">
        <v>284</v>
      </c>
      <c r="B133" s="5">
        <v>41304</v>
      </c>
      <c r="C133">
        <v>-15</v>
      </c>
      <c r="D133" t="s">
        <v>305</v>
      </c>
      <c r="E133" t="s">
        <v>753</v>
      </c>
      <c r="F133" t="s">
        <v>754</v>
      </c>
      <c r="G133" t="s">
        <v>609</v>
      </c>
      <c r="H133">
        <v>2267</v>
      </c>
    </row>
    <row r="134" spans="1:8" x14ac:dyDescent="0.3">
      <c r="A134" t="s">
        <v>284</v>
      </c>
      <c r="B134" s="5">
        <v>41305</v>
      </c>
      <c r="C134" s="4">
        <v>6057.87</v>
      </c>
      <c r="D134" t="s">
        <v>305</v>
      </c>
      <c r="E134" t="s">
        <v>755</v>
      </c>
      <c r="F134" t="s">
        <v>756</v>
      </c>
      <c r="G134" t="s">
        <v>12</v>
      </c>
    </row>
    <row r="135" spans="1:8" x14ac:dyDescent="0.3">
      <c r="A135" t="s">
        <v>284</v>
      </c>
      <c r="B135" s="5">
        <v>41305</v>
      </c>
      <c r="C135" s="4">
        <v>2973.9</v>
      </c>
      <c r="D135" t="s">
        <v>305</v>
      </c>
      <c r="E135" t="s">
        <v>738</v>
      </c>
      <c r="F135" t="s">
        <v>757</v>
      </c>
      <c r="G135" t="s">
        <v>12</v>
      </c>
    </row>
    <row r="136" spans="1:8" x14ac:dyDescent="0.3">
      <c r="A136" t="s">
        <v>284</v>
      </c>
      <c r="B136" s="5">
        <v>41306</v>
      </c>
      <c r="C136" s="4">
        <v>-2147</v>
      </c>
      <c r="D136" t="s">
        <v>305</v>
      </c>
      <c r="E136" t="s">
        <v>315</v>
      </c>
      <c r="F136" t="s">
        <v>316</v>
      </c>
      <c r="G136" t="s">
        <v>317</v>
      </c>
    </row>
    <row r="137" spans="1:8" x14ac:dyDescent="0.3">
      <c r="A137" t="s">
        <v>284</v>
      </c>
      <c r="B137" s="5">
        <v>41309</v>
      </c>
      <c r="C137" s="4">
        <v>5000</v>
      </c>
      <c r="D137" t="s">
        <v>305</v>
      </c>
      <c r="E137" t="s">
        <v>758</v>
      </c>
      <c r="F137" t="s">
        <v>759</v>
      </c>
      <c r="G137" t="s">
        <v>14</v>
      </c>
    </row>
    <row r="138" spans="1:8" x14ac:dyDescent="0.3">
      <c r="A138" t="s">
        <v>284</v>
      </c>
      <c r="B138" s="5">
        <v>41309</v>
      </c>
      <c r="C138" s="4">
        <v>-2048.5100000000002</v>
      </c>
      <c r="D138" t="s">
        <v>305</v>
      </c>
      <c r="E138" t="s">
        <v>319</v>
      </c>
      <c r="F138" t="s">
        <v>743</v>
      </c>
      <c r="G138" t="s">
        <v>318</v>
      </c>
    </row>
    <row r="139" spans="1:8" x14ac:dyDescent="0.3">
      <c r="A139" t="s">
        <v>284</v>
      </c>
      <c r="B139" s="5">
        <v>41309</v>
      </c>
      <c r="C139" s="4">
        <v>-3513.25</v>
      </c>
      <c r="D139" t="s">
        <v>305</v>
      </c>
      <c r="E139" t="s">
        <v>319</v>
      </c>
      <c r="F139" t="s">
        <v>744</v>
      </c>
      <c r="G139" t="s">
        <v>318</v>
      </c>
    </row>
    <row r="140" spans="1:8" x14ac:dyDescent="0.3">
      <c r="A140" t="s">
        <v>284</v>
      </c>
      <c r="B140" s="5">
        <v>41309</v>
      </c>
      <c r="C140" s="4">
        <v>-3741.01</v>
      </c>
      <c r="D140" t="s">
        <v>305</v>
      </c>
      <c r="E140" t="s">
        <v>319</v>
      </c>
      <c r="F140" t="s">
        <v>320</v>
      </c>
      <c r="G140" t="s">
        <v>321</v>
      </c>
    </row>
    <row r="141" spans="1:8" x14ac:dyDescent="0.3">
      <c r="A141" t="s">
        <v>284</v>
      </c>
      <c r="B141" s="5">
        <v>41309</v>
      </c>
      <c r="C141" s="4">
        <v>-9450.8799999999992</v>
      </c>
      <c r="D141" t="s">
        <v>305</v>
      </c>
      <c r="E141" t="s">
        <v>322</v>
      </c>
      <c r="F141" t="s">
        <v>607</v>
      </c>
      <c r="G141" t="s">
        <v>13</v>
      </c>
    </row>
    <row r="142" spans="1:8" x14ac:dyDescent="0.3">
      <c r="A142" t="s">
        <v>284</v>
      </c>
      <c r="B142" s="5">
        <v>41311</v>
      </c>
      <c r="C142">
        <v>-105</v>
      </c>
      <c r="D142" t="s">
        <v>305</v>
      </c>
      <c r="E142" t="s">
        <v>326</v>
      </c>
      <c r="F142" t="s">
        <v>335</v>
      </c>
      <c r="G142" t="s">
        <v>327</v>
      </c>
      <c r="H142">
        <v>2103</v>
      </c>
    </row>
    <row r="143" spans="1:8" x14ac:dyDescent="0.3">
      <c r="A143" t="s">
        <v>284</v>
      </c>
      <c r="B143" s="5">
        <v>41312</v>
      </c>
      <c r="C143">
        <v>-100</v>
      </c>
      <c r="D143" t="s">
        <v>305</v>
      </c>
      <c r="E143" t="s">
        <v>332</v>
      </c>
      <c r="F143" t="s">
        <v>333</v>
      </c>
      <c r="G143" t="s">
        <v>334</v>
      </c>
    </row>
    <row r="144" spans="1:8" x14ac:dyDescent="0.3">
      <c r="A144" t="s">
        <v>284</v>
      </c>
      <c r="B144" s="5">
        <v>41317</v>
      </c>
      <c r="C144">
        <v>-65</v>
      </c>
      <c r="D144" t="s">
        <v>305</v>
      </c>
      <c r="E144" t="s">
        <v>608</v>
      </c>
      <c r="F144" t="s">
        <v>335</v>
      </c>
      <c r="G144" t="s">
        <v>323</v>
      </c>
      <c r="H144">
        <v>2104</v>
      </c>
    </row>
    <row r="145" spans="1:9" x14ac:dyDescent="0.3">
      <c r="A145" t="s">
        <v>284</v>
      </c>
      <c r="B145" s="5">
        <v>41318</v>
      </c>
      <c r="C145">
        <v>44</v>
      </c>
      <c r="D145" t="s">
        <v>305</v>
      </c>
      <c r="E145" t="s">
        <v>760</v>
      </c>
      <c r="F145" t="s">
        <v>761</v>
      </c>
      <c r="G145" t="s">
        <v>17</v>
      </c>
      <c r="I145" t="s">
        <v>272</v>
      </c>
    </row>
    <row r="146" spans="1:9" x14ac:dyDescent="0.3">
      <c r="A146" t="s">
        <v>284</v>
      </c>
      <c r="B146" s="5">
        <v>41318</v>
      </c>
      <c r="C146">
        <v>88</v>
      </c>
      <c r="D146" t="s">
        <v>305</v>
      </c>
      <c r="E146" t="s">
        <v>760</v>
      </c>
      <c r="F146" t="s">
        <v>762</v>
      </c>
      <c r="G146" t="s">
        <v>17</v>
      </c>
      <c r="I146" t="s">
        <v>272</v>
      </c>
    </row>
    <row r="147" spans="1:9" x14ac:dyDescent="0.3">
      <c r="A147" t="s">
        <v>284</v>
      </c>
      <c r="B147" s="5">
        <v>41318</v>
      </c>
      <c r="C147" s="4">
        <v>1895</v>
      </c>
      <c r="D147" t="s">
        <v>305</v>
      </c>
      <c r="E147" t="s">
        <v>760</v>
      </c>
      <c r="F147" t="s">
        <v>610</v>
      </c>
      <c r="G147" t="s">
        <v>306</v>
      </c>
      <c r="I147" t="s">
        <v>272</v>
      </c>
    </row>
    <row r="148" spans="1:9" x14ac:dyDescent="0.3">
      <c r="A148" t="s">
        <v>284</v>
      </c>
      <c r="B148" s="5">
        <v>41318</v>
      </c>
      <c r="C148">
        <v>-168.44</v>
      </c>
      <c r="D148" t="s">
        <v>305</v>
      </c>
      <c r="E148" t="s">
        <v>325</v>
      </c>
      <c r="F148" t="s">
        <v>763</v>
      </c>
      <c r="G148" t="s">
        <v>314</v>
      </c>
    </row>
    <row r="149" spans="1:9" x14ac:dyDescent="0.3">
      <c r="A149" t="s">
        <v>284</v>
      </c>
      <c r="B149" s="5">
        <v>41320</v>
      </c>
      <c r="C149" s="4">
        <v>3040.35</v>
      </c>
      <c r="D149" t="s">
        <v>305</v>
      </c>
      <c r="E149" t="s">
        <v>738</v>
      </c>
      <c r="F149" t="s">
        <v>313</v>
      </c>
      <c r="G149" t="s">
        <v>12</v>
      </c>
    </row>
    <row r="150" spans="1:9" x14ac:dyDescent="0.3">
      <c r="A150" t="s">
        <v>284</v>
      </c>
      <c r="B150" s="5">
        <v>41324</v>
      </c>
      <c r="C150">
        <v>-140.69</v>
      </c>
      <c r="D150" t="s">
        <v>305</v>
      </c>
      <c r="E150" t="s">
        <v>336</v>
      </c>
      <c r="F150" t="s">
        <v>611</v>
      </c>
      <c r="G150" t="s">
        <v>337</v>
      </c>
      <c r="H150">
        <v>2105</v>
      </c>
    </row>
    <row r="151" spans="1:9" x14ac:dyDescent="0.3">
      <c r="A151" t="s">
        <v>284</v>
      </c>
      <c r="B151" s="5">
        <v>41325</v>
      </c>
      <c r="C151">
        <v>-90</v>
      </c>
      <c r="D151" t="s">
        <v>305</v>
      </c>
      <c r="E151" t="s">
        <v>764</v>
      </c>
      <c r="F151" t="s">
        <v>338</v>
      </c>
      <c r="G151" t="s">
        <v>18</v>
      </c>
    </row>
    <row r="152" spans="1:9" x14ac:dyDescent="0.3">
      <c r="A152" t="s">
        <v>284</v>
      </c>
      <c r="B152" s="5">
        <v>41325</v>
      </c>
      <c r="C152" s="4">
        <v>-20000</v>
      </c>
      <c r="D152" t="s">
        <v>305</v>
      </c>
      <c r="E152" t="s">
        <v>339</v>
      </c>
      <c r="F152" t="s">
        <v>340</v>
      </c>
      <c r="G152" t="s">
        <v>341</v>
      </c>
    </row>
    <row r="153" spans="1:9" x14ac:dyDescent="0.3">
      <c r="A153" t="s">
        <v>284</v>
      </c>
      <c r="B153" s="5">
        <v>41327</v>
      </c>
      <c r="C153">
        <v>164.24</v>
      </c>
      <c r="D153" t="s">
        <v>305</v>
      </c>
      <c r="E153" t="s">
        <v>765</v>
      </c>
      <c r="F153" t="s">
        <v>766</v>
      </c>
      <c r="G153" t="s">
        <v>342</v>
      </c>
    </row>
    <row r="154" spans="1:9" x14ac:dyDescent="0.3">
      <c r="A154" t="s">
        <v>284</v>
      </c>
      <c r="B154" s="5">
        <v>41327</v>
      </c>
      <c r="C154">
        <v>-27.92</v>
      </c>
      <c r="D154" t="s">
        <v>305</v>
      </c>
      <c r="E154" t="s">
        <v>328</v>
      </c>
      <c r="F154" t="s">
        <v>329</v>
      </c>
      <c r="G154" t="s">
        <v>330</v>
      </c>
    </row>
    <row r="155" spans="1:9" x14ac:dyDescent="0.3">
      <c r="A155" t="s">
        <v>284</v>
      </c>
      <c r="B155" s="5">
        <v>41330</v>
      </c>
      <c r="C155">
        <v>-105</v>
      </c>
      <c r="D155" t="s">
        <v>305</v>
      </c>
      <c r="E155" t="s">
        <v>326</v>
      </c>
      <c r="F155" t="s">
        <v>335</v>
      </c>
      <c r="G155" t="s">
        <v>327</v>
      </c>
      <c r="H155">
        <v>2281</v>
      </c>
    </row>
    <row r="156" spans="1:9" x14ac:dyDescent="0.3">
      <c r="A156" t="s">
        <v>284</v>
      </c>
      <c r="B156" s="5">
        <v>41333</v>
      </c>
      <c r="C156" s="4">
        <v>6057.86</v>
      </c>
      <c r="D156" t="s">
        <v>305</v>
      </c>
      <c r="E156" t="s">
        <v>755</v>
      </c>
      <c r="F156" t="s">
        <v>767</v>
      </c>
      <c r="G156" t="s">
        <v>12</v>
      </c>
    </row>
    <row r="157" spans="1:9" x14ac:dyDescent="0.3">
      <c r="A157" t="s">
        <v>284</v>
      </c>
      <c r="B157" s="5">
        <v>41333</v>
      </c>
      <c r="C157" s="4">
        <v>2905.18</v>
      </c>
      <c r="D157" t="s">
        <v>305</v>
      </c>
      <c r="E157" t="s">
        <v>738</v>
      </c>
      <c r="F157" t="s">
        <v>313</v>
      </c>
      <c r="G157" t="s">
        <v>12</v>
      </c>
    </row>
    <row r="158" spans="1:9" x14ac:dyDescent="0.3">
      <c r="A158" t="s">
        <v>284</v>
      </c>
      <c r="B158" s="5">
        <v>41333</v>
      </c>
      <c r="C158">
        <v>-236.16</v>
      </c>
      <c r="D158" t="s">
        <v>305</v>
      </c>
      <c r="E158" t="s">
        <v>603</v>
      </c>
      <c r="F158" t="s">
        <v>768</v>
      </c>
      <c r="G158" t="s">
        <v>314</v>
      </c>
    </row>
    <row r="159" spans="1:9" x14ac:dyDescent="0.3">
      <c r="A159" t="s">
        <v>284</v>
      </c>
      <c r="B159" s="5">
        <v>41334</v>
      </c>
      <c r="C159">
        <v>-100</v>
      </c>
      <c r="D159" t="s">
        <v>305</v>
      </c>
      <c r="E159" t="s">
        <v>315</v>
      </c>
      <c r="F159" t="s">
        <v>316</v>
      </c>
      <c r="G159" t="s">
        <v>317</v>
      </c>
    </row>
    <row r="160" spans="1:9" x14ac:dyDescent="0.3">
      <c r="A160" t="s">
        <v>284</v>
      </c>
      <c r="B160" s="5">
        <v>41334</v>
      </c>
      <c r="C160" s="4">
        <v>-2147</v>
      </c>
      <c r="D160" t="s">
        <v>305</v>
      </c>
      <c r="E160" t="s">
        <v>315</v>
      </c>
      <c r="F160" t="s">
        <v>316</v>
      </c>
      <c r="G160" t="s">
        <v>317</v>
      </c>
    </row>
    <row r="161" spans="1:8" x14ac:dyDescent="0.3">
      <c r="A161" t="s">
        <v>284</v>
      </c>
      <c r="B161" s="5">
        <v>41334</v>
      </c>
      <c r="C161" s="4">
        <v>-6246.3</v>
      </c>
      <c r="D161" t="s">
        <v>305</v>
      </c>
      <c r="E161" t="s">
        <v>322</v>
      </c>
      <c r="F161" t="s">
        <v>607</v>
      </c>
      <c r="G161" t="s">
        <v>13</v>
      </c>
    </row>
    <row r="162" spans="1:8" x14ac:dyDescent="0.3">
      <c r="A162" t="s">
        <v>284</v>
      </c>
      <c r="B162" s="5">
        <v>41337</v>
      </c>
      <c r="C162" s="4">
        <v>-2048.5100000000002</v>
      </c>
      <c r="D162" t="s">
        <v>305</v>
      </c>
      <c r="E162" t="s">
        <v>319</v>
      </c>
      <c r="F162" t="s">
        <v>743</v>
      </c>
      <c r="G162" t="s">
        <v>318</v>
      </c>
    </row>
    <row r="163" spans="1:8" x14ac:dyDescent="0.3">
      <c r="A163" t="s">
        <v>284</v>
      </c>
      <c r="B163" s="5">
        <v>41337</v>
      </c>
      <c r="C163" s="4">
        <v>-3513.25</v>
      </c>
      <c r="D163" t="s">
        <v>305</v>
      </c>
      <c r="E163" t="s">
        <v>319</v>
      </c>
      <c r="F163" t="s">
        <v>744</v>
      </c>
      <c r="G163" t="s">
        <v>318</v>
      </c>
    </row>
    <row r="164" spans="1:8" x14ac:dyDescent="0.3">
      <c r="A164" t="s">
        <v>284</v>
      </c>
      <c r="B164" s="5">
        <v>41339</v>
      </c>
      <c r="C164">
        <v>-105</v>
      </c>
      <c r="D164" t="s">
        <v>305</v>
      </c>
      <c r="E164" t="s">
        <v>326</v>
      </c>
      <c r="F164" t="s">
        <v>335</v>
      </c>
      <c r="G164" t="s">
        <v>327</v>
      </c>
      <c r="H164">
        <v>2107</v>
      </c>
    </row>
    <row r="165" spans="1:8" x14ac:dyDescent="0.3">
      <c r="A165" t="s">
        <v>284</v>
      </c>
      <c r="B165" s="5">
        <v>41345</v>
      </c>
      <c r="C165">
        <v>-108.39</v>
      </c>
      <c r="D165" t="s">
        <v>305</v>
      </c>
      <c r="E165" t="s">
        <v>336</v>
      </c>
      <c r="F165" t="s">
        <v>611</v>
      </c>
      <c r="G165" t="s">
        <v>337</v>
      </c>
      <c r="H165">
        <v>2106</v>
      </c>
    </row>
    <row r="166" spans="1:8" x14ac:dyDescent="0.3">
      <c r="A166" t="s">
        <v>284</v>
      </c>
      <c r="B166" s="5">
        <v>41346</v>
      </c>
      <c r="C166" s="4">
        <v>1281.04</v>
      </c>
      <c r="D166" t="s">
        <v>305</v>
      </c>
      <c r="E166" t="s">
        <v>760</v>
      </c>
      <c r="F166" t="s">
        <v>769</v>
      </c>
      <c r="G166" t="s">
        <v>14</v>
      </c>
    </row>
    <row r="167" spans="1:8" x14ac:dyDescent="0.3">
      <c r="A167" t="s">
        <v>284</v>
      </c>
      <c r="B167" s="5">
        <v>41347</v>
      </c>
      <c r="C167">
        <v>-30</v>
      </c>
      <c r="D167" t="s">
        <v>305</v>
      </c>
      <c r="E167" t="s">
        <v>332</v>
      </c>
      <c r="F167" t="s">
        <v>333</v>
      </c>
      <c r="G167" t="s">
        <v>334</v>
      </c>
    </row>
    <row r="168" spans="1:8" x14ac:dyDescent="0.3">
      <c r="A168" t="s">
        <v>284</v>
      </c>
      <c r="B168" s="5">
        <v>41348</v>
      </c>
      <c r="C168" s="4">
        <v>2967.87</v>
      </c>
      <c r="D168" t="s">
        <v>305</v>
      </c>
      <c r="E168" t="s">
        <v>738</v>
      </c>
      <c r="F168" t="s">
        <v>313</v>
      </c>
      <c r="G168" t="s">
        <v>12</v>
      </c>
    </row>
    <row r="169" spans="1:8" x14ac:dyDescent="0.3">
      <c r="A169" t="s">
        <v>284</v>
      </c>
      <c r="B169" s="5">
        <v>41348</v>
      </c>
      <c r="C169">
        <v>-122.04</v>
      </c>
      <c r="D169" t="s">
        <v>305</v>
      </c>
      <c r="E169" t="s">
        <v>325</v>
      </c>
      <c r="F169" t="s">
        <v>763</v>
      </c>
      <c r="G169" t="s">
        <v>314</v>
      </c>
    </row>
    <row r="170" spans="1:8" x14ac:dyDescent="0.3">
      <c r="A170" t="s">
        <v>284</v>
      </c>
      <c r="B170" s="5">
        <v>41348</v>
      </c>
      <c r="C170">
        <v>-32</v>
      </c>
      <c r="D170" t="s">
        <v>305</v>
      </c>
      <c r="E170" t="s">
        <v>770</v>
      </c>
      <c r="F170" t="s">
        <v>771</v>
      </c>
      <c r="G170" t="s">
        <v>343</v>
      </c>
      <c r="H170">
        <v>2108</v>
      </c>
    </row>
    <row r="171" spans="1:8" x14ac:dyDescent="0.3">
      <c r="A171" t="s">
        <v>284</v>
      </c>
      <c r="B171" s="5">
        <v>41353</v>
      </c>
      <c r="C171">
        <v>-105</v>
      </c>
      <c r="D171" t="s">
        <v>305</v>
      </c>
      <c r="E171" t="s">
        <v>326</v>
      </c>
      <c r="F171" t="s">
        <v>335</v>
      </c>
      <c r="G171" t="s">
        <v>327</v>
      </c>
      <c r="H171">
        <v>2110</v>
      </c>
    </row>
    <row r="172" spans="1:8" x14ac:dyDescent="0.3">
      <c r="A172" t="s">
        <v>284</v>
      </c>
      <c r="B172" s="5">
        <v>41354</v>
      </c>
      <c r="C172">
        <v>-53</v>
      </c>
      <c r="D172" t="s">
        <v>305</v>
      </c>
      <c r="E172" t="s">
        <v>608</v>
      </c>
      <c r="F172" t="s">
        <v>335</v>
      </c>
      <c r="G172" t="s">
        <v>323</v>
      </c>
      <c r="H172">
        <v>2109</v>
      </c>
    </row>
    <row r="173" spans="1:8" x14ac:dyDescent="0.3">
      <c r="A173" t="s">
        <v>284</v>
      </c>
      <c r="B173" s="5">
        <v>41355</v>
      </c>
      <c r="C173">
        <v>-27.92</v>
      </c>
      <c r="D173" t="s">
        <v>305</v>
      </c>
      <c r="E173" t="s">
        <v>328</v>
      </c>
      <c r="F173" t="s">
        <v>329</v>
      </c>
      <c r="G173" t="s">
        <v>330</v>
      </c>
    </row>
    <row r="174" spans="1:8" x14ac:dyDescent="0.3">
      <c r="A174" t="s">
        <v>284</v>
      </c>
      <c r="B174" s="5">
        <v>41355</v>
      </c>
      <c r="C174">
        <v>-40</v>
      </c>
      <c r="D174" t="s">
        <v>305</v>
      </c>
      <c r="E174" t="s">
        <v>772</v>
      </c>
      <c r="F174" t="s">
        <v>773</v>
      </c>
      <c r="G174" t="s">
        <v>612</v>
      </c>
    </row>
    <row r="175" spans="1:8" x14ac:dyDescent="0.3">
      <c r="A175" t="s">
        <v>284</v>
      </c>
      <c r="B175" s="5">
        <v>41362</v>
      </c>
      <c r="C175" s="4">
        <v>6057.87</v>
      </c>
      <c r="D175" t="s">
        <v>305</v>
      </c>
      <c r="E175" t="s">
        <v>755</v>
      </c>
      <c r="F175" t="s">
        <v>767</v>
      </c>
      <c r="G175" t="s">
        <v>12</v>
      </c>
    </row>
    <row r="176" spans="1:8" x14ac:dyDescent="0.3">
      <c r="A176" t="s">
        <v>284</v>
      </c>
      <c r="B176" s="5">
        <v>41362</v>
      </c>
      <c r="C176" s="4">
        <v>3040.34</v>
      </c>
      <c r="D176" t="s">
        <v>305</v>
      </c>
      <c r="E176" t="s">
        <v>738</v>
      </c>
      <c r="F176" t="s">
        <v>774</v>
      </c>
      <c r="G176" t="s">
        <v>12</v>
      </c>
    </row>
    <row r="177" spans="1:9" x14ac:dyDescent="0.3">
      <c r="A177" t="s">
        <v>284</v>
      </c>
      <c r="B177" s="5">
        <v>41365</v>
      </c>
      <c r="C177" s="4">
        <v>-2147</v>
      </c>
      <c r="D177" t="s">
        <v>305</v>
      </c>
      <c r="E177" t="s">
        <v>315</v>
      </c>
      <c r="F177" t="s">
        <v>316</v>
      </c>
      <c r="G177" t="s">
        <v>317</v>
      </c>
    </row>
    <row r="178" spans="1:9" x14ac:dyDescent="0.3">
      <c r="A178" t="s">
        <v>284</v>
      </c>
      <c r="B178" s="5">
        <v>41365</v>
      </c>
      <c r="C178" s="4">
        <v>-1882.01</v>
      </c>
      <c r="D178" t="s">
        <v>305</v>
      </c>
      <c r="E178" t="s">
        <v>322</v>
      </c>
      <c r="F178" t="s">
        <v>607</v>
      </c>
      <c r="G178" t="s">
        <v>13</v>
      </c>
    </row>
    <row r="179" spans="1:9" x14ac:dyDescent="0.3">
      <c r="A179" t="s">
        <v>284</v>
      </c>
      <c r="B179" s="5">
        <v>41366</v>
      </c>
      <c r="C179">
        <v>0.25</v>
      </c>
      <c r="D179" t="s">
        <v>305</v>
      </c>
      <c r="E179" t="s">
        <v>775</v>
      </c>
      <c r="F179" t="s">
        <v>776</v>
      </c>
      <c r="G179" t="s">
        <v>14</v>
      </c>
    </row>
    <row r="180" spans="1:9" x14ac:dyDescent="0.3">
      <c r="A180" t="s">
        <v>284</v>
      </c>
      <c r="B180" s="5">
        <v>41366</v>
      </c>
      <c r="C180">
        <v>0.22</v>
      </c>
      <c r="D180" t="s">
        <v>305</v>
      </c>
      <c r="E180" t="s">
        <v>775</v>
      </c>
      <c r="F180" t="s">
        <v>776</v>
      </c>
      <c r="G180" t="s">
        <v>14</v>
      </c>
    </row>
    <row r="181" spans="1:9" x14ac:dyDescent="0.3">
      <c r="A181" t="s">
        <v>284</v>
      </c>
      <c r="B181" s="5">
        <v>41366</v>
      </c>
      <c r="C181">
        <v>34.01</v>
      </c>
      <c r="D181" t="s">
        <v>305</v>
      </c>
      <c r="E181" t="s">
        <v>319</v>
      </c>
      <c r="F181" t="s">
        <v>777</v>
      </c>
      <c r="G181" t="s">
        <v>14</v>
      </c>
    </row>
    <row r="182" spans="1:9" x14ac:dyDescent="0.3">
      <c r="A182" t="s">
        <v>284</v>
      </c>
      <c r="B182" s="5">
        <v>41366</v>
      </c>
      <c r="C182">
        <v>-83.96</v>
      </c>
      <c r="D182" t="s">
        <v>305</v>
      </c>
      <c r="E182" t="s">
        <v>324</v>
      </c>
      <c r="F182" t="s">
        <v>344</v>
      </c>
      <c r="G182" t="s">
        <v>314</v>
      </c>
    </row>
    <row r="183" spans="1:9" x14ac:dyDescent="0.3">
      <c r="A183" t="s">
        <v>284</v>
      </c>
      <c r="B183" s="5">
        <v>41366</v>
      </c>
      <c r="C183" s="4">
        <v>-2048.5100000000002</v>
      </c>
      <c r="D183" t="s">
        <v>305</v>
      </c>
      <c r="E183" t="s">
        <v>319</v>
      </c>
      <c r="F183" t="s">
        <v>743</v>
      </c>
      <c r="G183" t="s">
        <v>318</v>
      </c>
    </row>
    <row r="184" spans="1:9" x14ac:dyDescent="0.3">
      <c r="A184" t="s">
        <v>284</v>
      </c>
      <c r="B184" s="5">
        <v>41366</v>
      </c>
      <c r="C184" s="4">
        <v>-3513.25</v>
      </c>
      <c r="D184" t="s">
        <v>305</v>
      </c>
      <c r="E184" t="s">
        <v>319</v>
      </c>
      <c r="F184" t="s">
        <v>744</v>
      </c>
      <c r="G184" t="s">
        <v>318</v>
      </c>
    </row>
    <row r="185" spans="1:9" x14ac:dyDescent="0.3">
      <c r="A185" t="s">
        <v>284</v>
      </c>
      <c r="B185" s="5">
        <v>41367</v>
      </c>
      <c r="C185" s="4">
        <v>10000</v>
      </c>
      <c r="D185" t="s">
        <v>305</v>
      </c>
      <c r="E185" t="s">
        <v>303</v>
      </c>
      <c r="F185" t="s">
        <v>778</v>
      </c>
      <c r="G185" t="s">
        <v>19</v>
      </c>
    </row>
    <row r="186" spans="1:9" x14ac:dyDescent="0.3">
      <c r="A186" t="s">
        <v>284</v>
      </c>
      <c r="B186" s="5">
        <v>41367</v>
      </c>
      <c r="C186">
        <v>-500</v>
      </c>
      <c r="D186" t="s">
        <v>305</v>
      </c>
      <c r="E186" t="s">
        <v>779</v>
      </c>
      <c r="F186" t="s">
        <v>780</v>
      </c>
      <c r="G186" t="s">
        <v>781</v>
      </c>
      <c r="H186">
        <v>2111</v>
      </c>
    </row>
    <row r="187" spans="1:9" x14ac:dyDescent="0.3">
      <c r="A187" t="s">
        <v>284</v>
      </c>
      <c r="B187" s="5">
        <v>41367</v>
      </c>
      <c r="C187">
        <v>-400</v>
      </c>
      <c r="D187" t="s">
        <v>305</v>
      </c>
      <c r="E187" t="s">
        <v>782</v>
      </c>
      <c r="F187" t="s">
        <v>783</v>
      </c>
      <c r="G187" t="s">
        <v>613</v>
      </c>
      <c r="H187">
        <v>2112</v>
      </c>
    </row>
    <row r="188" spans="1:9" x14ac:dyDescent="0.3">
      <c r="A188" t="s">
        <v>284</v>
      </c>
      <c r="B188" s="5">
        <v>41368</v>
      </c>
      <c r="C188">
        <v>-105</v>
      </c>
      <c r="D188" t="s">
        <v>305</v>
      </c>
      <c r="E188" t="s">
        <v>326</v>
      </c>
      <c r="F188" t="s">
        <v>335</v>
      </c>
      <c r="G188" t="s">
        <v>327</v>
      </c>
      <c r="H188">
        <v>2113</v>
      </c>
    </row>
    <row r="189" spans="1:9" x14ac:dyDescent="0.3">
      <c r="A189" t="s">
        <v>284</v>
      </c>
      <c r="B189" s="5">
        <v>41369</v>
      </c>
      <c r="C189" s="4">
        <v>-3574.88</v>
      </c>
      <c r="D189" t="s">
        <v>305</v>
      </c>
      <c r="E189" t="s">
        <v>345</v>
      </c>
      <c r="F189" t="s">
        <v>320</v>
      </c>
      <c r="G189" t="s">
        <v>321</v>
      </c>
    </row>
    <row r="190" spans="1:9" x14ac:dyDescent="0.3">
      <c r="A190" t="s">
        <v>284</v>
      </c>
      <c r="B190" s="5">
        <v>41372</v>
      </c>
      <c r="C190">
        <v>-50</v>
      </c>
      <c r="D190" t="s">
        <v>305</v>
      </c>
      <c r="E190" t="s">
        <v>332</v>
      </c>
      <c r="F190" t="s">
        <v>333</v>
      </c>
      <c r="G190" t="s">
        <v>334</v>
      </c>
      <c r="I190" t="s">
        <v>272</v>
      </c>
    </row>
    <row r="191" spans="1:9" x14ac:dyDescent="0.3">
      <c r="A191" t="s">
        <v>284</v>
      </c>
      <c r="B191" s="5">
        <v>41372</v>
      </c>
      <c r="C191">
        <v>-50</v>
      </c>
      <c r="D191" t="s">
        <v>305</v>
      </c>
      <c r="E191" t="s">
        <v>332</v>
      </c>
      <c r="F191" t="s">
        <v>784</v>
      </c>
      <c r="G191" t="s">
        <v>20</v>
      </c>
      <c r="I191" t="s">
        <v>272</v>
      </c>
    </row>
    <row r="192" spans="1:9" x14ac:dyDescent="0.3">
      <c r="A192" t="s">
        <v>284</v>
      </c>
      <c r="B192" s="5">
        <v>41372</v>
      </c>
      <c r="C192">
        <v>-864.18</v>
      </c>
      <c r="D192" t="s">
        <v>305</v>
      </c>
      <c r="E192" t="s">
        <v>782</v>
      </c>
      <c r="F192" t="s">
        <v>783</v>
      </c>
      <c r="G192" t="s">
        <v>613</v>
      </c>
      <c r="H192">
        <v>2115</v>
      </c>
    </row>
    <row r="193" spans="1:9" x14ac:dyDescent="0.3">
      <c r="A193" t="s">
        <v>284</v>
      </c>
      <c r="B193" s="5">
        <v>41374</v>
      </c>
      <c r="C193">
        <v>-62.5</v>
      </c>
      <c r="D193" t="s">
        <v>305</v>
      </c>
      <c r="E193" t="s">
        <v>785</v>
      </c>
      <c r="F193" t="s">
        <v>335</v>
      </c>
      <c r="G193" t="s">
        <v>346</v>
      </c>
      <c r="H193">
        <v>2114</v>
      </c>
    </row>
    <row r="194" spans="1:9" x14ac:dyDescent="0.3">
      <c r="A194" t="s">
        <v>284</v>
      </c>
      <c r="B194" s="5">
        <v>41374</v>
      </c>
      <c r="C194">
        <v>-74.5</v>
      </c>
      <c r="D194" t="s">
        <v>305</v>
      </c>
      <c r="E194" t="s">
        <v>785</v>
      </c>
      <c r="F194" t="s">
        <v>335</v>
      </c>
      <c r="G194" t="s">
        <v>614</v>
      </c>
      <c r="H194">
        <v>2116</v>
      </c>
    </row>
    <row r="195" spans="1:9" x14ac:dyDescent="0.3">
      <c r="A195" t="s">
        <v>284</v>
      </c>
      <c r="B195" s="5">
        <v>41375</v>
      </c>
      <c r="C195" s="4">
        <v>10000</v>
      </c>
      <c r="D195" t="s">
        <v>305</v>
      </c>
      <c r="E195" t="s">
        <v>303</v>
      </c>
      <c r="F195" t="s">
        <v>778</v>
      </c>
      <c r="G195" t="s">
        <v>19</v>
      </c>
    </row>
    <row r="196" spans="1:9" x14ac:dyDescent="0.3">
      <c r="A196" t="s">
        <v>284</v>
      </c>
      <c r="B196" s="5">
        <v>41376</v>
      </c>
      <c r="C196">
        <v>-92.71</v>
      </c>
      <c r="D196" t="s">
        <v>305</v>
      </c>
      <c r="E196" t="s">
        <v>325</v>
      </c>
      <c r="F196" t="s">
        <v>786</v>
      </c>
      <c r="G196" t="s">
        <v>314</v>
      </c>
    </row>
    <row r="197" spans="1:9" x14ac:dyDescent="0.3">
      <c r="A197" t="s">
        <v>284</v>
      </c>
      <c r="B197" s="5">
        <v>41379</v>
      </c>
      <c r="C197" s="4">
        <v>3040.35</v>
      </c>
      <c r="D197" t="s">
        <v>305</v>
      </c>
      <c r="E197" t="s">
        <v>738</v>
      </c>
      <c r="F197" t="s">
        <v>313</v>
      </c>
      <c r="G197" t="s">
        <v>12</v>
      </c>
    </row>
    <row r="198" spans="1:9" x14ac:dyDescent="0.3">
      <c r="A198" t="s">
        <v>284</v>
      </c>
      <c r="B198" s="5">
        <v>41382</v>
      </c>
      <c r="C198">
        <v>-105</v>
      </c>
      <c r="D198" t="s">
        <v>305</v>
      </c>
      <c r="E198" t="s">
        <v>326</v>
      </c>
      <c r="F198" t="s">
        <v>335</v>
      </c>
      <c r="G198" t="s">
        <v>327</v>
      </c>
      <c r="H198">
        <v>2117</v>
      </c>
    </row>
    <row r="199" spans="1:9" x14ac:dyDescent="0.3">
      <c r="A199" t="s">
        <v>284</v>
      </c>
      <c r="B199" s="5">
        <v>41385</v>
      </c>
      <c r="C199">
        <v>602.37</v>
      </c>
      <c r="D199" t="s">
        <v>305</v>
      </c>
      <c r="E199" t="s">
        <v>787</v>
      </c>
      <c r="F199" t="s">
        <v>788</v>
      </c>
      <c r="G199" t="s">
        <v>789</v>
      </c>
    </row>
    <row r="200" spans="1:9" x14ac:dyDescent="0.3">
      <c r="A200" t="s">
        <v>284</v>
      </c>
      <c r="B200" s="5">
        <v>41385</v>
      </c>
      <c r="C200">
        <v>151.05000000000001</v>
      </c>
      <c r="D200" t="s">
        <v>305</v>
      </c>
      <c r="E200" t="s">
        <v>347</v>
      </c>
      <c r="F200" t="s">
        <v>790</v>
      </c>
      <c r="G200" t="s">
        <v>346</v>
      </c>
      <c r="I200" t="s">
        <v>272</v>
      </c>
    </row>
    <row r="201" spans="1:9" x14ac:dyDescent="0.3">
      <c r="A201" t="s">
        <v>284</v>
      </c>
      <c r="B201" s="5">
        <v>41385</v>
      </c>
      <c r="C201">
        <v>27.9</v>
      </c>
      <c r="D201" t="s">
        <v>305</v>
      </c>
      <c r="E201" t="s">
        <v>347</v>
      </c>
      <c r="F201" t="s">
        <v>791</v>
      </c>
      <c r="G201" t="s">
        <v>615</v>
      </c>
      <c r="I201" t="s">
        <v>272</v>
      </c>
    </row>
    <row r="202" spans="1:9" x14ac:dyDescent="0.3">
      <c r="A202" t="s">
        <v>284</v>
      </c>
      <c r="B202" s="5">
        <v>41385</v>
      </c>
      <c r="C202">
        <v>150</v>
      </c>
      <c r="D202" t="s">
        <v>305</v>
      </c>
      <c r="E202" t="s">
        <v>347</v>
      </c>
      <c r="G202" t="s">
        <v>614</v>
      </c>
      <c r="I202" t="s">
        <v>272</v>
      </c>
    </row>
    <row r="203" spans="1:9" x14ac:dyDescent="0.3">
      <c r="A203" t="s">
        <v>284</v>
      </c>
      <c r="B203" s="5">
        <v>41388</v>
      </c>
      <c r="C203">
        <v>-27.92</v>
      </c>
      <c r="D203" t="s">
        <v>305</v>
      </c>
      <c r="E203" t="s">
        <v>328</v>
      </c>
      <c r="G203" t="s">
        <v>330</v>
      </c>
    </row>
    <row r="204" spans="1:9" x14ac:dyDescent="0.3">
      <c r="A204" t="s">
        <v>284</v>
      </c>
      <c r="B204" s="5">
        <v>41389</v>
      </c>
      <c r="C204">
        <v>140.55000000000001</v>
      </c>
      <c r="D204" t="s">
        <v>305</v>
      </c>
      <c r="E204" t="s">
        <v>792</v>
      </c>
      <c r="F204" t="s">
        <v>793</v>
      </c>
      <c r="G204" t="s">
        <v>616</v>
      </c>
    </row>
    <row r="205" spans="1:9" x14ac:dyDescent="0.3">
      <c r="A205" t="s">
        <v>284</v>
      </c>
      <c r="B205" s="5">
        <v>41393</v>
      </c>
      <c r="C205">
        <v>-269.89999999999998</v>
      </c>
      <c r="D205" t="s">
        <v>305</v>
      </c>
      <c r="E205" t="s">
        <v>603</v>
      </c>
      <c r="F205" t="s">
        <v>604</v>
      </c>
      <c r="G205" t="s">
        <v>314</v>
      </c>
    </row>
    <row r="206" spans="1:9" x14ac:dyDescent="0.3">
      <c r="A206" t="s">
        <v>284</v>
      </c>
      <c r="B206" s="5">
        <v>41394</v>
      </c>
      <c r="C206" s="4">
        <v>6057.87</v>
      </c>
      <c r="D206" t="s">
        <v>305</v>
      </c>
      <c r="E206" t="s">
        <v>755</v>
      </c>
      <c r="F206" t="s">
        <v>767</v>
      </c>
      <c r="G206" t="s">
        <v>12</v>
      </c>
    </row>
    <row r="207" spans="1:9" x14ac:dyDescent="0.3">
      <c r="A207" t="s">
        <v>284</v>
      </c>
      <c r="B207" s="5">
        <v>41394</v>
      </c>
      <c r="C207" s="4">
        <v>3040.36</v>
      </c>
      <c r="D207" t="s">
        <v>305</v>
      </c>
      <c r="E207" t="s">
        <v>738</v>
      </c>
      <c r="F207" t="s">
        <v>794</v>
      </c>
      <c r="G207" t="s">
        <v>12</v>
      </c>
    </row>
    <row r="208" spans="1:9" x14ac:dyDescent="0.3">
      <c r="A208" t="s">
        <v>284</v>
      </c>
      <c r="B208" s="5">
        <v>41395</v>
      </c>
      <c r="C208" s="4">
        <v>-2147</v>
      </c>
      <c r="D208" t="s">
        <v>305</v>
      </c>
      <c r="E208" t="s">
        <v>315</v>
      </c>
      <c r="F208" t="s">
        <v>316</v>
      </c>
      <c r="G208" t="s">
        <v>317</v>
      </c>
    </row>
    <row r="209" spans="1:8" x14ac:dyDescent="0.3">
      <c r="A209" t="s">
        <v>284</v>
      </c>
      <c r="B209" s="5">
        <v>41395</v>
      </c>
      <c r="C209" s="4">
        <v>-4012.25</v>
      </c>
      <c r="D209" t="s">
        <v>305</v>
      </c>
      <c r="E209" t="s">
        <v>322</v>
      </c>
      <c r="F209" t="s">
        <v>607</v>
      </c>
      <c r="G209" t="s">
        <v>13</v>
      </c>
    </row>
    <row r="210" spans="1:8" x14ac:dyDescent="0.3">
      <c r="A210" t="s">
        <v>284</v>
      </c>
      <c r="B210" s="5">
        <v>41396</v>
      </c>
      <c r="C210" s="4">
        <v>-2048.5100000000002</v>
      </c>
      <c r="D210" t="s">
        <v>305</v>
      </c>
      <c r="E210" t="s">
        <v>319</v>
      </c>
      <c r="F210" t="s">
        <v>743</v>
      </c>
      <c r="G210" t="s">
        <v>318</v>
      </c>
    </row>
    <row r="211" spans="1:8" x14ac:dyDescent="0.3">
      <c r="A211" t="s">
        <v>284</v>
      </c>
      <c r="B211" s="5">
        <v>41396</v>
      </c>
      <c r="C211" s="4">
        <v>-3513.25</v>
      </c>
      <c r="D211" t="s">
        <v>305</v>
      </c>
      <c r="E211" t="s">
        <v>319</v>
      </c>
      <c r="F211" t="s">
        <v>744</v>
      </c>
      <c r="G211" t="s">
        <v>318</v>
      </c>
    </row>
    <row r="212" spans="1:8" x14ac:dyDescent="0.3">
      <c r="A212" t="s">
        <v>284</v>
      </c>
      <c r="B212" s="5">
        <v>41398</v>
      </c>
      <c r="C212">
        <v>411.3</v>
      </c>
      <c r="D212" t="s">
        <v>305</v>
      </c>
      <c r="E212" t="s">
        <v>291</v>
      </c>
      <c r="F212" t="s">
        <v>795</v>
      </c>
      <c r="G212" t="s">
        <v>15</v>
      </c>
    </row>
    <row r="213" spans="1:8" x14ac:dyDescent="0.3">
      <c r="A213" t="s">
        <v>284</v>
      </c>
      <c r="B213" s="5">
        <v>41401</v>
      </c>
      <c r="C213" s="4">
        <v>-3574.88</v>
      </c>
      <c r="D213" t="s">
        <v>305</v>
      </c>
      <c r="E213" t="s">
        <v>345</v>
      </c>
      <c r="F213" t="s">
        <v>320</v>
      </c>
      <c r="G213" t="s">
        <v>321</v>
      </c>
    </row>
    <row r="214" spans="1:8" x14ac:dyDescent="0.3">
      <c r="A214" t="s">
        <v>284</v>
      </c>
      <c r="B214" s="5">
        <v>41401</v>
      </c>
      <c r="C214">
        <v>-90</v>
      </c>
      <c r="D214" t="s">
        <v>305</v>
      </c>
      <c r="E214" t="s">
        <v>608</v>
      </c>
      <c r="F214" t="s">
        <v>335</v>
      </c>
      <c r="G214" t="s">
        <v>323</v>
      </c>
      <c r="H214">
        <v>2119</v>
      </c>
    </row>
    <row r="215" spans="1:8" x14ac:dyDescent="0.3">
      <c r="A215" t="s">
        <v>284</v>
      </c>
      <c r="B215" s="5">
        <v>41402</v>
      </c>
      <c r="C215">
        <v>-20</v>
      </c>
      <c r="D215" t="s">
        <v>305</v>
      </c>
      <c r="E215" t="s">
        <v>332</v>
      </c>
      <c r="F215" t="s">
        <v>333</v>
      </c>
      <c r="G215" t="s">
        <v>334</v>
      </c>
    </row>
    <row r="216" spans="1:8" x14ac:dyDescent="0.3">
      <c r="A216" t="s">
        <v>284</v>
      </c>
      <c r="B216" s="5">
        <v>41402</v>
      </c>
      <c r="C216" s="4">
        <v>-2114</v>
      </c>
      <c r="D216" t="s">
        <v>305</v>
      </c>
      <c r="E216" t="s">
        <v>796</v>
      </c>
      <c r="F216" t="s">
        <v>797</v>
      </c>
      <c r="G216" t="s">
        <v>348</v>
      </c>
      <c r="H216">
        <v>2118</v>
      </c>
    </row>
    <row r="217" spans="1:8" x14ac:dyDescent="0.3">
      <c r="A217" t="s">
        <v>284</v>
      </c>
      <c r="B217" s="5">
        <v>41407</v>
      </c>
      <c r="C217" s="4">
        <v>1091.67</v>
      </c>
      <c r="D217" t="s">
        <v>305</v>
      </c>
      <c r="E217" t="s">
        <v>798</v>
      </c>
      <c r="F217" t="s">
        <v>799</v>
      </c>
      <c r="G217" t="s">
        <v>616</v>
      </c>
    </row>
    <row r="218" spans="1:8" x14ac:dyDescent="0.3">
      <c r="A218" t="s">
        <v>284</v>
      </c>
      <c r="B218" s="5">
        <v>41407</v>
      </c>
      <c r="C218">
        <v>-90.12</v>
      </c>
      <c r="D218" t="s">
        <v>305</v>
      </c>
      <c r="E218" t="s">
        <v>325</v>
      </c>
      <c r="F218" t="s">
        <v>800</v>
      </c>
      <c r="G218" t="s">
        <v>314</v>
      </c>
    </row>
    <row r="219" spans="1:8" x14ac:dyDescent="0.3">
      <c r="A219" t="s">
        <v>284</v>
      </c>
      <c r="B219" s="5">
        <v>41408</v>
      </c>
      <c r="C219" s="4">
        <v>-47859.4</v>
      </c>
      <c r="D219" t="s">
        <v>305</v>
      </c>
      <c r="E219" t="s">
        <v>801</v>
      </c>
      <c r="F219" t="s">
        <v>802</v>
      </c>
      <c r="G219" t="s">
        <v>7</v>
      </c>
    </row>
    <row r="220" spans="1:8" x14ac:dyDescent="0.3">
      <c r="A220" t="s">
        <v>284</v>
      </c>
      <c r="B220" s="5">
        <v>41409</v>
      </c>
      <c r="C220" s="4">
        <v>3040.35</v>
      </c>
      <c r="D220" t="s">
        <v>305</v>
      </c>
      <c r="E220" t="s">
        <v>738</v>
      </c>
      <c r="F220" t="s">
        <v>313</v>
      </c>
      <c r="G220" t="s">
        <v>12</v>
      </c>
    </row>
    <row r="221" spans="1:8" x14ac:dyDescent="0.3">
      <c r="A221" t="s">
        <v>284</v>
      </c>
      <c r="B221" s="5">
        <v>41409</v>
      </c>
      <c r="C221">
        <v>-74.540000000000006</v>
      </c>
      <c r="D221" t="s">
        <v>305</v>
      </c>
      <c r="E221" t="s">
        <v>324</v>
      </c>
      <c r="F221" t="s">
        <v>344</v>
      </c>
      <c r="G221" t="s">
        <v>314</v>
      </c>
    </row>
    <row r="222" spans="1:8" x14ac:dyDescent="0.3">
      <c r="A222" t="s">
        <v>284</v>
      </c>
      <c r="B222" s="5">
        <v>41410</v>
      </c>
      <c r="C222">
        <v>-17.149999999999999</v>
      </c>
      <c r="D222" t="s">
        <v>305</v>
      </c>
      <c r="E222" t="s">
        <v>349</v>
      </c>
      <c r="F222" t="s">
        <v>350</v>
      </c>
      <c r="G222" t="s">
        <v>21</v>
      </c>
    </row>
    <row r="223" spans="1:8" x14ac:dyDescent="0.3">
      <c r="A223" t="s">
        <v>284</v>
      </c>
      <c r="B223" s="5">
        <v>41410</v>
      </c>
      <c r="C223" s="4">
        <v>-1819.64</v>
      </c>
      <c r="D223" t="s">
        <v>305</v>
      </c>
      <c r="E223" t="s">
        <v>803</v>
      </c>
      <c r="F223" t="s">
        <v>804</v>
      </c>
      <c r="G223" t="s">
        <v>22</v>
      </c>
    </row>
    <row r="224" spans="1:8" x14ac:dyDescent="0.3">
      <c r="A224" t="s">
        <v>284</v>
      </c>
      <c r="B224" s="5">
        <v>41416</v>
      </c>
      <c r="C224">
        <v>-27.92</v>
      </c>
      <c r="D224" t="s">
        <v>305</v>
      </c>
      <c r="E224" t="s">
        <v>328</v>
      </c>
      <c r="F224" t="s">
        <v>329</v>
      </c>
      <c r="G224" t="s">
        <v>330</v>
      </c>
    </row>
    <row r="225" spans="1:8" x14ac:dyDescent="0.3">
      <c r="A225" t="s">
        <v>284</v>
      </c>
      <c r="B225" s="5">
        <v>41416</v>
      </c>
      <c r="C225">
        <v>-20</v>
      </c>
      <c r="D225" t="s">
        <v>305</v>
      </c>
      <c r="E225" t="s">
        <v>805</v>
      </c>
      <c r="F225" t="s">
        <v>806</v>
      </c>
      <c r="G225" t="s">
        <v>20</v>
      </c>
      <c r="H225">
        <v>2120</v>
      </c>
    </row>
    <row r="226" spans="1:8" x14ac:dyDescent="0.3">
      <c r="A226" t="s">
        <v>284</v>
      </c>
      <c r="B226" s="5">
        <v>41416</v>
      </c>
      <c r="C226">
        <v>-105</v>
      </c>
      <c r="D226" t="s">
        <v>305</v>
      </c>
      <c r="E226" t="s">
        <v>326</v>
      </c>
      <c r="F226" t="s">
        <v>335</v>
      </c>
      <c r="G226" t="s">
        <v>327</v>
      </c>
      <c r="H226">
        <v>2122</v>
      </c>
    </row>
    <row r="227" spans="1:8" x14ac:dyDescent="0.3">
      <c r="A227" t="s">
        <v>284</v>
      </c>
      <c r="B227" s="5">
        <v>41417</v>
      </c>
      <c r="C227" s="4">
        <v>-16273</v>
      </c>
      <c r="D227" t="s">
        <v>305</v>
      </c>
      <c r="E227" t="s">
        <v>807</v>
      </c>
      <c r="F227" t="s">
        <v>808</v>
      </c>
      <c r="G227" t="s">
        <v>617</v>
      </c>
      <c r="H227">
        <v>2123</v>
      </c>
    </row>
    <row r="228" spans="1:8" x14ac:dyDescent="0.3">
      <c r="A228" t="s">
        <v>284</v>
      </c>
      <c r="B228" s="5">
        <v>41418</v>
      </c>
      <c r="C228">
        <v>-27.88</v>
      </c>
      <c r="D228" t="s">
        <v>305</v>
      </c>
      <c r="E228" t="s">
        <v>751</v>
      </c>
      <c r="G228" t="s">
        <v>16</v>
      </c>
    </row>
    <row r="229" spans="1:8" x14ac:dyDescent="0.3">
      <c r="A229" t="s">
        <v>284</v>
      </c>
      <c r="B229" s="5">
        <v>41420</v>
      </c>
      <c r="C229">
        <v>8.23</v>
      </c>
      <c r="D229" t="s">
        <v>305</v>
      </c>
      <c r="E229" t="s">
        <v>809</v>
      </c>
      <c r="F229" t="s">
        <v>810</v>
      </c>
      <c r="G229" t="s">
        <v>14</v>
      </c>
    </row>
    <row r="230" spans="1:8" x14ac:dyDescent="0.3">
      <c r="A230" t="s">
        <v>284</v>
      </c>
      <c r="B230" s="5">
        <v>41422</v>
      </c>
      <c r="C230" s="4">
        <v>16700</v>
      </c>
      <c r="D230" t="s">
        <v>305</v>
      </c>
      <c r="E230" t="s">
        <v>811</v>
      </c>
      <c r="F230" t="s">
        <v>812</v>
      </c>
      <c r="G230" t="s">
        <v>7</v>
      </c>
    </row>
    <row r="231" spans="1:8" x14ac:dyDescent="0.3">
      <c r="A231" t="s">
        <v>284</v>
      </c>
      <c r="B231" s="5">
        <v>41422</v>
      </c>
      <c r="C231">
        <v>-1</v>
      </c>
      <c r="D231" t="s">
        <v>305</v>
      </c>
      <c r="E231" t="s">
        <v>813</v>
      </c>
      <c r="F231" t="s">
        <v>814</v>
      </c>
      <c r="G231" t="s">
        <v>618</v>
      </c>
    </row>
    <row r="232" spans="1:8" x14ac:dyDescent="0.3">
      <c r="A232" t="s">
        <v>284</v>
      </c>
      <c r="B232" s="5">
        <v>41423</v>
      </c>
      <c r="C232">
        <v>21.43</v>
      </c>
      <c r="D232" t="s">
        <v>305</v>
      </c>
      <c r="E232" t="s">
        <v>303</v>
      </c>
      <c r="F232" t="s">
        <v>815</v>
      </c>
      <c r="G232" t="s">
        <v>19</v>
      </c>
    </row>
    <row r="233" spans="1:8" x14ac:dyDescent="0.3">
      <c r="A233" t="s">
        <v>284</v>
      </c>
      <c r="B233" s="5">
        <v>41425</v>
      </c>
      <c r="C233" s="4">
        <v>3040.34</v>
      </c>
      <c r="D233" t="s">
        <v>305</v>
      </c>
      <c r="E233" t="s">
        <v>738</v>
      </c>
      <c r="F233" t="s">
        <v>313</v>
      </c>
      <c r="G233" t="s">
        <v>12</v>
      </c>
    </row>
    <row r="234" spans="1:8" x14ac:dyDescent="0.3">
      <c r="A234" t="s">
        <v>284</v>
      </c>
      <c r="B234" s="5">
        <v>41425</v>
      </c>
      <c r="C234" s="4">
        <v>6057.87</v>
      </c>
      <c r="D234" t="s">
        <v>305</v>
      </c>
      <c r="E234" t="s">
        <v>816</v>
      </c>
      <c r="F234" t="s">
        <v>817</v>
      </c>
      <c r="G234" t="s">
        <v>12</v>
      </c>
    </row>
    <row r="235" spans="1:8" x14ac:dyDescent="0.3">
      <c r="A235" t="s">
        <v>284</v>
      </c>
      <c r="B235" s="5">
        <v>41428</v>
      </c>
      <c r="C235" s="4">
        <v>-2048.5100000000002</v>
      </c>
      <c r="D235" t="s">
        <v>305</v>
      </c>
      <c r="E235" t="s">
        <v>319</v>
      </c>
      <c r="F235" t="s">
        <v>818</v>
      </c>
      <c r="G235" t="s">
        <v>318</v>
      </c>
    </row>
    <row r="236" spans="1:8" x14ac:dyDescent="0.3">
      <c r="A236" t="s">
        <v>284</v>
      </c>
      <c r="B236" s="5">
        <v>41428</v>
      </c>
      <c r="C236" s="4">
        <v>-2147</v>
      </c>
      <c r="D236" t="s">
        <v>305</v>
      </c>
      <c r="E236" t="s">
        <v>315</v>
      </c>
      <c r="F236" t="s">
        <v>316</v>
      </c>
      <c r="G236" t="s">
        <v>317</v>
      </c>
    </row>
    <row r="237" spans="1:8" x14ac:dyDescent="0.3">
      <c r="A237" t="s">
        <v>284</v>
      </c>
      <c r="B237" s="5">
        <v>41428</v>
      </c>
      <c r="C237" s="4">
        <v>-3513.25</v>
      </c>
      <c r="D237" t="s">
        <v>305</v>
      </c>
      <c r="E237" t="s">
        <v>319</v>
      </c>
      <c r="F237" t="s">
        <v>744</v>
      </c>
      <c r="G237" t="s">
        <v>318</v>
      </c>
    </row>
    <row r="238" spans="1:8" x14ac:dyDescent="0.3">
      <c r="A238" t="s">
        <v>284</v>
      </c>
      <c r="B238" s="5">
        <v>41428</v>
      </c>
      <c r="C238" s="4">
        <v>-3702.12</v>
      </c>
      <c r="D238" t="s">
        <v>305</v>
      </c>
      <c r="E238" t="s">
        <v>322</v>
      </c>
      <c r="F238" t="s">
        <v>607</v>
      </c>
      <c r="G238" t="s">
        <v>13</v>
      </c>
    </row>
    <row r="239" spans="1:8" x14ac:dyDescent="0.3">
      <c r="A239" t="s">
        <v>284</v>
      </c>
      <c r="B239" s="5">
        <v>41428</v>
      </c>
      <c r="C239">
        <v>-75</v>
      </c>
      <c r="D239" t="s">
        <v>305</v>
      </c>
      <c r="E239" t="s">
        <v>351</v>
      </c>
      <c r="F239" t="s">
        <v>335</v>
      </c>
      <c r="G239" t="s">
        <v>323</v>
      </c>
      <c r="H239">
        <v>2124</v>
      </c>
    </row>
    <row r="240" spans="1:8" x14ac:dyDescent="0.3">
      <c r="A240" t="s">
        <v>284</v>
      </c>
      <c r="B240" s="5">
        <v>41430</v>
      </c>
      <c r="C240">
        <v>-100</v>
      </c>
      <c r="D240" t="s">
        <v>305</v>
      </c>
      <c r="E240" t="s">
        <v>332</v>
      </c>
      <c r="F240" t="s">
        <v>333</v>
      </c>
      <c r="G240" t="s">
        <v>334</v>
      </c>
    </row>
    <row r="241" spans="1:8" x14ac:dyDescent="0.3">
      <c r="A241" t="s">
        <v>284</v>
      </c>
      <c r="B241" s="5">
        <v>41430</v>
      </c>
      <c r="C241" s="4">
        <v>-3574.88</v>
      </c>
      <c r="D241" t="s">
        <v>305</v>
      </c>
      <c r="E241" t="s">
        <v>345</v>
      </c>
      <c r="F241" t="s">
        <v>352</v>
      </c>
      <c r="G241" t="s">
        <v>321</v>
      </c>
    </row>
    <row r="242" spans="1:8" x14ac:dyDescent="0.3">
      <c r="A242" t="s">
        <v>284</v>
      </c>
      <c r="B242" s="5">
        <v>41430</v>
      </c>
      <c r="C242">
        <v>-105</v>
      </c>
      <c r="D242" t="s">
        <v>305</v>
      </c>
      <c r="E242" t="s">
        <v>326</v>
      </c>
      <c r="F242" t="s">
        <v>335</v>
      </c>
      <c r="G242" t="s">
        <v>327</v>
      </c>
      <c r="H242">
        <v>2282</v>
      </c>
    </row>
    <row r="243" spans="1:8" x14ac:dyDescent="0.3">
      <c r="A243" t="s">
        <v>284</v>
      </c>
      <c r="B243" s="5">
        <v>41432</v>
      </c>
      <c r="C243">
        <v>146.09</v>
      </c>
      <c r="D243" t="s">
        <v>305</v>
      </c>
      <c r="E243" t="s">
        <v>819</v>
      </c>
      <c r="F243" t="s">
        <v>820</v>
      </c>
      <c r="G243" t="s">
        <v>334</v>
      </c>
    </row>
    <row r="244" spans="1:8" x14ac:dyDescent="0.3">
      <c r="A244" t="s">
        <v>284</v>
      </c>
      <c r="B244" s="5">
        <v>41435</v>
      </c>
      <c r="C244">
        <v>-45.95</v>
      </c>
      <c r="D244" t="s">
        <v>305</v>
      </c>
      <c r="E244" t="s">
        <v>325</v>
      </c>
      <c r="F244" t="s">
        <v>821</v>
      </c>
      <c r="G244" t="s">
        <v>314</v>
      </c>
    </row>
    <row r="245" spans="1:8" x14ac:dyDescent="0.3">
      <c r="A245" t="s">
        <v>284</v>
      </c>
      <c r="B245" s="5">
        <v>41436</v>
      </c>
      <c r="C245">
        <v>-695</v>
      </c>
      <c r="D245" t="s">
        <v>305</v>
      </c>
      <c r="E245" t="s">
        <v>822</v>
      </c>
      <c r="F245" t="s">
        <v>823</v>
      </c>
      <c r="G245" t="s">
        <v>306</v>
      </c>
      <c r="H245">
        <v>2283</v>
      </c>
    </row>
    <row r="246" spans="1:8" x14ac:dyDescent="0.3">
      <c r="A246" t="s">
        <v>284</v>
      </c>
      <c r="B246" s="5">
        <v>41439</v>
      </c>
      <c r="C246" s="4">
        <v>3040.35</v>
      </c>
      <c r="D246" t="s">
        <v>305</v>
      </c>
      <c r="E246" t="s">
        <v>738</v>
      </c>
      <c r="F246" t="s">
        <v>313</v>
      </c>
      <c r="G246" t="s">
        <v>12</v>
      </c>
    </row>
    <row r="247" spans="1:8" x14ac:dyDescent="0.3">
      <c r="A247" t="s">
        <v>284</v>
      </c>
      <c r="B247" s="5">
        <v>41444</v>
      </c>
      <c r="C247">
        <v>-104.92</v>
      </c>
      <c r="D247" t="s">
        <v>305</v>
      </c>
      <c r="E247" t="s">
        <v>300</v>
      </c>
      <c r="F247" t="s">
        <v>824</v>
      </c>
      <c r="G247" t="s">
        <v>23</v>
      </c>
    </row>
    <row r="248" spans="1:8" x14ac:dyDescent="0.3">
      <c r="A248" t="s">
        <v>284</v>
      </c>
      <c r="B248" s="5">
        <v>41446</v>
      </c>
      <c r="C248">
        <v>254.8</v>
      </c>
      <c r="D248" t="s">
        <v>305</v>
      </c>
      <c r="E248" t="s">
        <v>825</v>
      </c>
      <c r="F248" t="s">
        <v>826</v>
      </c>
      <c r="G248" t="s">
        <v>22</v>
      </c>
    </row>
    <row r="249" spans="1:8" x14ac:dyDescent="0.3">
      <c r="A249" t="s">
        <v>284</v>
      </c>
      <c r="B249" s="5">
        <v>41446</v>
      </c>
      <c r="C249">
        <v>-777.45</v>
      </c>
      <c r="D249" t="s">
        <v>305</v>
      </c>
      <c r="E249" t="s">
        <v>827</v>
      </c>
      <c r="F249" t="s">
        <v>828</v>
      </c>
      <c r="G249" t="s">
        <v>619</v>
      </c>
    </row>
    <row r="250" spans="1:8" x14ac:dyDescent="0.3">
      <c r="A250" t="s">
        <v>284</v>
      </c>
      <c r="B250" s="5">
        <v>41449</v>
      </c>
      <c r="C250">
        <v>-1.63</v>
      </c>
      <c r="D250" t="s">
        <v>305</v>
      </c>
      <c r="E250" t="s">
        <v>291</v>
      </c>
      <c r="F250" t="s">
        <v>331</v>
      </c>
      <c r="G250" t="s">
        <v>15</v>
      </c>
    </row>
    <row r="251" spans="1:8" x14ac:dyDescent="0.3">
      <c r="A251" t="s">
        <v>284</v>
      </c>
      <c r="B251" s="5">
        <v>41449</v>
      </c>
      <c r="C251">
        <v>-27.92</v>
      </c>
      <c r="D251" t="s">
        <v>305</v>
      </c>
      <c r="E251" t="s">
        <v>328</v>
      </c>
      <c r="F251" t="s">
        <v>329</v>
      </c>
      <c r="G251" t="s">
        <v>330</v>
      </c>
    </row>
    <row r="252" spans="1:8" x14ac:dyDescent="0.3">
      <c r="A252" t="s">
        <v>284</v>
      </c>
      <c r="B252" s="5">
        <v>41452</v>
      </c>
      <c r="C252">
        <v>-70</v>
      </c>
      <c r="D252" t="s">
        <v>305</v>
      </c>
      <c r="E252" t="s">
        <v>351</v>
      </c>
      <c r="F252" t="s">
        <v>829</v>
      </c>
      <c r="G252" t="s">
        <v>323</v>
      </c>
      <c r="H252">
        <v>2284</v>
      </c>
    </row>
    <row r="253" spans="1:8" x14ac:dyDescent="0.3">
      <c r="A253" t="s">
        <v>284</v>
      </c>
      <c r="B253" s="5">
        <v>41453</v>
      </c>
      <c r="C253" s="4">
        <v>3040.36</v>
      </c>
      <c r="D253" t="s">
        <v>305</v>
      </c>
      <c r="E253" t="s">
        <v>738</v>
      </c>
      <c r="F253" t="s">
        <v>313</v>
      </c>
      <c r="G253" t="s">
        <v>12</v>
      </c>
    </row>
    <row r="254" spans="1:8" x14ac:dyDescent="0.3">
      <c r="A254" t="s">
        <v>284</v>
      </c>
      <c r="B254" s="5">
        <v>41453</v>
      </c>
      <c r="C254" s="4">
        <v>6057.87</v>
      </c>
      <c r="D254" t="s">
        <v>305</v>
      </c>
      <c r="E254" t="s">
        <v>816</v>
      </c>
      <c r="F254" t="s">
        <v>767</v>
      </c>
      <c r="G254" t="s">
        <v>12</v>
      </c>
    </row>
    <row r="255" spans="1:8" x14ac:dyDescent="0.3">
      <c r="A255" t="s">
        <v>284</v>
      </c>
      <c r="B255" s="5">
        <v>41453</v>
      </c>
      <c r="C255">
        <v>-234.37</v>
      </c>
      <c r="D255" t="s">
        <v>305</v>
      </c>
      <c r="E255" t="s">
        <v>603</v>
      </c>
      <c r="F255" t="s">
        <v>830</v>
      </c>
      <c r="G255" t="s">
        <v>314</v>
      </c>
    </row>
    <row r="256" spans="1:8" x14ac:dyDescent="0.3">
      <c r="A256" t="s">
        <v>284</v>
      </c>
      <c r="B256" s="5">
        <v>41456</v>
      </c>
      <c r="C256">
        <v>-10</v>
      </c>
      <c r="D256" t="s">
        <v>305</v>
      </c>
      <c r="E256" t="s">
        <v>300</v>
      </c>
      <c r="F256" t="s">
        <v>831</v>
      </c>
      <c r="G256" t="s">
        <v>23</v>
      </c>
    </row>
    <row r="257" spans="1:8" x14ac:dyDescent="0.3">
      <c r="A257" t="s">
        <v>284</v>
      </c>
      <c r="B257" s="5">
        <v>41456</v>
      </c>
      <c r="C257">
        <v>-131.13</v>
      </c>
      <c r="D257" t="s">
        <v>305</v>
      </c>
      <c r="E257" t="s">
        <v>349</v>
      </c>
      <c r="F257" t="s">
        <v>350</v>
      </c>
      <c r="G257" t="s">
        <v>21</v>
      </c>
    </row>
    <row r="258" spans="1:8" x14ac:dyDescent="0.3">
      <c r="A258" t="s">
        <v>284</v>
      </c>
      <c r="B258" s="5">
        <v>41456</v>
      </c>
      <c r="C258" s="4">
        <v>-2147</v>
      </c>
      <c r="D258" t="s">
        <v>305</v>
      </c>
      <c r="E258" t="s">
        <v>832</v>
      </c>
      <c r="F258" t="s">
        <v>316</v>
      </c>
      <c r="G258" t="s">
        <v>317</v>
      </c>
    </row>
    <row r="259" spans="1:8" x14ac:dyDescent="0.3">
      <c r="A259" t="s">
        <v>284</v>
      </c>
      <c r="B259" s="5">
        <v>41457</v>
      </c>
      <c r="C259" s="4">
        <v>-2048.5100000000002</v>
      </c>
      <c r="D259" t="s">
        <v>305</v>
      </c>
      <c r="E259" t="s">
        <v>319</v>
      </c>
      <c r="F259" t="s">
        <v>743</v>
      </c>
      <c r="G259" t="s">
        <v>318</v>
      </c>
    </row>
    <row r="260" spans="1:8" x14ac:dyDescent="0.3">
      <c r="A260" t="s">
        <v>284</v>
      </c>
      <c r="B260" s="5">
        <v>41457</v>
      </c>
      <c r="C260" s="4">
        <v>-3513.25</v>
      </c>
      <c r="D260" t="s">
        <v>305</v>
      </c>
      <c r="E260" t="s">
        <v>319</v>
      </c>
      <c r="F260" t="s">
        <v>744</v>
      </c>
      <c r="G260" t="s">
        <v>318</v>
      </c>
    </row>
    <row r="261" spans="1:8" x14ac:dyDescent="0.3">
      <c r="A261" t="s">
        <v>284</v>
      </c>
      <c r="B261" s="5">
        <v>41457</v>
      </c>
      <c r="C261" s="4">
        <v>-4089.89</v>
      </c>
      <c r="D261" t="s">
        <v>305</v>
      </c>
      <c r="E261" t="s">
        <v>322</v>
      </c>
      <c r="F261" t="s">
        <v>607</v>
      </c>
      <c r="G261" t="s">
        <v>13</v>
      </c>
    </row>
    <row r="262" spans="1:8" x14ac:dyDescent="0.3">
      <c r="A262" t="s">
        <v>284</v>
      </c>
      <c r="B262" s="5">
        <v>41460</v>
      </c>
      <c r="C262">
        <v>-105</v>
      </c>
      <c r="D262" t="s">
        <v>305</v>
      </c>
      <c r="E262" t="s">
        <v>326</v>
      </c>
      <c r="F262" t="s">
        <v>335</v>
      </c>
      <c r="G262" t="s">
        <v>327</v>
      </c>
      <c r="H262">
        <v>2285</v>
      </c>
    </row>
    <row r="263" spans="1:8" x14ac:dyDescent="0.3">
      <c r="A263" t="s">
        <v>284</v>
      </c>
      <c r="B263" s="5">
        <v>41461</v>
      </c>
      <c r="C263">
        <v>-50.51</v>
      </c>
      <c r="D263" t="s">
        <v>305</v>
      </c>
      <c r="E263" t="s">
        <v>300</v>
      </c>
      <c r="F263" t="s">
        <v>353</v>
      </c>
      <c r="G263" t="s">
        <v>23</v>
      </c>
    </row>
    <row r="264" spans="1:8" x14ac:dyDescent="0.3">
      <c r="A264" t="s">
        <v>284</v>
      </c>
      <c r="B264" s="5">
        <v>41463</v>
      </c>
      <c r="C264">
        <v>-100</v>
      </c>
      <c r="D264" t="s">
        <v>305</v>
      </c>
      <c r="E264" t="s">
        <v>332</v>
      </c>
      <c r="F264" t="s">
        <v>333</v>
      </c>
      <c r="G264" t="s">
        <v>334</v>
      </c>
    </row>
    <row r="265" spans="1:8" x14ac:dyDescent="0.3">
      <c r="A265" t="s">
        <v>284</v>
      </c>
      <c r="B265" s="5">
        <v>41463</v>
      </c>
      <c r="C265" s="4">
        <v>-3574.88</v>
      </c>
      <c r="D265" t="s">
        <v>305</v>
      </c>
      <c r="E265" t="s">
        <v>345</v>
      </c>
      <c r="F265" t="s">
        <v>352</v>
      </c>
      <c r="G265" t="s">
        <v>321</v>
      </c>
    </row>
    <row r="266" spans="1:8" x14ac:dyDescent="0.3">
      <c r="A266" t="s">
        <v>284</v>
      </c>
      <c r="B266" s="5">
        <v>41467</v>
      </c>
      <c r="C266">
        <v>-60</v>
      </c>
      <c r="D266" t="s">
        <v>305</v>
      </c>
      <c r="E266" t="s">
        <v>332</v>
      </c>
      <c r="F266" t="s">
        <v>333</v>
      </c>
      <c r="G266" t="s">
        <v>334</v>
      </c>
    </row>
    <row r="267" spans="1:8" x14ac:dyDescent="0.3">
      <c r="A267" t="s">
        <v>284</v>
      </c>
      <c r="B267" s="5">
        <v>41467</v>
      </c>
      <c r="C267">
        <v>-70.81</v>
      </c>
      <c r="D267" t="s">
        <v>305</v>
      </c>
      <c r="E267" t="s">
        <v>324</v>
      </c>
      <c r="F267" t="s">
        <v>344</v>
      </c>
      <c r="G267" t="s">
        <v>314</v>
      </c>
    </row>
    <row r="268" spans="1:8" x14ac:dyDescent="0.3">
      <c r="A268" t="s">
        <v>284</v>
      </c>
      <c r="B268" s="5">
        <v>41467</v>
      </c>
      <c r="C268">
        <v>-105</v>
      </c>
      <c r="D268" t="s">
        <v>305</v>
      </c>
      <c r="E268" t="s">
        <v>326</v>
      </c>
      <c r="F268" t="s">
        <v>354</v>
      </c>
      <c r="G268" t="s">
        <v>327</v>
      </c>
    </row>
    <row r="269" spans="1:8" x14ac:dyDescent="0.3">
      <c r="A269" t="s">
        <v>284</v>
      </c>
      <c r="B269" s="5">
        <v>41470</v>
      </c>
      <c r="C269" s="4">
        <v>3040.34</v>
      </c>
      <c r="D269" t="s">
        <v>305</v>
      </c>
      <c r="E269" t="s">
        <v>738</v>
      </c>
      <c r="F269" t="s">
        <v>313</v>
      </c>
      <c r="G269" t="s">
        <v>12</v>
      </c>
    </row>
    <row r="270" spans="1:8" x14ac:dyDescent="0.3">
      <c r="A270" t="s">
        <v>284</v>
      </c>
      <c r="B270" s="5">
        <v>41470</v>
      </c>
      <c r="C270">
        <v>-48.13</v>
      </c>
      <c r="D270" t="s">
        <v>305</v>
      </c>
      <c r="E270" t="s">
        <v>325</v>
      </c>
      <c r="F270" t="s">
        <v>833</v>
      </c>
      <c r="G270" t="s">
        <v>314</v>
      </c>
    </row>
    <row r="271" spans="1:8" x14ac:dyDescent="0.3">
      <c r="A271" t="s">
        <v>284</v>
      </c>
      <c r="B271" s="5">
        <v>41471</v>
      </c>
      <c r="C271">
        <v>-50</v>
      </c>
      <c r="D271" t="s">
        <v>305</v>
      </c>
      <c r="E271" t="s">
        <v>608</v>
      </c>
      <c r="F271" t="s">
        <v>335</v>
      </c>
      <c r="G271" t="s">
        <v>323</v>
      </c>
      <c r="H271">
        <v>2286</v>
      </c>
    </row>
    <row r="272" spans="1:8" x14ac:dyDescent="0.3">
      <c r="A272" t="s">
        <v>284</v>
      </c>
      <c r="B272" s="5">
        <v>41479</v>
      </c>
      <c r="C272">
        <v>-27.92</v>
      </c>
      <c r="D272" t="s">
        <v>305</v>
      </c>
      <c r="E272" t="s">
        <v>328</v>
      </c>
      <c r="F272" t="s">
        <v>329</v>
      </c>
      <c r="G272" t="s">
        <v>330</v>
      </c>
    </row>
    <row r="273" spans="1:7" x14ac:dyDescent="0.3">
      <c r="A273" t="s">
        <v>284</v>
      </c>
      <c r="B273" s="5">
        <v>41479</v>
      </c>
      <c r="C273">
        <v>-145.63999999999999</v>
      </c>
      <c r="D273" t="s">
        <v>305</v>
      </c>
      <c r="E273" t="s">
        <v>291</v>
      </c>
      <c r="F273" t="s">
        <v>331</v>
      </c>
      <c r="G273" t="s">
        <v>15</v>
      </c>
    </row>
    <row r="274" spans="1:7" x14ac:dyDescent="0.3">
      <c r="A274" t="s">
        <v>284</v>
      </c>
      <c r="B274" s="5">
        <v>41486</v>
      </c>
      <c r="C274" s="4">
        <v>3040.35</v>
      </c>
      <c r="D274" t="s">
        <v>305</v>
      </c>
      <c r="E274" t="s">
        <v>738</v>
      </c>
      <c r="F274" t="s">
        <v>313</v>
      </c>
      <c r="G274" t="s">
        <v>12</v>
      </c>
    </row>
    <row r="275" spans="1:7" x14ac:dyDescent="0.3">
      <c r="A275" t="s">
        <v>284</v>
      </c>
      <c r="B275" s="5">
        <v>41486</v>
      </c>
      <c r="C275" s="4">
        <v>6057.87</v>
      </c>
      <c r="D275" t="s">
        <v>305</v>
      </c>
      <c r="E275" t="s">
        <v>755</v>
      </c>
      <c r="F275" t="s">
        <v>834</v>
      </c>
      <c r="G275" t="s">
        <v>12</v>
      </c>
    </row>
    <row r="276" spans="1:7" x14ac:dyDescent="0.3">
      <c r="A276" t="s">
        <v>284</v>
      </c>
      <c r="B276" s="5">
        <v>41487</v>
      </c>
      <c r="C276" s="4">
        <v>-2147</v>
      </c>
      <c r="D276" t="s">
        <v>305</v>
      </c>
      <c r="E276" t="s">
        <v>315</v>
      </c>
      <c r="F276" t="s">
        <v>316</v>
      </c>
      <c r="G276" t="s">
        <v>317</v>
      </c>
    </row>
    <row r="277" spans="1:7" x14ac:dyDescent="0.3">
      <c r="A277" t="s">
        <v>284</v>
      </c>
      <c r="B277" s="5">
        <v>41488</v>
      </c>
      <c r="C277" s="4">
        <v>-2048.5100000000002</v>
      </c>
      <c r="D277" t="s">
        <v>305</v>
      </c>
      <c r="E277" t="s">
        <v>319</v>
      </c>
      <c r="F277" t="s">
        <v>743</v>
      </c>
      <c r="G277" t="s">
        <v>318</v>
      </c>
    </row>
    <row r="278" spans="1:7" x14ac:dyDescent="0.3">
      <c r="A278" t="s">
        <v>284</v>
      </c>
      <c r="B278" s="5">
        <v>41488</v>
      </c>
      <c r="C278" s="4">
        <v>-2180.29</v>
      </c>
      <c r="D278" t="s">
        <v>305</v>
      </c>
      <c r="E278" t="s">
        <v>322</v>
      </c>
      <c r="F278" t="s">
        <v>607</v>
      </c>
      <c r="G278" t="s">
        <v>13</v>
      </c>
    </row>
    <row r="279" spans="1:7" x14ac:dyDescent="0.3">
      <c r="A279" t="s">
        <v>284</v>
      </c>
      <c r="B279" s="5">
        <v>41488</v>
      </c>
      <c r="C279" s="4">
        <v>-3513.25</v>
      </c>
      <c r="D279" t="s">
        <v>305</v>
      </c>
      <c r="E279" t="s">
        <v>319</v>
      </c>
      <c r="F279" t="s">
        <v>744</v>
      </c>
      <c r="G279" t="s">
        <v>318</v>
      </c>
    </row>
    <row r="280" spans="1:7" x14ac:dyDescent="0.3">
      <c r="A280" t="s">
        <v>284</v>
      </c>
      <c r="B280" s="5">
        <v>41492</v>
      </c>
      <c r="C280" s="4">
        <v>10000</v>
      </c>
      <c r="D280" t="s">
        <v>305</v>
      </c>
      <c r="E280" t="s">
        <v>835</v>
      </c>
      <c r="F280" t="s">
        <v>836</v>
      </c>
      <c r="G280" t="s">
        <v>24</v>
      </c>
    </row>
    <row r="281" spans="1:7" x14ac:dyDescent="0.3">
      <c r="A281" t="s">
        <v>284</v>
      </c>
      <c r="B281" s="5">
        <v>41492</v>
      </c>
      <c r="C281" s="4">
        <v>-3574.88</v>
      </c>
      <c r="D281" t="s">
        <v>305</v>
      </c>
      <c r="E281" t="s">
        <v>345</v>
      </c>
      <c r="F281" t="s">
        <v>352</v>
      </c>
      <c r="G281" t="s">
        <v>321</v>
      </c>
    </row>
    <row r="282" spans="1:7" x14ac:dyDescent="0.3">
      <c r="A282" t="s">
        <v>284</v>
      </c>
      <c r="B282" s="5">
        <v>41493</v>
      </c>
      <c r="C282">
        <v>-20</v>
      </c>
      <c r="D282" t="s">
        <v>305</v>
      </c>
      <c r="E282" t="s">
        <v>332</v>
      </c>
      <c r="F282" t="s">
        <v>333</v>
      </c>
      <c r="G282" t="s">
        <v>334</v>
      </c>
    </row>
    <row r="283" spans="1:7" x14ac:dyDescent="0.3">
      <c r="A283" t="s">
        <v>284</v>
      </c>
      <c r="B283" s="5">
        <v>41493</v>
      </c>
      <c r="C283">
        <v>-80</v>
      </c>
      <c r="D283" t="s">
        <v>305</v>
      </c>
      <c r="E283" t="s">
        <v>332</v>
      </c>
      <c r="F283" t="s">
        <v>333</v>
      </c>
      <c r="G283" t="s">
        <v>334</v>
      </c>
    </row>
    <row r="284" spans="1:7" x14ac:dyDescent="0.3">
      <c r="A284" t="s">
        <v>284</v>
      </c>
      <c r="B284" s="5">
        <v>41493</v>
      </c>
      <c r="C284" s="4">
        <v>-15000</v>
      </c>
      <c r="D284" t="s">
        <v>305</v>
      </c>
      <c r="E284" t="s">
        <v>801</v>
      </c>
      <c r="F284" t="s">
        <v>837</v>
      </c>
      <c r="G284" t="s">
        <v>6</v>
      </c>
    </row>
    <row r="285" spans="1:7" x14ac:dyDescent="0.3">
      <c r="A285" t="s">
        <v>284</v>
      </c>
      <c r="B285" s="5">
        <v>41494</v>
      </c>
      <c r="C285">
        <v>-25.15</v>
      </c>
      <c r="D285" t="s">
        <v>305</v>
      </c>
      <c r="E285" t="s">
        <v>300</v>
      </c>
      <c r="F285" t="s">
        <v>353</v>
      </c>
      <c r="G285" t="s">
        <v>23</v>
      </c>
    </row>
    <row r="286" spans="1:7" x14ac:dyDescent="0.3">
      <c r="A286" t="s">
        <v>284</v>
      </c>
      <c r="B286" s="5">
        <v>41494</v>
      </c>
      <c r="C286">
        <v>-105</v>
      </c>
      <c r="D286" t="s">
        <v>305</v>
      </c>
      <c r="E286" t="s">
        <v>326</v>
      </c>
      <c r="F286" t="s">
        <v>354</v>
      </c>
      <c r="G286" t="s">
        <v>327</v>
      </c>
    </row>
    <row r="287" spans="1:7" x14ac:dyDescent="0.3">
      <c r="A287" t="s">
        <v>284</v>
      </c>
      <c r="B287" s="5">
        <v>41495</v>
      </c>
      <c r="C287">
        <v>-105</v>
      </c>
      <c r="D287" t="s">
        <v>305</v>
      </c>
      <c r="E287" t="s">
        <v>326</v>
      </c>
      <c r="F287" t="s">
        <v>354</v>
      </c>
      <c r="G287" t="s">
        <v>327</v>
      </c>
    </row>
    <row r="288" spans="1:7" x14ac:dyDescent="0.3">
      <c r="A288" t="s">
        <v>284</v>
      </c>
      <c r="B288" s="5">
        <v>41495</v>
      </c>
      <c r="C288">
        <v>-792.93</v>
      </c>
      <c r="D288" t="s">
        <v>305</v>
      </c>
      <c r="E288" t="s">
        <v>827</v>
      </c>
      <c r="F288" t="s">
        <v>838</v>
      </c>
      <c r="G288" t="s">
        <v>619</v>
      </c>
    </row>
    <row r="289" spans="1:8" x14ac:dyDescent="0.3">
      <c r="A289" t="s">
        <v>284</v>
      </c>
      <c r="B289" s="5">
        <v>41498</v>
      </c>
      <c r="C289">
        <v>-50.13</v>
      </c>
      <c r="D289" t="s">
        <v>305</v>
      </c>
      <c r="E289" t="s">
        <v>325</v>
      </c>
      <c r="F289" t="s">
        <v>839</v>
      </c>
      <c r="G289" t="s">
        <v>314</v>
      </c>
    </row>
    <row r="290" spans="1:8" x14ac:dyDescent="0.3">
      <c r="A290" t="s">
        <v>284</v>
      </c>
      <c r="B290" s="5">
        <v>41501</v>
      </c>
      <c r="C290" s="4">
        <v>3040.35</v>
      </c>
      <c r="D290" t="s">
        <v>305</v>
      </c>
      <c r="E290" t="s">
        <v>738</v>
      </c>
      <c r="F290" t="s">
        <v>313</v>
      </c>
      <c r="G290" t="s">
        <v>12</v>
      </c>
    </row>
    <row r="291" spans="1:8" x14ac:dyDescent="0.3">
      <c r="A291" t="s">
        <v>284</v>
      </c>
      <c r="B291" s="5">
        <v>41502</v>
      </c>
      <c r="C291">
        <v>234.12</v>
      </c>
      <c r="D291" t="s">
        <v>305</v>
      </c>
      <c r="E291" t="s">
        <v>765</v>
      </c>
      <c r="F291" t="s">
        <v>840</v>
      </c>
      <c r="G291" t="s">
        <v>620</v>
      </c>
    </row>
    <row r="292" spans="1:8" x14ac:dyDescent="0.3">
      <c r="A292" t="s">
        <v>284</v>
      </c>
      <c r="B292" s="5">
        <v>41503</v>
      </c>
      <c r="C292">
        <v>276.56</v>
      </c>
      <c r="D292" t="s">
        <v>305</v>
      </c>
      <c r="E292" t="s">
        <v>841</v>
      </c>
      <c r="F292" t="s">
        <v>842</v>
      </c>
      <c r="G292" t="s">
        <v>25</v>
      </c>
    </row>
    <row r="293" spans="1:8" x14ac:dyDescent="0.3">
      <c r="A293" t="s">
        <v>284</v>
      </c>
      <c r="B293" s="5">
        <v>41503</v>
      </c>
      <c r="C293">
        <v>548.29</v>
      </c>
      <c r="D293" t="s">
        <v>305</v>
      </c>
      <c r="E293" t="s">
        <v>841</v>
      </c>
      <c r="F293" t="s">
        <v>843</v>
      </c>
      <c r="G293" t="s">
        <v>25</v>
      </c>
    </row>
    <row r="294" spans="1:8" x14ac:dyDescent="0.3">
      <c r="A294" t="s">
        <v>284</v>
      </c>
      <c r="B294" s="5">
        <v>41507</v>
      </c>
      <c r="C294">
        <v>-183.85</v>
      </c>
      <c r="D294" t="s">
        <v>305</v>
      </c>
      <c r="E294" t="s">
        <v>355</v>
      </c>
      <c r="F294" t="s">
        <v>356</v>
      </c>
      <c r="G294" t="s">
        <v>357</v>
      </c>
    </row>
    <row r="295" spans="1:8" x14ac:dyDescent="0.3">
      <c r="A295" t="s">
        <v>284</v>
      </c>
      <c r="B295" s="5">
        <v>41508</v>
      </c>
      <c r="C295">
        <v>-27.92</v>
      </c>
      <c r="D295" t="s">
        <v>305</v>
      </c>
      <c r="E295" t="s">
        <v>328</v>
      </c>
      <c r="F295" t="s">
        <v>329</v>
      </c>
      <c r="G295" t="s">
        <v>330</v>
      </c>
    </row>
    <row r="296" spans="1:8" x14ac:dyDescent="0.3">
      <c r="A296" t="s">
        <v>284</v>
      </c>
      <c r="B296" s="5">
        <v>41508</v>
      </c>
      <c r="C296">
        <v>-53</v>
      </c>
      <c r="D296" t="s">
        <v>305</v>
      </c>
      <c r="E296" t="s">
        <v>351</v>
      </c>
      <c r="F296" t="s">
        <v>335</v>
      </c>
      <c r="G296" t="s">
        <v>323</v>
      </c>
      <c r="H296">
        <v>2287</v>
      </c>
    </row>
    <row r="297" spans="1:8" x14ac:dyDescent="0.3">
      <c r="A297" t="s">
        <v>284</v>
      </c>
      <c r="B297" s="5">
        <v>41509</v>
      </c>
      <c r="C297">
        <v>-8.75</v>
      </c>
      <c r="D297" t="s">
        <v>305</v>
      </c>
      <c r="E297" t="s">
        <v>844</v>
      </c>
      <c r="F297" t="s">
        <v>338</v>
      </c>
      <c r="G297" t="s">
        <v>18</v>
      </c>
    </row>
    <row r="298" spans="1:8" x14ac:dyDescent="0.3">
      <c r="A298" t="s">
        <v>284</v>
      </c>
      <c r="B298" s="5">
        <v>41509</v>
      </c>
      <c r="C298">
        <v>-105</v>
      </c>
      <c r="D298" t="s">
        <v>305</v>
      </c>
      <c r="E298" t="s">
        <v>326</v>
      </c>
      <c r="G298" t="s">
        <v>327</v>
      </c>
    </row>
    <row r="299" spans="1:8" x14ac:dyDescent="0.3">
      <c r="A299" t="s">
        <v>284</v>
      </c>
      <c r="B299" s="5">
        <v>41512</v>
      </c>
      <c r="C299">
        <v>-207.86</v>
      </c>
      <c r="D299" t="s">
        <v>305</v>
      </c>
      <c r="E299" t="s">
        <v>291</v>
      </c>
      <c r="F299" t="s">
        <v>331</v>
      </c>
      <c r="G299" t="s">
        <v>15</v>
      </c>
    </row>
    <row r="300" spans="1:8" x14ac:dyDescent="0.3">
      <c r="A300" t="s">
        <v>284</v>
      </c>
      <c r="B300" s="5">
        <v>41515</v>
      </c>
      <c r="C300">
        <v>-240.57</v>
      </c>
      <c r="D300" t="s">
        <v>305</v>
      </c>
      <c r="E300" t="s">
        <v>603</v>
      </c>
      <c r="F300" t="s">
        <v>604</v>
      </c>
      <c r="G300" t="s">
        <v>314</v>
      </c>
    </row>
    <row r="301" spans="1:8" x14ac:dyDescent="0.3">
      <c r="A301" t="s">
        <v>284</v>
      </c>
      <c r="B301" s="5">
        <v>41516</v>
      </c>
      <c r="C301" s="4">
        <v>3405.89</v>
      </c>
      <c r="D301" t="s">
        <v>305</v>
      </c>
      <c r="E301" t="s">
        <v>738</v>
      </c>
      <c r="F301" t="s">
        <v>313</v>
      </c>
      <c r="G301" t="s">
        <v>12</v>
      </c>
    </row>
    <row r="302" spans="1:8" x14ac:dyDescent="0.3">
      <c r="A302" t="s">
        <v>284</v>
      </c>
      <c r="B302" s="5">
        <v>41516</v>
      </c>
      <c r="C302" s="4">
        <v>6057.87</v>
      </c>
      <c r="D302" t="s">
        <v>305</v>
      </c>
      <c r="E302" t="s">
        <v>755</v>
      </c>
      <c r="F302" t="s">
        <v>845</v>
      </c>
      <c r="G302" t="s">
        <v>12</v>
      </c>
    </row>
    <row r="303" spans="1:8" x14ac:dyDescent="0.3">
      <c r="A303" t="s">
        <v>284</v>
      </c>
      <c r="B303" s="5">
        <v>41518</v>
      </c>
      <c r="C303">
        <v>24.48</v>
      </c>
      <c r="D303" t="s">
        <v>305</v>
      </c>
      <c r="E303" t="s">
        <v>841</v>
      </c>
      <c r="F303" t="s">
        <v>846</v>
      </c>
      <c r="G303" t="s">
        <v>25</v>
      </c>
    </row>
    <row r="304" spans="1:8" x14ac:dyDescent="0.3">
      <c r="A304" t="s">
        <v>284</v>
      </c>
      <c r="B304" s="5">
        <v>41518</v>
      </c>
      <c r="C304">
        <v>138.96</v>
      </c>
      <c r="D304" t="s">
        <v>305</v>
      </c>
      <c r="E304" t="s">
        <v>787</v>
      </c>
      <c r="F304" t="s">
        <v>847</v>
      </c>
      <c r="G304" t="s">
        <v>789</v>
      </c>
    </row>
    <row r="305" spans="1:8" x14ac:dyDescent="0.3">
      <c r="A305" t="s">
        <v>284</v>
      </c>
      <c r="B305" s="5">
        <v>41518</v>
      </c>
      <c r="C305" s="4">
        <v>4750</v>
      </c>
      <c r="D305" t="s">
        <v>305</v>
      </c>
      <c r="E305" t="s">
        <v>848</v>
      </c>
      <c r="F305" t="s">
        <v>849</v>
      </c>
      <c r="G305" t="s">
        <v>14</v>
      </c>
    </row>
    <row r="306" spans="1:8" x14ac:dyDescent="0.3">
      <c r="A306" t="s">
        <v>284</v>
      </c>
      <c r="B306" s="5">
        <v>41518</v>
      </c>
      <c r="C306">
        <v>-2.85</v>
      </c>
      <c r="D306" t="s">
        <v>305</v>
      </c>
      <c r="E306" t="s">
        <v>349</v>
      </c>
      <c r="G306" t="s">
        <v>21</v>
      </c>
    </row>
    <row r="307" spans="1:8" x14ac:dyDescent="0.3">
      <c r="A307" t="s">
        <v>284</v>
      </c>
      <c r="B307" s="5">
        <v>41520</v>
      </c>
      <c r="C307" s="4">
        <v>-1976</v>
      </c>
      <c r="D307" t="s">
        <v>305</v>
      </c>
      <c r="E307" t="s">
        <v>315</v>
      </c>
      <c r="F307" t="s">
        <v>316</v>
      </c>
      <c r="G307" t="s">
        <v>317</v>
      </c>
    </row>
    <row r="308" spans="1:8" x14ac:dyDescent="0.3">
      <c r="A308" t="s">
        <v>284</v>
      </c>
      <c r="B308" s="5">
        <v>41520</v>
      </c>
      <c r="C308" s="4">
        <v>-2048.5100000000002</v>
      </c>
      <c r="D308" t="s">
        <v>305</v>
      </c>
      <c r="E308" t="s">
        <v>319</v>
      </c>
      <c r="F308" t="s">
        <v>743</v>
      </c>
      <c r="G308" t="s">
        <v>318</v>
      </c>
    </row>
    <row r="309" spans="1:8" x14ac:dyDescent="0.3">
      <c r="A309" t="s">
        <v>284</v>
      </c>
      <c r="B309" s="5">
        <v>41520</v>
      </c>
      <c r="C309" s="4">
        <v>-2973.01</v>
      </c>
      <c r="D309" t="s">
        <v>305</v>
      </c>
      <c r="E309" t="s">
        <v>322</v>
      </c>
      <c r="F309" t="s">
        <v>607</v>
      </c>
      <c r="G309" t="s">
        <v>13</v>
      </c>
    </row>
    <row r="310" spans="1:8" x14ac:dyDescent="0.3">
      <c r="A310" t="s">
        <v>284</v>
      </c>
      <c r="B310" s="5">
        <v>41520</v>
      </c>
      <c r="C310" s="4">
        <v>-3513.25</v>
      </c>
      <c r="D310" t="s">
        <v>305</v>
      </c>
      <c r="E310" t="s">
        <v>319</v>
      </c>
      <c r="F310" t="s">
        <v>744</v>
      </c>
      <c r="G310" t="s">
        <v>318</v>
      </c>
    </row>
    <row r="311" spans="1:8" x14ac:dyDescent="0.3">
      <c r="A311" t="s">
        <v>284</v>
      </c>
      <c r="B311" s="5">
        <v>41522</v>
      </c>
      <c r="C311" s="4">
        <v>-3574.88</v>
      </c>
      <c r="D311" t="s">
        <v>305</v>
      </c>
      <c r="E311" t="s">
        <v>345</v>
      </c>
      <c r="F311" t="s">
        <v>352</v>
      </c>
      <c r="G311" t="s">
        <v>321</v>
      </c>
    </row>
    <row r="312" spans="1:8" x14ac:dyDescent="0.3">
      <c r="A312" t="s">
        <v>284</v>
      </c>
      <c r="B312" s="5">
        <v>41526</v>
      </c>
      <c r="C312">
        <v>-45.95</v>
      </c>
      <c r="D312" t="s">
        <v>305</v>
      </c>
      <c r="E312" t="s">
        <v>325</v>
      </c>
      <c r="F312" t="s">
        <v>850</v>
      </c>
      <c r="G312" t="s">
        <v>314</v>
      </c>
    </row>
    <row r="313" spans="1:8" x14ac:dyDescent="0.3">
      <c r="A313" t="s">
        <v>284</v>
      </c>
      <c r="B313" s="5">
        <v>41527</v>
      </c>
      <c r="C313">
        <v>-821.25</v>
      </c>
      <c r="D313" t="s">
        <v>305</v>
      </c>
      <c r="E313" t="s">
        <v>851</v>
      </c>
      <c r="F313" t="s">
        <v>852</v>
      </c>
      <c r="G313" t="s">
        <v>853</v>
      </c>
      <c r="H313">
        <v>2288</v>
      </c>
    </row>
    <row r="314" spans="1:8" x14ac:dyDescent="0.3">
      <c r="A314" t="s">
        <v>284</v>
      </c>
      <c r="B314" s="5">
        <v>41528</v>
      </c>
      <c r="C314">
        <v>-84.78</v>
      </c>
      <c r="D314" t="s">
        <v>305</v>
      </c>
      <c r="E314" t="s">
        <v>324</v>
      </c>
      <c r="F314" t="s">
        <v>344</v>
      </c>
      <c r="G314" t="s">
        <v>314</v>
      </c>
    </row>
    <row r="315" spans="1:8" x14ac:dyDescent="0.3">
      <c r="A315" t="s">
        <v>284</v>
      </c>
      <c r="B315" s="5">
        <v>41530</v>
      </c>
      <c r="C315" s="4">
        <v>28357.09</v>
      </c>
      <c r="D315" t="s">
        <v>305</v>
      </c>
      <c r="E315" t="s">
        <v>738</v>
      </c>
      <c r="F315" t="s">
        <v>313</v>
      </c>
      <c r="G315" t="s">
        <v>12</v>
      </c>
    </row>
    <row r="316" spans="1:8" x14ac:dyDescent="0.3">
      <c r="A316" t="s">
        <v>284</v>
      </c>
      <c r="B316" s="5">
        <v>41537</v>
      </c>
      <c r="C316">
        <v>65</v>
      </c>
      <c r="D316" t="s">
        <v>305</v>
      </c>
      <c r="E316" t="s">
        <v>854</v>
      </c>
      <c r="F316" t="s">
        <v>855</v>
      </c>
      <c r="G316" t="s">
        <v>20</v>
      </c>
    </row>
    <row r="317" spans="1:8" x14ac:dyDescent="0.3">
      <c r="A317" t="s">
        <v>284</v>
      </c>
      <c r="B317" s="5">
        <v>41537</v>
      </c>
      <c r="C317">
        <v>65</v>
      </c>
      <c r="D317" t="s">
        <v>305</v>
      </c>
      <c r="E317" t="s">
        <v>856</v>
      </c>
      <c r="F317" t="s">
        <v>855</v>
      </c>
      <c r="G317" t="s">
        <v>20</v>
      </c>
    </row>
    <row r="318" spans="1:8" x14ac:dyDescent="0.3">
      <c r="A318" t="s">
        <v>284</v>
      </c>
      <c r="B318" s="5">
        <v>41541</v>
      </c>
      <c r="C318">
        <v>-27.92</v>
      </c>
      <c r="D318" t="s">
        <v>305</v>
      </c>
      <c r="E318" t="s">
        <v>328</v>
      </c>
      <c r="F318" t="s">
        <v>329</v>
      </c>
      <c r="G318" t="s">
        <v>330</v>
      </c>
    </row>
    <row r="319" spans="1:8" x14ac:dyDescent="0.3">
      <c r="A319" t="s">
        <v>284</v>
      </c>
      <c r="B319" s="5">
        <v>41541</v>
      </c>
      <c r="C319">
        <v>-227.88</v>
      </c>
      <c r="D319" t="s">
        <v>305</v>
      </c>
      <c r="E319" t="s">
        <v>291</v>
      </c>
      <c r="F319" t="s">
        <v>331</v>
      </c>
      <c r="G319" t="s">
        <v>15</v>
      </c>
    </row>
    <row r="320" spans="1:8" x14ac:dyDescent="0.3">
      <c r="A320" t="s">
        <v>284</v>
      </c>
      <c r="B320" s="5">
        <v>41542</v>
      </c>
      <c r="C320" s="4">
        <v>6614.66</v>
      </c>
      <c r="D320" t="s">
        <v>305</v>
      </c>
      <c r="E320" t="s">
        <v>857</v>
      </c>
      <c r="F320" t="s">
        <v>858</v>
      </c>
      <c r="G320" t="s">
        <v>24</v>
      </c>
    </row>
    <row r="321" spans="1:8" x14ac:dyDescent="0.3">
      <c r="A321" t="s">
        <v>284</v>
      </c>
      <c r="B321" s="5">
        <v>41543</v>
      </c>
      <c r="C321">
        <v>225.04</v>
      </c>
      <c r="D321" t="s">
        <v>305</v>
      </c>
      <c r="E321" t="s">
        <v>358</v>
      </c>
      <c r="F321" t="s">
        <v>859</v>
      </c>
      <c r="G321" t="s">
        <v>22</v>
      </c>
    </row>
    <row r="322" spans="1:8" x14ac:dyDescent="0.3">
      <c r="A322" t="s">
        <v>284</v>
      </c>
      <c r="B322" s="5">
        <v>41543</v>
      </c>
      <c r="C322">
        <v>-183.85</v>
      </c>
      <c r="D322" t="s">
        <v>305</v>
      </c>
      <c r="E322" t="s">
        <v>355</v>
      </c>
      <c r="F322" t="s">
        <v>356</v>
      </c>
      <c r="G322" t="s">
        <v>357</v>
      </c>
    </row>
    <row r="323" spans="1:8" x14ac:dyDescent="0.3">
      <c r="A323" t="s">
        <v>284</v>
      </c>
      <c r="B323" s="5">
        <v>41547</v>
      </c>
      <c r="C323" s="4">
        <v>4194.58</v>
      </c>
      <c r="D323" t="s">
        <v>305</v>
      </c>
      <c r="E323" t="s">
        <v>738</v>
      </c>
      <c r="G323" t="s">
        <v>12</v>
      </c>
    </row>
    <row r="324" spans="1:8" x14ac:dyDescent="0.3">
      <c r="A324" t="s">
        <v>284</v>
      </c>
      <c r="B324" s="5">
        <v>41547</v>
      </c>
      <c r="C324" s="4">
        <v>6057.87</v>
      </c>
      <c r="D324" t="s">
        <v>305</v>
      </c>
      <c r="E324" t="s">
        <v>755</v>
      </c>
      <c r="F324" t="s">
        <v>860</v>
      </c>
      <c r="G324" t="s">
        <v>12</v>
      </c>
    </row>
    <row r="325" spans="1:8" x14ac:dyDescent="0.3">
      <c r="A325" t="s">
        <v>284</v>
      </c>
      <c r="B325" s="5">
        <v>41548</v>
      </c>
      <c r="C325" s="4">
        <v>-1976</v>
      </c>
      <c r="D325" t="s">
        <v>305</v>
      </c>
      <c r="E325" t="s">
        <v>315</v>
      </c>
      <c r="G325" t="s">
        <v>317</v>
      </c>
    </row>
    <row r="326" spans="1:8" x14ac:dyDescent="0.3">
      <c r="A326" t="s">
        <v>284</v>
      </c>
      <c r="B326" s="5">
        <v>41549</v>
      </c>
      <c r="C326" s="4">
        <v>-2048.5100000000002</v>
      </c>
      <c r="D326" t="s">
        <v>305</v>
      </c>
      <c r="E326" t="s">
        <v>319</v>
      </c>
      <c r="F326" t="s">
        <v>743</v>
      </c>
      <c r="G326" t="s">
        <v>318</v>
      </c>
    </row>
    <row r="327" spans="1:8" x14ac:dyDescent="0.3">
      <c r="A327" t="s">
        <v>284</v>
      </c>
      <c r="B327" s="5">
        <v>41549</v>
      </c>
      <c r="C327" s="4">
        <v>-3513.25</v>
      </c>
      <c r="D327" t="s">
        <v>305</v>
      </c>
      <c r="E327" t="s">
        <v>319</v>
      </c>
      <c r="F327" t="s">
        <v>744</v>
      </c>
      <c r="G327" t="s">
        <v>318</v>
      </c>
    </row>
    <row r="328" spans="1:8" x14ac:dyDescent="0.3">
      <c r="A328" t="s">
        <v>284</v>
      </c>
      <c r="B328" s="5">
        <v>41549</v>
      </c>
      <c r="C328" s="4">
        <v>-5528.29</v>
      </c>
      <c r="D328" t="s">
        <v>305</v>
      </c>
      <c r="E328" t="s">
        <v>322</v>
      </c>
      <c r="F328" t="s">
        <v>607</v>
      </c>
      <c r="G328" t="s">
        <v>13</v>
      </c>
    </row>
    <row r="329" spans="1:8" x14ac:dyDescent="0.3">
      <c r="A329" t="s">
        <v>284</v>
      </c>
      <c r="B329" s="5">
        <v>41549</v>
      </c>
      <c r="C329">
        <v>-80</v>
      </c>
      <c r="D329" t="s">
        <v>305</v>
      </c>
      <c r="E329" t="s">
        <v>608</v>
      </c>
      <c r="G329" t="s">
        <v>323</v>
      </c>
      <c r="H329">
        <v>2289</v>
      </c>
    </row>
    <row r="330" spans="1:8" x14ac:dyDescent="0.3">
      <c r="A330" t="s">
        <v>284</v>
      </c>
      <c r="B330" s="5">
        <v>41550</v>
      </c>
      <c r="C330">
        <v>-100</v>
      </c>
      <c r="D330" t="s">
        <v>305</v>
      </c>
      <c r="E330" t="s">
        <v>332</v>
      </c>
      <c r="F330" t="s">
        <v>861</v>
      </c>
      <c r="G330" t="s">
        <v>334</v>
      </c>
    </row>
    <row r="331" spans="1:8" x14ac:dyDescent="0.3">
      <c r="A331" t="s">
        <v>284</v>
      </c>
      <c r="B331" s="5">
        <v>41551</v>
      </c>
      <c r="C331">
        <v>-105</v>
      </c>
      <c r="D331" t="s">
        <v>305</v>
      </c>
      <c r="E331" t="s">
        <v>326</v>
      </c>
      <c r="G331" t="s">
        <v>327</v>
      </c>
    </row>
    <row r="332" spans="1:8" x14ac:dyDescent="0.3">
      <c r="A332" t="s">
        <v>284</v>
      </c>
      <c r="B332" s="5">
        <v>41551</v>
      </c>
      <c r="C332" s="4">
        <v>-3500</v>
      </c>
      <c r="D332" t="s">
        <v>305</v>
      </c>
      <c r="E332" t="s">
        <v>827</v>
      </c>
      <c r="F332" t="s">
        <v>862</v>
      </c>
      <c r="G332" t="s">
        <v>619</v>
      </c>
    </row>
    <row r="333" spans="1:8" x14ac:dyDescent="0.3">
      <c r="A333" t="s">
        <v>284</v>
      </c>
      <c r="B333" s="5">
        <v>41554</v>
      </c>
      <c r="C333">
        <v>217.26</v>
      </c>
      <c r="D333" t="s">
        <v>305</v>
      </c>
      <c r="E333" t="s">
        <v>765</v>
      </c>
      <c r="F333" t="s">
        <v>863</v>
      </c>
      <c r="G333" t="s">
        <v>616</v>
      </c>
    </row>
    <row r="334" spans="1:8" x14ac:dyDescent="0.3">
      <c r="A334" t="s">
        <v>284</v>
      </c>
      <c r="B334" s="5">
        <v>41554</v>
      </c>
      <c r="C334">
        <v>-105</v>
      </c>
      <c r="D334" t="s">
        <v>305</v>
      </c>
      <c r="E334" t="s">
        <v>326</v>
      </c>
      <c r="G334" t="s">
        <v>327</v>
      </c>
    </row>
    <row r="335" spans="1:8" x14ac:dyDescent="0.3">
      <c r="A335" t="s">
        <v>284</v>
      </c>
      <c r="B335" s="5">
        <v>41554</v>
      </c>
      <c r="C335" s="4">
        <v>-3574.88</v>
      </c>
      <c r="D335" t="s">
        <v>305</v>
      </c>
      <c r="E335" t="s">
        <v>345</v>
      </c>
      <c r="F335" t="s">
        <v>352</v>
      </c>
      <c r="G335" t="s">
        <v>321</v>
      </c>
    </row>
    <row r="336" spans="1:8" x14ac:dyDescent="0.3">
      <c r="A336" t="s">
        <v>284</v>
      </c>
      <c r="B336" s="5">
        <v>41556</v>
      </c>
      <c r="C336">
        <v>-103</v>
      </c>
      <c r="D336" t="s">
        <v>305</v>
      </c>
      <c r="E336" t="s">
        <v>785</v>
      </c>
      <c r="G336" t="s">
        <v>614</v>
      </c>
      <c r="H336">
        <v>2291</v>
      </c>
    </row>
    <row r="337" spans="1:9" x14ac:dyDescent="0.3">
      <c r="A337" t="s">
        <v>284</v>
      </c>
      <c r="B337" s="5">
        <v>41556</v>
      </c>
      <c r="C337">
        <v>-11</v>
      </c>
      <c r="D337" t="s">
        <v>305</v>
      </c>
      <c r="E337" t="s">
        <v>785</v>
      </c>
      <c r="G337" t="s">
        <v>346</v>
      </c>
      <c r="H337">
        <v>2292</v>
      </c>
    </row>
    <row r="338" spans="1:9" x14ac:dyDescent="0.3">
      <c r="A338" t="s">
        <v>284</v>
      </c>
      <c r="B338" s="5">
        <v>41557</v>
      </c>
      <c r="C338">
        <v>120.45</v>
      </c>
      <c r="D338" t="s">
        <v>305</v>
      </c>
      <c r="E338" t="s">
        <v>864</v>
      </c>
      <c r="F338" t="s">
        <v>865</v>
      </c>
      <c r="G338" t="s">
        <v>359</v>
      </c>
    </row>
    <row r="339" spans="1:9" x14ac:dyDescent="0.3">
      <c r="A339" t="s">
        <v>284</v>
      </c>
      <c r="B339" s="5">
        <v>41558</v>
      </c>
      <c r="C339">
        <v>141.86000000000001</v>
      </c>
      <c r="D339" t="s">
        <v>305</v>
      </c>
      <c r="E339" t="s">
        <v>866</v>
      </c>
      <c r="F339" t="s">
        <v>867</v>
      </c>
      <c r="G339" t="s">
        <v>16</v>
      </c>
    </row>
    <row r="340" spans="1:9" x14ac:dyDescent="0.3">
      <c r="A340" t="s">
        <v>284</v>
      </c>
      <c r="B340" s="5">
        <v>41558</v>
      </c>
      <c r="C340">
        <v>162</v>
      </c>
      <c r="D340" t="s">
        <v>305</v>
      </c>
      <c r="E340" t="s">
        <v>785</v>
      </c>
      <c r="F340" t="s">
        <v>868</v>
      </c>
      <c r="G340" t="s">
        <v>346</v>
      </c>
      <c r="I340" t="s">
        <v>272</v>
      </c>
    </row>
    <row r="341" spans="1:9" x14ac:dyDescent="0.3">
      <c r="A341" t="s">
        <v>284</v>
      </c>
      <c r="B341" s="5">
        <v>41558</v>
      </c>
      <c r="C341">
        <v>162.9</v>
      </c>
      <c r="D341" t="s">
        <v>305</v>
      </c>
      <c r="E341" t="s">
        <v>785</v>
      </c>
      <c r="G341" t="s">
        <v>614</v>
      </c>
      <c r="I341" t="s">
        <v>272</v>
      </c>
    </row>
    <row r="342" spans="1:9" x14ac:dyDescent="0.3">
      <c r="A342" t="s">
        <v>284</v>
      </c>
      <c r="B342" s="5">
        <v>41558</v>
      </c>
      <c r="C342">
        <v>-45.07</v>
      </c>
      <c r="D342" t="s">
        <v>305</v>
      </c>
      <c r="E342" t="s">
        <v>325</v>
      </c>
      <c r="F342" t="s">
        <v>869</v>
      </c>
      <c r="G342" t="s">
        <v>314</v>
      </c>
    </row>
    <row r="343" spans="1:9" x14ac:dyDescent="0.3">
      <c r="A343" t="s">
        <v>284</v>
      </c>
      <c r="B343" s="5">
        <v>41562</v>
      </c>
      <c r="C343">
        <v>25</v>
      </c>
      <c r="D343" t="s">
        <v>305</v>
      </c>
      <c r="E343" t="s">
        <v>870</v>
      </c>
      <c r="F343" t="s">
        <v>871</v>
      </c>
      <c r="G343" t="s">
        <v>360</v>
      </c>
    </row>
    <row r="344" spans="1:9" x14ac:dyDescent="0.3">
      <c r="A344" t="s">
        <v>284</v>
      </c>
      <c r="B344" s="5">
        <v>41562</v>
      </c>
      <c r="C344" s="4">
        <v>10111.469999999999</v>
      </c>
      <c r="D344" t="s">
        <v>305</v>
      </c>
      <c r="E344" t="s">
        <v>738</v>
      </c>
      <c r="F344" t="s">
        <v>313</v>
      </c>
      <c r="G344" t="s">
        <v>12</v>
      </c>
    </row>
    <row r="345" spans="1:9" x14ac:dyDescent="0.3">
      <c r="A345" t="s">
        <v>284</v>
      </c>
      <c r="B345" s="5">
        <v>41563</v>
      </c>
      <c r="C345">
        <v>0.25</v>
      </c>
      <c r="D345" t="s">
        <v>305</v>
      </c>
      <c r="E345" t="s">
        <v>872</v>
      </c>
      <c r="F345" t="s">
        <v>873</v>
      </c>
      <c r="G345" t="s">
        <v>27</v>
      </c>
    </row>
    <row r="346" spans="1:9" x14ac:dyDescent="0.3">
      <c r="A346" t="s">
        <v>284</v>
      </c>
      <c r="B346" s="5">
        <v>41563</v>
      </c>
      <c r="C346">
        <v>1</v>
      </c>
      <c r="D346" t="s">
        <v>305</v>
      </c>
      <c r="E346" t="s">
        <v>872</v>
      </c>
      <c r="F346" t="s">
        <v>873</v>
      </c>
      <c r="G346" t="s">
        <v>28</v>
      </c>
    </row>
    <row r="347" spans="1:9" x14ac:dyDescent="0.3">
      <c r="A347" t="s">
        <v>284</v>
      </c>
      <c r="B347" s="5">
        <v>41563</v>
      </c>
      <c r="C347" s="4">
        <v>5000</v>
      </c>
      <c r="D347" t="s">
        <v>305</v>
      </c>
      <c r="E347" t="s">
        <v>758</v>
      </c>
      <c r="F347" t="s">
        <v>874</v>
      </c>
      <c r="G347" t="s">
        <v>22</v>
      </c>
    </row>
    <row r="348" spans="1:9" x14ac:dyDescent="0.3">
      <c r="A348" t="s">
        <v>284</v>
      </c>
      <c r="B348" s="5">
        <v>41563</v>
      </c>
      <c r="C348">
        <v>-5.8</v>
      </c>
      <c r="D348" t="s">
        <v>305</v>
      </c>
      <c r="E348" t="s">
        <v>332</v>
      </c>
      <c r="F348" t="s">
        <v>875</v>
      </c>
      <c r="G348" t="s">
        <v>334</v>
      </c>
      <c r="I348" t="s">
        <v>272</v>
      </c>
    </row>
    <row r="349" spans="1:9" x14ac:dyDescent="0.3">
      <c r="A349" t="s">
        <v>284</v>
      </c>
      <c r="B349" s="5">
        <v>41563</v>
      </c>
      <c r="C349">
        <v>-25</v>
      </c>
      <c r="D349" t="s">
        <v>305</v>
      </c>
      <c r="E349" t="s">
        <v>332</v>
      </c>
      <c r="F349" t="s">
        <v>876</v>
      </c>
      <c r="G349" t="s">
        <v>621</v>
      </c>
      <c r="I349" t="s">
        <v>272</v>
      </c>
    </row>
    <row r="350" spans="1:9" x14ac:dyDescent="0.3">
      <c r="A350" t="s">
        <v>284</v>
      </c>
      <c r="B350" s="5">
        <v>41563</v>
      </c>
      <c r="C350">
        <v>-9.1999999999999993</v>
      </c>
      <c r="D350" t="s">
        <v>305</v>
      </c>
      <c r="E350" t="s">
        <v>332</v>
      </c>
      <c r="F350" t="s">
        <v>877</v>
      </c>
      <c r="G350" t="s">
        <v>361</v>
      </c>
      <c r="I350" t="s">
        <v>272</v>
      </c>
    </row>
    <row r="351" spans="1:9" x14ac:dyDescent="0.3">
      <c r="A351" t="s">
        <v>284</v>
      </c>
      <c r="B351" s="5">
        <v>41564</v>
      </c>
      <c r="C351" s="4">
        <v>1024.08</v>
      </c>
      <c r="D351" t="s">
        <v>305</v>
      </c>
      <c r="E351" t="s">
        <v>765</v>
      </c>
      <c r="F351" t="s">
        <v>878</v>
      </c>
      <c r="G351" t="s">
        <v>616</v>
      </c>
    </row>
    <row r="352" spans="1:9" x14ac:dyDescent="0.3">
      <c r="A352" t="s">
        <v>284</v>
      </c>
      <c r="B352" s="5">
        <v>41565</v>
      </c>
      <c r="C352" s="4">
        <v>15568.09</v>
      </c>
      <c r="D352" t="s">
        <v>305</v>
      </c>
      <c r="E352" t="s">
        <v>879</v>
      </c>
      <c r="F352" t="s">
        <v>880</v>
      </c>
      <c r="G352" t="s">
        <v>91</v>
      </c>
    </row>
    <row r="353" spans="1:7" x14ac:dyDescent="0.3">
      <c r="A353" t="s">
        <v>284</v>
      </c>
      <c r="B353" s="5">
        <v>41565</v>
      </c>
      <c r="C353">
        <v>-105</v>
      </c>
      <c r="D353" t="s">
        <v>305</v>
      </c>
      <c r="E353" t="s">
        <v>326</v>
      </c>
      <c r="F353" t="s">
        <v>354</v>
      </c>
      <c r="G353" t="s">
        <v>327</v>
      </c>
    </row>
    <row r="354" spans="1:7" x14ac:dyDescent="0.3">
      <c r="A354" t="s">
        <v>284</v>
      </c>
      <c r="B354" s="5">
        <v>41565</v>
      </c>
      <c r="C354">
        <v>-500</v>
      </c>
      <c r="D354" t="s">
        <v>305</v>
      </c>
      <c r="E354" t="s">
        <v>339</v>
      </c>
      <c r="F354" t="s">
        <v>340</v>
      </c>
      <c r="G354" t="s">
        <v>341</v>
      </c>
    </row>
    <row r="355" spans="1:7" x14ac:dyDescent="0.3">
      <c r="A355" t="s">
        <v>284</v>
      </c>
      <c r="B355" s="5">
        <v>41567</v>
      </c>
      <c r="C355">
        <v>186.15</v>
      </c>
      <c r="D355" t="s">
        <v>305</v>
      </c>
      <c r="E355" t="s">
        <v>785</v>
      </c>
      <c r="F355" t="s">
        <v>881</v>
      </c>
      <c r="G355" t="s">
        <v>616</v>
      </c>
    </row>
    <row r="356" spans="1:7" x14ac:dyDescent="0.3">
      <c r="A356" t="s">
        <v>284</v>
      </c>
      <c r="B356" s="5">
        <v>41568</v>
      </c>
      <c r="C356">
        <v>65</v>
      </c>
      <c r="D356" t="s">
        <v>305</v>
      </c>
      <c r="E356" t="s">
        <v>882</v>
      </c>
      <c r="F356" t="s">
        <v>855</v>
      </c>
      <c r="G356" t="s">
        <v>20</v>
      </c>
    </row>
    <row r="357" spans="1:7" x14ac:dyDescent="0.3">
      <c r="A357" t="s">
        <v>284</v>
      </c>
      <c r="B357" s="5">
        <v>41569</v>
      </c>
      <c r="C357" s="4">
        <v>1101.25</v>
      </c>
      <c r="D357" t="s">
        <v>305</v>
      </c>
      <c r="E357" t="s">
        <v>883</v>
      </c>
      <c r="F357" t="s">
        <v>362</v>
      </c>
      <c r="G357" t="s">
        <v>22</v>
      </c>
    </row>
    <row r="358" spans="1:7" x14ac:dyDescent="0.3">
      <c r="A358" t="s">
        <v>284</v>
      </c>
      <c r="B358" s="5">
        <v>41570</v>
      </c>
      <c r="C358">
        <v>-27.92</v>
      </c>
      <c r="D358" t="s">
        <v>305</v>
      </c>
      <c r="E358" t="s">
        <v>328</v>
      </c>
      <c r="F358" t="s">
        <v>329</v>
      </c>
      <c r="G358" t="s">
        <v>330</v>
      </c>
    </row>
    <row r="359" spans="1:7" x14ac:dyDescent="0.3">
      <c r="A359" t="s">
        <v>284</v>
      </c>
      <c r="B359" s="5">
        <v>41570</v>
      </c>
      <c r="C359">
        <v>-183.85</v>
      </c>
      <c r="D359" t="s">
        <v>305</v>
      </c>
      <c r="E359" t="s">
        <v>355</v>
      </c>
      <c r="F359" t="s">
        <v>356</v>
      </c>
      <c r="G359" t="s">
        <v>357</v>
      </c>
    </row>
    <row r="360" spans="1:7" x14ac:dyDescent="0.3">
      <c r="A360" t="s">
        <v>284</v>
      </c>
      <c r="B360" s="5">
        <v>41570</v>
      </c>
      <c r="C360" s="4">
        <v>-1778.33</v>
      </c>
      <c r="D360" t="s">
        <v>305</v>
      </c>
      <c r="E360" t="s">
        <v>291</v>
      </c>
      <c r="F360" t="s">
        <v>331</v>
      </c>
      <c r="G360" t="s">
        <v>15</v>
      </c>
    </row>
    <row r="361" spans="1:7" x14ac:dyDescent="0.3">
      <c r="A361" t="s">
        <v>284</v>
      </c>
      <c r="B361" s="5">
        <v>41572</v>
      </c>
      <c r="C361" s="4">
        <v>-16273</v>
      </c>
      <c r="D361" t="s">
        <v>305</v>
      </c>
      <c r="E361" t="s">
        <v>884</v>
      </c>
      <c r="F361" t="s">
        <v>885</v>
      </c>
      <c r="G361" t="s">
        <v>617</v>
      </c>
    </row>
    <row r="362" spans="1:7" x14ac:dyDescent="0.3">
      <c r="A362" t="s">
        <v>284</v>
      </c>
      <c r="B362" s="5">
        <v>41574</v>
      </c>
      <c r="C362">
        <v>0.28999999999999998</v>
      </c>
      <c r="D362" t="s">
        <v>305</v>
      </c>
      <c r="E362" t="s">
        <v>886</v>
      </c>
      <c r="F362" t="s">
        <v>887</v>
      </c>
      <c r="G362" t="s">
        <v>30</v>
      </c>
    </row>
    <row r="363" spans="1:7" x14ac:dyDescent="0.3">
      <c r="A363" t="s">
        <v>284</v>
      </c>
      <c r="B363" s="5">
        <v>41577</v>
      </c>
      <c r="C363" s="4">
        <v>6057.87</v>
      </c>
      <c r="D363" t="s">
        <v>305</v>
      </c>
      <c r="E363" t="s">
        <v>755</v>
      </c>
      <c r="F363" t="s">
        <v>363</v>
      </c>
      <c r="G363" t="s">
        <v>12</v>
      </c>
    </row>
    <row r="364" spans="1:7" x14ac:dyDescent="0.3">
      <c r="A364" t="s">
        <v>284</v>
      </c>
      <c r="B364" s="5">
        <v>41577</v>
      </c>
      <c r="C364" s="4">
        <v>5372.73</v>
      </c>
      <c r="D364" t="s">
        <v>305</v>
      </c>
      <c r="E364" t="s">
        <v>738</v>
      </c>
      <c r="F364" t="s">
        <v>313</v>
      </c>
      <c r="G364" t="s">
        <v>12</v>
      </c>
    </row>
    <row r="365" spans="1:7" x14ac:dyDescent="0.3">
      <c r="A365" t="s">
        <v>284</v>
      </c>
      <c r="B365" s="5">
        <v>41577</v>
      </c>
      <c r="C365">
        <v>-223.23</v>
      </c>
      <c r="D365" t="s">
        <v>305</v>
      </c>
      <c r="E365" t="s">
        <v>603</v>
      </c>
      <c r="F365" t="s">
        <v>888</v>
      </c>
      <c r="G365" t="s">
        <v>314</v>
      </c>
    </row>
    <row r="366" spans="1:7" x14ac:dyDescent="0.3">
      <c r="A366" t="s">
        <v>284</v>
      </c>
      <c r="B366" s="5">
        <v>41579</v>
      </c>
      <c r="C366">
        <v>112.5</v>
      </c>
      <c r="D366" t="s">
        <v>305</v>
      </c>
      <c r="E366" t="s">
        <v>364</v>
      </c>
      <c r="F366" t="s">
        <v>607</v>
      </c>
      <c r="G366" t="s">
        <v>22</v>
      </c>
    </row>
    <row r="367" spans="1:7" x14ac:dyDescent="0.3">
      <c r="A367" t="s">
        <v>284</v>
      </c>
      <c r="B367" s="5">
        <v>41579</v>
      </c>
      <c r="C367" s="4">
        <v>-1976</v>
      </c>
      <c r="D367" t="s">
        <v>305</v>
      </c>
      <c r="E367" t="s">
        <v>315</v>
      </c>
      <c r="F367" t="s">
        <v>316</v>
      </c>
      <c r="G367" t="s">
        <v>317</v>
      </c>
    </row>
    <row r="368" spans="1:7" x14ac:dyDescent="0.3">
      <c r="A368" t="s">
        <v>284</v>
      </c>
      <c r="B368" s="5">
        <v>41582</v>
      </c>
      <c r="C368" s="4">
        <v>-2048.5100000000002</v>
      </c>
      <c r="D368" t="s">
        <v>305</v>
      </c>
      <c r="E368" t="s">
        <v>319</v>
      </c>
      <c r="F368" t="s">
        <v>743</v>
      </c>
      <c r="G368" t="s">
        <v>318</v>
      </c>
    </row>
    <row r="369" spans="1:8" x14ac:dyDescent="0.3">
      <c r="A369" t="s">
        <v>284</v>
      </c>
      <c r="B369" s="5">
        <v>41582</v>
      </c>
      <c r="C369" s="4">
        <v>-2473.36</v>
      </c>
      <c r="D369" t="s">
        <v>305</v>
      </c>
      <c r="E369" t="s">
        <v>322</v>
      </c>
      <c r="F369" t="s">
        <v>607</v>
      </c>
      <c r="G369" t="s">
        <v>13</v>
      </c>
    </row>
    <row r="370" spans="1:8" x14ac:dyDescent="0.3">
      <c r="A370" t="s">
        <v>284</v>
      </c>
      <c r="B370" s="5">
        <v>41582</v>
      </c>
      <c r="C370" s="4">
        <v>-3513.25</v>
      </c>
      <c r="D370" t="s">
        <v>305</v>
      </c>
      <c r="E370" t="s">
        <v>319</v>
      </c>
      <c r="F370" t="s">
        <v>889</v>
      </c>
      <c r="G370" t="s">
        <v>318</v>
      </c>
    </row>
    <row r="371" spans="1:8" x14ac:dyDescent="0.3">
      <c r="A371" t="s">
        <v>284</v>
      </c>
      <c r="B371" s="5">
        <v>41583</v>
      </c>
      <c r="C371">
        <v>0.12</v>
      </c>
      <c r="D371" t="s">
        <v>305</v>
      </c>
      <c r="E371" t="s">
        <v>803</v>
      </c>
      <c r="F371" t="s">
        <v>607</v>
      </c>
      <c r="G371" t="s">
        <v>22</v>
      </c>
    </row>
    <row r="372" spans="1:8" x14ac:dyDescent="0.3">
      <c r="A372" t="s">
        <v>284</v>
      </c>
      <c r="B372" s="5">
        <v>41583</v>
      </c>
      <c r="C372">
        <v>-500</v>
      </c>
      <c r="D372" t="s">
        <v>305</v>
      </c>
      <c r="E372" t="s">
        <v>339</v>
      </c>
      <c r="F372" t="s">
        <v>607</v>
      </c>
      <c r="G372" t="s">
        <v>341</v>
      </c>
    </row>
    <row r="373" spans="1:8" x14ac:dyDescent="0.3">
      <c r="A373" t="s">
        <v>284</v>
      </c>
      <c r="B373" s="5">
        <v>41583</v>
      </c>
      <c r="C373" s="4">
        <v>-3574.88</v>
      </c>
      <c r="D373" t="s">
        <v>305</v>
      </c>
      <c r="E373" t="s">
        <v>345</v>
      </c>
      <c r="F373" t="s">
        <v>607</v>
      </c>
      <c r="G373" t="s">
        <v>321</v>
      </c>
    </row>
    <row r="374" spans="1:8" x14ac:dyDescent="0.3">
      <c r="A374" t="s">
        <v>284</v>
      </c>
      <c r="B374" s="5">
        <v>41586</v>
      </c>
      <c r="C374">
        <v>-24.94</v>
      </c>
      <c r="D374" t="s">
        <v>305</v>
      </c>
      <c r="E374" t="s">
        <v>300</v>
      </c>
      <c r="F374" t="s">
        <v>607</v>
      </c>
      <c r="G374" t="s">
        <v>23</v>
      </c>
    </row>
    <row r="375" spans="1:8" x14ac:dyDescent="0.3">
      <c r="A375" t="s">
        <v>284</v>
      </c>
      <c r="B375" s="5">
        <v>41589</v>
      </c>
      <c r="C375">
        <v>344.23</v>
      </c>
      <c r="D375" t="s">
        <v>305</v>
      </c>
      <c r="E375" t="s">
        <v>622</v>
      </c>
      <c r="F375" t="s">
        <v>890</v>
      </c>
      <c r="G375" t="s">
        <v>22</v>
      </c>
    </row>
    <row r="376" spans="1:8" x14ac:dyDescent="0.3">
      <c r="A376" t="s">
        <v>284</v>
      </c>
      <c r="B376" s="5">
        <v>41590</v>
      </c>
      <c r="C376">
        <v>-76.05</v>
      </c>
      <c r="D376" t="s">
        <v>305</v>
      </c>
      <c r="E376" t="s">
        <v>325</v>
      </c>
      <c r="F376" t="s">
        <v>607</v>
      </c>
      <c r="G376" t="s">
        <v>314</v>
      </c>
    </row>
    <row r="377" spans="1:8" x14ac:dyDescent="0.3">
      <c r="A377" t="s">
        <v>284</v>
      </c>
      <c r="B377" s="5">
        <v>41590</v>
      </c>
      <c r="C377">
        <v>-99.17</v>
      </c>
      <c r="D377" t="s">
        <v>305</v>
      </c>
      <c r="E377" t="s">
        <v>324</v>
      </c>
      <c r="F377" t="s">
        <v>607</v>
      </c>
      <c r="G377" t="s">
        <v>314</v>
      </c>
    </row>
    <row r="378" spans="1:8" x14ac:dyDescent="0.3">
      <c r="A378" t="s">
        <v>284</v>
      </c>
      <c r="B378" s="5">
        <v>41592</v>
      </c>
      <c r="C378">
        <v>208.82</v>
      </c>
      <c r="D378" t="s">
        <v>305</v>
      </c>
      <c r="E378" t="s">
        <v>891</v>
      </c>
      <c r="F378" t="s">
        <v>892</v>
      </c>
      <c r="G378" t="s">
        <v>623</v>
      </c>
    </row>
    <row r="379" spans="1:8" x14ac:dyDescent="0.3">
      <c r="A379" t="s">
        <v>284</v>
      </c>
      <c r="B379" s="5">
        <v>41592</v>
      </c>
      <c r="C379" s="4">
        <v>5415.3</v>
      </c>
      <c r="D379" t="s">
        <v>305</v>
      </c>
      <c r="E379" t="s">
        <v>365</v>
      </c>
      <c r="F379" t="s">
        <v>607</v>
      </c>
      <c r="G379" t="s">
        <v>12</v>
      </c>
    </row>
    <row r="380" spans="1:8" x14ac:dyDescent="0.3">
      <c r="A380" t="s">
        <v>284</v>
      </c>
      <c r="B380" s="5">
        <v>41593</v>
      </c>
      <c r="C380">
        <v>-105</v>
      </c>
      <c r="D380" t="s">
        <v>305</v>
      </c>
      <c r="E380" t="s">
        <v>326</v>
      </c>
      <c r="F380" t="s">
        <v>607</v>
      </c>
      <c r="G380" t="s">
        <v>327</v>
      </c>
    </row>
    <row r="381" spans="1:8" x14ac:dyDescent="0.3">
      <c r="A381" t="s">
        <v>284</v>
      </c>
      <c r="B381" s="5">
        <v>41593</v>
      </c>
      <c r="C381">
        <v>-65</v>
      </c>
      <c r="D381" t="s">
        <v>305</v>
      </c>
      <c r="E381" t="s">
        <v>351</v>
      </c>
      <c r="F381" t="s">
        <v>607</v>
      </c>
      <c r="G381" t="s">
        <v>323</v>
      </c>
      <c r="H381">
        <v>2294</v>
      </c>
    </row>
    <row r="382" spans="1:8" x14ac:dyDescent="0.3">
      <c r="A382" t="s">
        <v>284</v>
      </c>
      <c r="B382" s="5">
        <v>41596</v>
      </c>
      <c r="C382">
        <v>108.7</v>
      </c>
      <c r="D382" t="s">
        <v>305</v>
      </c>
      <c r="E382" t="s">
        <v>803</v>
      </c>
      <c r="F382" t="s">
        <v>607</v>
      </c>
      <c r="G382" t="s">
        <v>22</v>
      </c>
    </row>
    <row r="383" spans="1:8" x14ac:dyDescent="0.3">
      <c r="A383" t="s">
        <v>284</v>
      </c>
      <c r="B383" s="5">
        <v>41597</v>
      </c>
      <c r="C383">
        <v>-30</v>
      </c>
      <c r="D383" t="s">
        <v>305</v>
      </c>
      <c r="E383" t="s">
        <v>893</v>
      </c>
      <c r="F383" t="s">
        <v>894</v>
      </c>
      <c r="G383" t="s">
        <v>621</v>
      </c>
      <c r="H383">
        <v>2296</v>
      </c>
    </row>
    <row r="384" spans="1:8" x14ac:dyDescent="0.3">
      <c r="A384" t="s">
        <v>284</v>
      </c>
      <c r="B384" s="5">
        <v>41598</v>
      </c>
      <c r="C384">
        <v>899.58</v>
      </c>
      <c r="D384" t="s">
        <v>305</v>
      </c>
      <c r="E384" t="s">
        <v>347</v>
      </c>
      <c r="F384" t="s">
        <v>895</v>
      </c>
      <c r="G384" t="s">
        <v>616</v>
      </c>
    </row>
    <row r="385" spans="1:8" x14ac:dyDescent="0.3">
      <c r="A385" t="s">
        <v>284</v>
      </c>
      <c r="B385" s="5">
        <v>41598</v>
      </c>
      <c r="C385">
        <v>-60</v>
      </c>
      <c r="D385" t="s">
        <v>305</v>
      </c>
      <c r="E385" t="s">
        <v>896</v>
      </c>
      <c r="F385" t="s">
        <v>897</v>
      </c>
      <c r="G385" t="s">
        <v>334</v>
      </c>
    </row>
    <row r="386" spans="1:8" x14ac:dyDescent="0.3">
      <c r="A386" t="s">
        <v>284</v>
      </c>
      <c r="B386" s="5">
        <v>41599</v>
      </c>
      <c r="C386">
        <v>-105</v>
      </c>
      <c r="D386" t="s">
        <v>305</v>
      </c>
      <c r="E386" t="s">
        <v>326</v>
      </c>
      <c r="G386" t="s">
        <v>327</v>
      </c>
    </row>
    <row r="387" spans="1:8" x14ac:dyDescent="0.3">
      <c r="A387" t="s">
        <v>284</v>
      </c>
      <c r="B387" s="5">
        <v>41599</v>
      </c>
      <c r="C387">
        <v>-183.85</v>
      </c>
      <c r="D387" t="s">
        <v>305</v>
      </c>
      <c r="E387" t="s">
        <v>355</v>
      </c>
      <c r="G387" t="s">
        <v>357</v>
      </c>
    </row>
    <row r="388" spans="1:8" x14ac:dyDescent="0.3">
      <c r="A388" t="s">
        <v>284</v>
      </c>
      <c r="B388" s="5">
        <v>41600</v>
      </c>
      <c r="C388">
        <v>941.82</v>
      </c>
      <c r="D388" t="s">
        <v>305</v>
      </c>
      <c r="E388" t="s">
        <v>891</v>
      </c>
      <c r="F388" t="s">
        <v>898</v>
      </c>
      <c r="G388" t="s">
        <v>616</v>
      </c>
    </row>
    <row r="389" spans="1:8" x14ac:dyDescent="0.3">
      <c r="A389" t="s">
        <v>284</v>
      </c>
      <c r="B389" s="5">
        <v>41600</v>
      </c>
      <c r="C389">
        <v>-27.92</v>
      </c>
      <c r="D389" t="s">
        <v>305</v>
      </c>
      <c r="E389" t="s">
        <v>328</v>
      </c>
      <c r="F389" t="s">
        <v>329</v>
      </c>
      <c r="G389" t="s">
        <v>330</v>
      </c>
    </row>
    <row r="390" spans="1:8" x14ac:dyDescent="0.3">
      <c r="A390" t="s">
        <v>284</v>
      </c>
      <c r="B390" s="5">
        <v>41601</v>
      </c>
      <c r="C390">
        <v>-17.98</v>
      </c>
      <c r="D390" t="s">
        <v>305</v>
      </c>
      <c r="E390" t="s">
        <v>366</v>
      </c>
      <c r="F390" t="s">
        <v>331</v>
      </c>
      <c r="G390" t="s">
        <v>15</v>
      </c>
    </row>
    <row r="391" spans="1:8" x14ac:dyDescent="0.3">
      <c r="A391" t="s">
        <v>284</v>
      </c>
      <c r="B391" s="5">
        <v>41604</v>
      </c>
      <c r="C391" s="4">
        <v>6057.87</v>
      </c>
      <c r="D391" t="s">
        <v>305</v>
      </c>
      <c r="E391" t="s">
        <v>367</v>
      </c>
      <c r="F391" t="s">
        <v>363</v>
      </c>
      <c r="G391" t="s">
        <v>12</v>
      </c>
    </row>
    <row r="392" spans="1:8" x14ac:dyDescent="0.3">
      <c r="A392" t="s">
        <v>284</v>
      </c>
      <c r="B392" s="5">
        <v>41605</v>
      </c>
      <c r="C392">
        <v>-68</v>
      </c>
      <c r="D392" t="s">
        <v>305</v>
      </c>
      <c r="E392" t="s">
        <v>608</v>
      </c>
      <c r="F392" t="s">
        <v>335</v>
      </c>
      <c r="G392" t="s">
        <v>323</v>
      </c>
      <c r="H392">
        <v>2297</v>
      </c>
    </row>
    <row r="393" spans="1:8" x14ac:dyDescent="0.3">
      <c r="A393" t="s">
        <v>284</v>
      </c>
      <c r="B393" s="5">
        <v>41606</v>
      </c>
      <c r="C393" s="4">
        <v>5302.08</v>
      </c>
      <c r="D393" t="s">
        <v>305</v>
      </c>
      <c r="E393" t="s">
        <v>365</v>
      </c>
      <c r="F393" t="s">
        <v>899</v>
      </c>
      <c r="G393" t="s">
        <v>12</v>
      </c>
    </row>
    <row r="394" spans="1:8" x14ac:dyDescent="0.3">
      <c r="A394" t="s">
        <v>284</v>
      </c>
      <c r="B394" s="5">
        <v>41610</v>
      </c>
      <c r="C394">
        <v>112.5</v>
      </c>
      <c r="D394" t="s">
        <v>305</v>
      </c>
      <c r="E394" t="s">
        <v>364</v>
      </c>
      <c r="F394" t="s">
        <v>900</v>
      </c>
      <c r="G394" t="s">
        <v>22</v>
      </c>
    </row>
    <row r="395" spans="1:8" x14ac:dyDescent="0.3">
      <c r="A395" t="s">
        <v>284</v>
      </c>
      <c r="B395" s="5">
        <v>41610</v>
      </c>
      <c r="C395">
        <v>-105</v>
      </c>
      <c r="D395" t="s">
        <v>305</v>
      </c>
      <c r="E395" t="s">
        <v>326</v>
      </c>
      <c r="F395" t="s">
        <v>354</v>
      </c>
      <c r="G395" t="s">
        <v>327</v>
      </c>
    </row>
    <row r="396" spans="1:8" x14ac:dyDescent="0.3">
      <c r="A396" t="s">
        <v>284</v>
      </c>
      <c r="B396" s="5">
        <v>41610</v>
      </c>
      <c r="C396">
        <v>-585.83000000000004</v>
      </c>
      <c r="D396" t="s">
        <v>305</v>
      </c>
      <c r="E396" t="s">
        <v>827</v>
      </c>
      <c r="F396" t="s">
        <v>901</v>
      </c>
      <c r="G396" t="s">
        <v>619</v>
      </c>
    </row>
    <row r="397" spans="1:8" x14ac:dyDescent="0.3">
      <c r="A397" t="s">
        <v>284</v>
      </c>
      <c r="B397" s="5">
        <v>41610</v>
      </c>
      <c r="C397" s="4">
        <v>-1976</v>
      </c>
      <c r="D397" t="s">
        <v>305</v>
      </c>
      <c r="E397" t="s">
        <v>315</v>
      </c>
      <c r="F397" t="s">
        <v>316</v>
      </c>
      <c r="G397" t="s">
        <v>317</v>
      </c>
    </row>
    <row r="398" spans="1:8" x14ac:dyDescent="0.3">
      <c r="A398" t="s">
        <v>284</v>
      </c>
      <c r="B398" s="5">
        <v>41610</v>
      </c>
      <c r="C398" s="4">
        <v>-2048.5100000000002</v>
      </c>
      <c r="D398" t="s">
        <v>305</v>
      </c>
      <c r="E398" t="s">
        <v>319</v>
      </c>
      <c r="F398" t="s">
        <v>743</v>
      </c>
      <c r="G398" t="s">
        <v>318</v>
      </c>
    </row>
    <row r="399" spans="1:8" x14ac:dyDescent="0.3">
      <c r="A399" t="s">
        <v>284</v>
      </c>
      <c r="B399" s="5">
        <v>41610</v>
      </c>
      <c r="C399" s="4">
        <v>-3513.25</v>
      </c>
      <c r="D399" t="s">
        <v>305</v>
      </c>
      <c r="E399" t="s">
        <v>319</v>
      </c>
      <c r="F399" t="s">
        <v>744</v>
      </c>
      <c r="G399" t="s">
        <v>318</v>
      </c>
    </row>
    <row r="400" spans="1:8" x14ac:dyDescent="0.3">
      <c r="A400" t="s">
        <v>284</v>
      </c>
      <c r="B400" s="5">
        <v>41611</v>
      </c>
      <c r="C400">
        <v>-500</v>
      </c>
      <c r="D400" t="s">
        <v>305</v>
      </c>
      <c r="E400" t="s">
        <v>368</v>
      </c>
      <c r="F400" t="s">
        <v>340</v>
      </c>
      <c r="G400" t="s">
        <v>341</v>
      </c>
    </row>
    <row r="401" spans="1:8" x14ac:dyDescent="0.3">
      <c r="A401" t="s">
        <v>284</v>
      </c>
      <c r="B401" s="5">
        <v>41611</v>
      </c>
      <c r="C401" s="4">
        <v>-4026.67</v>
      </c>
      <c r="D401" t="s">
        <v>305</v>
      </c>
      <c r="E401" t="s">
        <v>322</v>
      </c>
      <c r="F401" t="s">
        <v>369</v>
      </c>
      <c r="G401" t="s">
        <v>13</v>
      </c>
    </row>
    <row r="402" spans="1:8" x14ac:dyDescent="0.3">
      <c r="A402" t="s">
        <v>284</v>
      </c>
      <c r="B402" s="5">
        <v>41613</v>
      </c>
      <c r="C402">
        <v>0.01</v>
      </c>
      <c r="D402" t="s">
        <v>305</v>
      </c>
      <c r="E402" t="s">
        <v>883</v>
      </c>
      <c r="F402" t="s">
        <v>362</v>
      </c>
      <c r="G402" t="s">
        <v>22</v>
      </c>
    </row>
    <row r="403" spans="1:8" x14ac:dyDescent="0.3">
      <c r="A403" t="s">
        <v>284</v>
      </c>
      <c r="B403" s="5">
        <v>41613</v>
      </c>
      <c r="C403" s="4">
        <v>-3574.88</v>
      </c>
      <c r="D403" t="s">
        <v>305</v>
      </c>
      <c r="E403" t="s">
        <v>345</v>
      </c>
      <c r="F403" t="s">
        <v>902</v>
      </c>
      <c r="G403" t="s">
        <v>321</v>
      </c>
    </row>
    <row r="404" spans="1:8" x14ac:dyDescent="0.3">
      <c r="A404" t="s">
        <v>284</v>
      </c>
      <c r="B404" s="5">
        <v>41614</v>
      </c>
      <c r="C404">
        <v>-44.44</v>
      </c>
      <c r="D404" t="s">
        <v>305</v>
      </c>
      <c r="E404" t="s">
        <v>370</v>
      </c>
      <c r="G404" t="s">
        <v>23</v>
      </c>
    </row>
    <row r="405" spans="1:8" x14ac:dyDescent="0.3">
      <c r="A405" t="s">
        <v>284</v>
      </c>
      <c r="B405" s="5">
        <v>41617</v>
      </c>
      <c r="C405">
        <v>8.75</v>
      </c>
      <c r="D405" t="s">
        <v>305</v>
      </c>
      <c r="E405" t="s">
        <v>903</v>
      </c>
      <c r="F405" t="s">
        <v>904</v>
      </c>
      <c r="G405" t="s">
        <v>18</v>
      </c>
    </row>
    <row r="406" spans="1:8" x14ac:dyDescent="0.3">
      <c r="A406" t="s">
        <v>284</v>
      </c>
      <c r="B406" s="5">
        <v>41617</v>
      </c>
      <c r="C406">
        <v>-103.97</v>
      </c>
      <c r="D406" t="s">
        <v>305</v>
      </c>
      <c r="E406" t="s">
        <v>325</v>
      </c>
      <c r="F406" t="s">
        <v>905</v>
      </c>
      <c r="G406" t="s">
        <v>314</v>
      </c>
    </row>
    <row r="407" spans="1:8" x14ac:dyDescent="0.3">
      <c r="A407" t="s">
        <v>284</v>
      </c>
      <c r="B407" s="5">
        <v>41620</v>
      </c>
      <c r="C407">
        <v>364.09</v>
      </c>
      <c r="D407" t="s">
        <v>305</v>
      </c>
      <c r="E407" t="s">
        <v>906</v>
      </c>
      <c r="F407" t="s">
        <v>907</v>
      </c>
      <c r="G407" t="s">
        <v>359</v>
      </c>
    </row>
    <row r="408" spans="1:8" x14ac:dyDescent="0.3">
      <c r="A408" t="s">
        <v>284</v>
      </c>
      <c r="B408" s="5">
        <v>41620</v>
      </c>
      <c r="C408" s="4">
        <v>5415.3</v>
      </c>
      <c r="D408" t="s">
        <v>305</v>
      </c>
      <c r="E408" t="s">
        <v>365</v>
      </c>
      <c r="F408" t="s">
        <v>313</v>
      </c>
      <c r="G408" t="s">
        <v>12</v>
      </c>
    </row>
    <row r="409" spans="1:8" x14ac:dyDescent="0.3">
      <c r="A409" t="s">
        <v>284</v>
      </c>
      <c r="B409" s="5">
        <v>41621</v>
      </c>
      <c r="C409">
        <v>-105</v>
      </c>
      <c r="D409" t="s">
        <v>305</v>
      </c>
      <c r="E409" t="s">
        <v>326</v>
      </c>
      <c r="F409" t="s">
        <v>354</v>
      </c>
      <c r="G409" t="s">
        <v>327</v>
      </c>
    </row>
    <row r="410" spans="1:8" x14ac:dyDescent="0.3">
      <c r="A410" t="s">
        <v>284</v>
      </c>
      <c r="B410" s="5">
        <v>41625</v>
      </c>
      <c r="C410">
        <v>112.5</v>
      </c>
      <c r="D410" t="s">
        <v>305</v>
      </c>
      <c r="E410" t="s">
        <v>364</v>
      </c>
      <c r="F410" t="s">
        <v>900</v>
      </c>
    </row>
    <row r="411" spans="1:8" x14ac:dyDescent="0.3">
      <c r="A411" t="s">
        <v>284</v>
      </c>
      <c r="B411" s="5">
        <v>41626</v>
      </c>
      <c r="C411">
        <v>16.11</v>
      </c>
      <c r="D411" t="s">
        <v>305</v>
      </c>
      <c r="E411" t="s">
        <v>903</v>
      </c>
      <c r="F411" t="s">
        <v>908</v>
      </c>
      <c r="G411" t="s">
        <v>371</v>
      </c>
    </row>
    <row r="412" spans="1:8" x14ac:dyDescent="0.3">
      <c r="A412" t="s">
        <v>284</v>
      </c>
      <c r="B412" s="5">
        <v>41626</v>
      </c>
      <c r="C412">
        <v>39.35</v>
      </c>
      <c r="D412" t="s">
        <v>305</v>
      </c>
      <c r="E412" t="s">
        <v>903</v>
      </c>
      <c r="F412" t="s">
        <v>909</v>
      </c>
      <c r="G412" t="s">
        <v>371</v>
      </c>
    </row>
    <row r="413" spans="1:8" x14ac:dyDescent="0.3">
      <c r="A413" t="s">
        <v>284</v>
      </c>
      <c r="B413" s="5">
        <v>41630</v>
      </c>
      <c r="C413">
        <v>449.18</v>
      </c>
      <c r="D413" t="s">
        <v>305</v>
      </c>
      <c r="E413" t="s">
        <v>347</v>
      </c>
      <c r="F413" t="s">
        <v>910</v>
      </c>
      <c r="G413" t="s">
        <v>22</v>
      </c>
    </row>
    <row r="414" spans="1:8" x14ac:dyDescent="0.3">
      <c r="A414" t="s">
        <v>284</v>
      </c>
      <c r="B414" s="5">
        <v>41631</v>
      </c>
      <c r="C414">
        <v>-183.85</v>
      </c>
      <c r="D414" t="s">
        <v>305</v>
      </c>
      <c r="E414" t="s">
        <v>911</v>
      </c>
      <c r="F414" t="s">
        <v>356</v>
      </c>
      <c r="G414" t="s">
        <v>357</v>
      </c>
    </row>
    <row r="415" spans="1:8" x14ac:dyDescent="0.3">
      <c r="A415" t="s">
        <v>284</v>
      </c>
      <c r="B415" s="5">
        <v>41631</v>
      </c>
      <c r="C415">
        <v>-250.85</v>
      </c>
      <c r="D415" t="s">
        <v>305</v>
      </c>
      <c r="E415" t="s">
        <v>372</v>
      </c>
      <c r="F415" t="s">
        <v>912</v>
      </c>
      <c r="G415" t="s">
        <v>23</v>
      </c>
    </row>
    <row r="416" spans="1:8" x14ac:dyDescent="0.3">
      <c r="A416" t="s">
        <v>284</v>
      </c>
      <c r="B416" s="5">
        <v>41631</v>
      </c>
      <c r="C416">
        <v>-50</v>
      </c>
      <c r="D416" t="s">
        <v>305</v>
      </c>
      <c r="E416" t="s">
        <v>913</v>
      </c>
      <c r="F416" t="s">
        <v>914</v>
      </c>
      <c r="G416" t="s">
        <v>20</v>
      </c>
      <c r="H416">
        <v>2290</v>
      </c>
    </row>
    <row r="417" spans="1:7" x14ac:dyDescent="0.3">
      <c r="A417" t="s">
        <v>284</v>
      </c>
      <c r="B417" s="5">
        <v>41632</v>
      </c>
      <c r="C417">
        <v>-27.92</v>
      </c>
      <c r="D417" t="s">
        <v>305</v>
      </c>
      <c r="E417" t="s">
        <v>328</v>
      </c>
      <c r="F417" t="s">
        <v>329</v>
      </c>
      <c r="G417" t="s">
        <v>330</v>
      </c>
    </row>
    <row r="418" spans="1:7" x14ac:dyDescent="0.3">
      <c r="A418" t="s">
        <v>284</v>
      </c>
      <c r="B418" s="5">
        <v>41632</v>
      </c>
      <c r="C418">
        <v>-547.20000000000005</v>
      </c>
      <c r="D418" t="s">
        <v>305</v>
      </c>
      <c r="E418" t="s">
        <v>291</v>
      </c>
      <c r="F418" t="s">
        <v>331</v>
      </c>
      <c r="G418" t="s">
        <v>15</v>
      </c>
    </row>
    <row r="419" spans="1:7" x14ac:dyDescent="0.3">
      <c r="A419" t="s">
        <v>284</v>
      </c>
      <c r="B419" s="5">
        <v>41634</v>
      </c>
      <c r="C419">
        <v>161.1</v>
      </c>
      <c r="D419" t="s">
        <v>305</v>
      </c>
      <c r="E419" t="s">
        <v>903</v>
      </c>
      <c r="F419" t="s">
        <v>915</v>
      </c>
      <c r="G419" t="s">
        <v>22</v>
      </c>
    </row>
    <row r="420" spans="1:7" x14ac:dyDescent="0.3">
      <c r="A420" t="s">
        <v>284</v>
      </c>
      <c r="B420" s="5">
        <v>41638</v>
      </c>
      <c r="C420" s="4">
        <v>5286.54</v>
      </c>
      <c r="D420" t="s">
        <v>305</v>
      </c>
      <c r="E420" t="s">
        <v>365</v>
      </c>
      <c r="F420" t="s">
        <v>313</v>
      </c>
      <c r="G420" t="s">
        <v>12</v>
      </c>
    </row>
    <row r="421" spans="1:7" x14ac:dyDescent="0.3">
      <c r="A421" t="s">
        <v>284</v>
      </c>
      <c r="B421" s="5">
        <v>41638</v>
      </c>
      <c r="C421" s="4">
        <v>6572.57</v>
      </c>
      <c r="D421" t="s">
        <v>305</v>
      </c>
      <c r="E421" t="s">
        <v>367</v>
      </c>
      <c r="F421" t="s">
        <v>363</v>
      </c>
      <c r="G421" t="s">
        <v>12</v>
      </c>
    </row>
    <row r="422" spans="1:7" x14ac:dyDescent="0.3">
      <c r="A422" t="s">
        <v>284</v>
      </c>
      <c r="B422" s="5">
        <v>41638</v>
      </c>
      <c r="C422">
        <v>-254.2</v>
      </c>
      <c r="D422" t="s">
        <v>305</v>
      </c>
      <c r="E422" t="s">
        <v>916</v>
      </c>
      <c r="F422" t="s">
        <v>601</v>
      </c>
      <c r="G422" t="s">
        <v>314</v>
      </c>
    </row>
    <row r="423" spans="1:7" x14ac:dyDescent="0.3">
      <c r="A423" t="s">
        <v>284</v>
      </c>
      <c r="B423" s="5">
        <v>41641</v>
      </c>
      <c r="C423">
        <v>112.5</v>
      </c>
      <c r="D423" t="s">
        <v>305</v>
      </c>
      <c r="E423" t="s">
        <v>364</v>
      </c>
      <c r="F423" t="s">
        <v>362</v>
      </c>
      <c r="G423" t="s">
        <v>22</v>
      </c>
    </row>
    <row r="424" spans="1:7" x14ac:dyDescent="0.3">
      <c r="A424" t="s">
        <v>284</v>
      </c>
      <c r="B424" s="5">
        <v>41641</v>
      </c>
      <c r="C424">
        <v>-85.41</v>
      </c>
      <c r="D424" t="s">
        <v>305</v>
      </c>
      <c r="E424" t="s">
        <v>373</v>
      </c>
      <c r="F424" t="s">
        <v>350</v>
      </c>
      <c r="G424" t="s">
        <v>21</v>
      </c>
    </row>
    <row r="425" spans="1:7" x14ac:dyDescent="0.3">
      <c r="A425" t="s">
        <v>284</v>
      </c>
      <c r="B425" s="5">
        <v>41641</v>
      </c>
      <c r="C425" s="4">
        <v>-1976</v>
      </c>
      <c r="D425" t="s">
        <v>305</v>
      </c>
      <c r="E425" t="s">
        <v>315</v>
      </c>
      <c r="F425" t="s">
        <v>316</v>
      </c>
      <c r="G425" t="s">
        <v>317</v>
      </c>
    </row>
    <row r="426" spans="1:7" x14ac:dyDescent="0.3">
      <c r="A426" t="s">
        <v>284</v>
      </c>
      <c r="B426" s="5">
        <v>41642</v>
      </c>
      <c r="C426">
        <v>315.45999999999998</v>
      </c>
      <c r="D426" t="s">
        <v>305</v>
      </c>
      <c r="E426" t="s">
        <v>374</v>
      </c>
      <c r="F426" t="s">
        <v>375</v>
      </c>
      <c r="G426" t="s">
        <v>359</v>
      </c>
    </row>
    <row r="427" spans="1:7" x14ac:dyDescent="0.3">
      <c r="A427" t="s">
        <v>284</v>
      </c>
      <c r="B427" s="5">
        <v>41642</v>
      </c>
      <c r="C427">
        <v>-500</v>
      </c>
      <c r="D427" t="s">
        <v>305</v>
      </c>
      <c r="E427" t="s">
        <v>339</v>
      </c>
      <c r="F427" t="s">
        <v>340</v>
      </c>
      <c r="G427" t="s">
        <v>341</v>
      </c>
    </row>
    <row r="428" spans="1:7" x14ac:dyDescent="0.3">
      <c r="A428" t="s">
        <v>284</v>
      </c>
      <c r="B428" s="5">
        <v>41642</v>
      </c>
      <c r="C428" s="4">
        <v>-2048.5100000000002</v>
      </c>
      <c r="D428" t="s">
        <v>305</v>
      </c>
      <c r="E428" t="s">
        <v>319</v>
      </c>
      <c r="F428" t="s">
        <v>376</v>
      </c>
      <c r="G428" t="s">
        <v>318</v>
      </c>
    </row>
    <row r="429" spans="1:7" x14ac:dyDescent="0.3">
      <c r="A429" t="s">
        <v>284</v>
      </c>
      <c r="B429" s="5">
        <v>41642</v>
      </c>
      <c r="C429" s="4">
        <v>-3513.25</v>
      </c>
      <c r="D429" t="s">
        <v>305</v>
      </c>
      <c r="E429" t="s">
        <v>319</v>
      </c>
      <c r="F429" t="s">
        <v>377</v>
      </c>
      <c r="G429" t="s">
        <v>318</v>
      </c>
    </row>
    <row r="430" spans="1:7" x14ac:dyDescent="0.3">
      <c r="A430" t="s">
        <v>284</v>
      </c>
      <c r="B430" s="5">
        <v>41642</v>
      </c>
      <c r="C430" s="4">
        <v>-3941.59</v>
      </c>
      <c r="D430" t="s">
        <v>305</v>
      </c>
      <c r="E430" t="s">
        <v>322</v>
      </c>
      <c r="F430" t="s">
        <v>601</v>
      </c>
      <c r="G430" t="s">
        <v>13</v>
      </c>
    </row>
    <row r="431" spans="1:7" x14ac:dyDescent="0.3">
      <c r="A431" t="s">
        <v>284</v>
      </c>
      <c r="B431" s="5">
        <v>41646</v>
      </c>
      <c r="C431" s="4">
        <v>-3574.88</v>
      </c>
      <c r="D431" t="s">
        <v>305</v>
      </c>
      <c r="E431" t="s">
        <v>345</v>
      </c>
      <c r="F431" t="s">
        <v>320</v>
      </c>
      <c r="G431" t="s">
        <v>321</v>
      </c>
    </row>
    <row r="432" spans="1:7" x14ac:dyDescent="0.3">
      <c r="A432" t="s">
        <v>284</v>
      </c>
      <c r="B432" s="5">
        <v>41647</v>
      </c>
      <c r="C432">
        <v>-42.62</v>
      </c>
      <c r="D432" t="s">
        <v>305</v>
      </c>
      <c r="E432" t="s">
        <v>378</v>
      </c>
      <c r="F432" t="s">
        <v>353</v>
      </c>
      <c r="G432" t="s">
        <v>23</v>
      </c>
    </row>
    <row r="433" spans="1:8" x14ac:dyDescent="0.3">
      <c r="A433" t="s">
        <v>284</v>
      </c>
      <c r="B433" s="5">
        <v>41651</v>
      </c>
      <c r="C433">
        <v>19.75</v>
      </c>
      <c r="D433" t="s">
        <v>305</v>
      </c>
      <c r="E433" t="s">
        <v>358</v>
      </c>
      <c r="F433" t="s">
        <v>379</v>
      </c>
      <c r="G433" t="s">
        <v>371</v>
      </c>
    </row>
    <row r="434" spans="1:8" x14ac:dyDescent="0.3">
      <c r="A434" t="s">
        <v>284</v>
      </c>
      <c r="B434" s="5">
        <v>41651</v>
      </c>
      <c r="C434">
        <v>61.66</v>
      </c>
      <c r="D434" t="s">
        <v>305</v>
      </c>
      <c r="E434" t="s">
        <v>380</v>
      </c>
      <c r="F434" t="s">
        <v>381</v>
      </c>
      <c r="G434" t="s">
        <v>371</v>
      </c>
    </row>
    <row r="435" spans="1:8" x14ac:dyDescent="0.3">
      <c r="A435" t="s">
        <v>284</v>
      </c>
      <c r="B435" s="5">
        <v>41652</v>
      </c>
      <c r="C435">
        <v>-118.52</v>
      </c>
      <c r="D435" t="s">
        <v>305</v>
      </c>
      <c r="E435" t="s">
        <v>324</v>
      </c>
      <c r="F435" t="s">
        <v>344</v>
      </c>
      <c r="G435" t="s">
        <v>314</v>
      </c>
    </row>
    <row r="436" spans="1:8" x14ac:dyDescent="0.3">
      <c r="A436" t="s">
        <v>284</v>
      </c>
      <c r="B436" s="5">
        <v>41653</v>
      </c>
      <c r="C436" s="4">
        <v>3165.19</v>
      </c>
      <c r="D436" t="s">
        <v>305</v>
      </c>
      <c r="E436" t="s">
        <v>365</v>
      </c>
      <c r="F436" t="s">
        <v>313</v>
      </c>
      <c r="G436" t="s">
        <v>12</v>
      </c>
    </row>
    <row r="437" spans="1:8" x14ac:dyDescent="0.3">
      <c r="A437" t="s">
        <v>284</v>
      </c>
      <c r="B437" s="5">
        <v>41653</v>
      </c>
      <c r="C437">
        <v>-156.19999999999999</v>
      </c>
      <c r="D437" t="s">
        <v>305</v>
      </c>
      <c r="E437" t="s">
        <v>325</v>
      </c>
      <c r="F437" t="s">
        <v>382</v>
      </c>
      <c r="G437" t="s">
        <v>314</v>
      </c>
    </row>
    <row r="438" spans="1:8" x14ac:dyDescent="0.3">
      <c r="A438" t="s">
        <v>284</v>
      </c>
      <c r="B438" s="5">
        <v>41656</v>
      </c>
      <c r="C438">
        <v>159.56</v>
      </c>
      <c r="D438" t="s">
        <v>305</v>
      </c>
      <c r="E438" t="s">
        <v>364</v>
      </c>
      <c r="F438" t="s">
        <v>362</v>
      </c>
      <c r="G438" t="s">
        <v>22</v>
      </c>
    </row>
    <row r="439" spans="1:8" x14ac:dyDescent="0.3">
      <c r="A439" t="s">
        <v>284</v>
      </c>
      <c r="B439" s="5">
        <v>41660</v>
      </c>
      <c r="C439">
        <v>-100</v>
      </c>
      <c r="D439" t="s">
        <v>305</v>
      </c>
      <c r="E439" t="s">
        <v>332</v>
      </c>
      <c r="F439" t="s">
        <v>333</v>
      </c>
      <c r="G439" t="s">
        <v>334</v>
      </c>
    </row>
    <row r="440" spans="1:8" x14ac:dyDescent="0.3">
      <c r="A440" t="s">
        <v>284</v>
      </c>
      <c r="B440" s="5">
        <v>41660</v>
      </c>
      <c r="C440">
        <v>-105</v>
      </c>
      <c r="D440" t="s">
        <v>305</v>
      </c>
      <c r="E440" t="s">
        <v>326</v>
      </c>
      <c r="F440" t="s">
        <v>354</v>
      </c>
      <c r="G440" t="s">
        <v>327</v>
      </c>
    </row>
    <row r="441" spans="1:8" x14ac:dyDescent="0.3">
      <c r="A441" t="s">
        <v>284</v>
      </c>
      <c r="B441" s="5">
        <v>41661</v>
      </c>
      <c r="C441">
        <v>-27.88</v>
      </c>
      <c r="D441" t="s">
        <v>305</v>
      </c>
      <c r="E441" t="s">
        <v>328</v>
      </c>
      <c r="F441" t="s">
        <v>329</v>
      </c>
      <c r="G441" t="s">
        <v>330</v>
      </c>
    </row>
    <row r="442" spans="1:8" x14ac:dyDescent="0.3">
      <c r="A442" t="s">
        <v>284</v>
      </c>
      <c r="B442" s="5">
        <v>41662</v>
      </c>
      <c r="C442">
        <v>-183.85</v>
      </c>
      <c r="D442" t="s">
        <v>305</v>
      </c>
      <c r="E442" t="s">
        <v>355</v>
      </c>
      <c r="F442" t="s">
        <v>356</v>
      </c>
      <c r="G442" t="s">
        <v>357</v>
      </c>
    </row>
    <row r="443" spans="1:8" x14ac:dyDescent="0.3">
      <c r="A443" t="s">
        <v>284</v>
      </c>
      <c r="B443" s="5">
        <v>41662</v>
      </c>
      <c r="C443">
        <v>-157.29</v>
      </c>
      <c r="D443" t="s">
        <v>305</v>
      </c>
      <c r="E443" t="s">
        <v>366</v>
      </c>
      <c r="G443" t="s">
        <v>15</v>
      </c>
    </row>
    <row r="444" spans="1:8" x14ac:dyDescent="0.3">
      <c r="A444" t="s">
        <v>284</v>
      </c>
      <c r="B444" s="5">
        <v>41663</v>
      </c>
      <c r="C444">
        <v>-510.46</v>
      </c>
      <c r="D444" t="s">
        <v>305</v>
      </c>
      <c r="E444" t="s">
        <v>293</v>
      </c>
      <c r="F444" t="s">
        <v>338</v>
      </c>
      <c r="G444" t="s">
        <v>18</v>
      </c>
    </row>
    <row r="445" spans="1:8" x14ac:dyDescent="0.3">
      <c r="A445" t="s">
        <v>284</v>
      </c>
      <c r="B445" s="5">
        <v>41663</v>
      </c>
      <c r="C445">
        <v>-60</v>
      </c>
      <c r="D445" t="s">
        <v>305</v>
      </c>
      <c r="E445" t="s">
        <v>351</v>
      </c>
      <c r="F445" t="s">
        <v>335</v>
      </c>
      <c r="G445" t="s">
        <v>323</v>
      </c>
      <c r="H445">
        <v>2293</v>
      </c>
    </row>
    <row r="446" spans="1:8" x14ac:dyDescent="0.3">
      <c r="A446" t="s">
        <v>284</v>
      </c>
      <c r="B446" s="5">
        <v>41666</v>
      </c>
      <c r="C446">
        <v>-30</v>
      </c>
      <c r="D446" t="s">
        <v>305</v>
      </c>
      <c r="E446" t="s">
        <v>383</v>
      </c>
      <c r="F446" t="s">
        <v>596</v>
      </c>
      <c r="G446" t="s">
        <v>73</v>
      </c>
    </row>
    <row r="447" spans="1:8" x14ac:dyDescent="0.3">
      <c r="A447" t="s">
        <v>284</v>
      </c>
      <c r="B447" s="5">
        <v>41669</v>
      </c>
      <c r="C447">
        <v>-115</v>
      </c>
      <c r="D447" t="s">
        <v>305</v>
      </c>
      <c r="E447" t="s">
        <v>326</v>
      </c>
      <c r="F447" t="s">
        <v>354</v>
      </c>
      <c r="G447" t="s">
        <v>327</v>
      </c>
    </row>
    <row r="448" spans="1:8" x14ac:dyDescent="0.3">
      <c r="A448" t="s">
        <v>284</v>
      </c>
      <c r="B448" s="5">
        <v>41670</v>
      </c>
      <c r="C448" s="4">
        <v>3052.73</v>
      </c>
      <c r="D448" t="s">
        <v>305</v>
      </c>
      <c r="E448" t="s">
        <v>365</v>
      </c>
      <c r="F448" t="s">
        <v>313</v>
      </c>
      <c r="G448" t="s">
        <v>12</v>
      </c>
    </row>
    <row r="449" spans="1:7" x14ac:dyDescent="0.3">
      <c r="A449" t="s">
        <v>284</v>
      </c>
      <c r="B449" s="5">
        <v>41670</v>
      </c>
      <c r="C449" s="4">
        <v>6195.6</v>
      </c>
      <c r="D449" t="s">
        <v>305</v>
      </c>
      <c r="E449" t="s">
        <v>367</v>
      </c>
      <c r="F449" t="s">
        <v>363</v>
      </c>
      <c r="G449" t="s">
        <v>12</v>
      </c>
    </row>
    <row r="450" spans="1:7" x14ac:dyDescent="0.3">
      <c r="A450" t="s">
        <v>284</v>
      </c>
      <c r="B450" s="5">
        <v>41673</v>
      </c>
      <c r="C450">
        <v>-147.22</v>
      </c>
      <c r="D450" t="s">
        <v>305</v>
      </c>
      <c r="E450" t="s">
        <v>373</v>
      </c>
      <c r="F450" t="s">
        <v>350</v>
      </c>
      <c r="G450" t="s">
        <v>21</v>
      </c>
    </row>
    <row r="451" spans="1:7" x14ac:dyDescent="0.3">
      <c r="A451" t="s">
        <v>284</v>
      </c>
      <c r="B451" s="5">
        <v>41673</v>
      </c>
      <c r="C451" s="4">
        <v>-1976</v>
      </c>
      <c r="D451" t="s">
        <v>305</v>
      </c>
      <c r="E451" t="s">
        <v>315</v>
      </c>
      <c r="F451" t="s">
        <v>316</v>
      </c>
      <c r="G451" t="s">
        <v>317</v>
      </c>
    </row>
    <row r="452" spans="1:7" x14ac:dyDescent="0.3">
      <c r="A452" t="s">
        <v>284</v>
      </c>
      <c r="B452" s="5">
        <v>41673</v>
      </c>
      <c r="C452" s="4">
        <v>-2033.91</v>
      </c>
      <c r="D452" t="s">
        <v>305</v>
      </c>
      <c r="E452" t="s">
        <v>319</v>
      </c>
      <c r="F452" t="s">
        <v>384</v>
      </c>
      <c r="G452" t="s">
        <v>385</v>
      </c>
    </row>
    <row r="453" spans="1:7" x14ac:dyDescent="0.3">
      <c r="A453" t="s">
        <v>284</v>
      </c>
      <c r="B453" s="5">
        <v>41673</v>
      </c>
      <c r="C453" s="4">
        <v>-2942.27</v>
      </c>
      <c r="D453" t="s">
        <v>305</v>
      </c>
      <c r="E453" t="s">
        <v>322</v>
      </c>
      <c r="F453" t="s">
        <v>369</v>
      </c>
      <c r="G453" t="s">
        <v>13</v>
      </c>
    </row>
    <row r="454" spans="1:7" x14ac:dyDescent="0.3">
      <c r="A454" t="s">
        <v>284</v>
      </c>
      <c r="B454" s="5">
        <v>41673</v>
      </c>
      <c r="C454" s="4">
        <v>-3517.65</v>
      </c>
      <c r="D454" t="s">
        <v>305</v>
      </c>
      <c r="E454" t="s">
        <v>319</v>
      </c>
      <c r="F454" t="s">
        <v>384</v>
      </c>
      <c r="G454" t="s">
        <v>386</v>
      </c>
    </row>
    <row r="455" spans="1:7" x14ac:dyDescent="0.3">
      <c r="A455" t="s">
        <v>284</v>
      </c>
      <c r="B455" s="5">
        <v>41674</v>
      </c>
      <c r="C455">
        <v>-500</v>
      </c>
      <c r="D455" t="s">
        <v>305</v>
      </c>
      <c r="E455" t="s">
        <v>368</v>
      </c>
      <c r="F455" t="s">
        <v>340</v>
      </c>
      <c r="G455" t="s">
        <v>341</v>
      </c>
    </row>
    <row r="456" spans="1:7" x14ac:dyDescent="0.3">
      <c r="A456" t="s">
        <v>284</v>
      </c>
      <c r="B456" s="5">
        <v>41675</v>
      </c>
      <c r="C456" s="4">
        <v>-3748.69</v>
      </c>
      <c r="D456" t="s">
        <v>305</v>
      </c>
      <c r="E456" t="s">
        <v>345</v>
      </c>
      <c r="F456" t="s">
        <v>352</v>
      </c>
      <c r="G456" t="s">
        <v>321</v>
      </c>
    </row>
    <row r="457" spans="1:7" x14ac:dyDescent="0.3">
      <c r="A457" t="s">
        <v>284</v>
      </c>
      <c r="B457" s="5">
        <v>41676</v>
      </c>
      <c r="C457">
        <v>-491.36</v>
      </c>
      <c r="D457" t="s">
        <v>305</v>
      </c>
      <c r="E457" t="s">
        <v>370</v>
      </c>
      <c r="G457" t="s">
        <v>23</v>
      </c>
    </row>
    <row r="458" spans="1:7" x14ac:dyDescent="0.3">
      <c r="A458" t="s">
        <v>284</v>
      </c>
      <c r="B458" s="5">
        <v>41682</v>
      </c>
      <c r="C458">
        <v>-148.06</v>
      </c>
      <c r="D458" t="s">
        <v>305</v>
      </c>
      <c r="E458" t="s">
        <v>325</v>
      </c>
      <c r="F458" t="s">
        <v>387</v>
      </c>
      <c r="G458" t="s">
        <v>314</v>
      </c>
    </row>
    <row r="459" spans="1:7" x14ac:dyDescent="0.3">
      <c r="A459" t="s">
        <v>284</v>
      </c>
      <c r="B459" s="5">
        <v>41683</v>
      </c>
      <c r="C459" s="4">
        <v>3165.2</v>
      </c>
      <c r="D459" t="s">
        <v>305</v>
      </c>
      <c r="E459" t="s">
        <v>365</v>
      </c>
      <c r="F459" t="s">
        <v>917</v>
      </c>
      <c r="G459" t="s">
        <v>12</v>
      </c>
    </row>
    <row r="460" spans="1:7" x14ac:dyDescent="0.3">
      <c r="A460" t="s">
        <v>284</v>
      </c>
      <c r="B460" s="5">
        <v>41688</v>
      </c>
      <c r="C460">
        <v>-100</v>
      </c>
      <c r="D460" t="s">
        <v>305</v>
      </c>
      <c r="E460" t="s">
        <v>315</v>
      </c>
      <c r="F460" t="s">
        <v>316</v>
      </c>
      <c r="G460" t="s">
        <v>317</v>
      </c>
    </row>
    <row r="461" spans="1:7" x14ac:dyDescent="0.3">
      <c r="A461" t="s">
        <v>284</v>
      </c>
      <c r="B461" s="5">
        <v>41689</v>
      </c>
      <c r="C461">
        <v>30</v>
      </c>
      <c r="D461" t="s">
        <v>305</v>
      </c>
      <c r="E461" t="s">
        <v>456</v>
      </c>
      <c r="F461" t="s">
        <v>597</v>
      </c>
      <c r="G461" t="s">
        <v>318</v>
      </c>
    </row>
    <row r="462" spans="1:7" x14ac:dyDescent="0.3">
      <c r="A462" t="s">
        <v>284</v>
      </c>
      <c r="B462" s="5">
        <v>41691</v>
      </c>
      <c r="C462">
        <v>-115</v>
      </c>
      <c r="D462" t="s">
        <v>305</v>
      </c>
      <c r="E462" t="s">
        <v>326</v>
      </c>
      <c r="F462" t="s">
        <v>354</v>
      </c>
      <c r="G462" t="s">
        <v>327</v>
      </c>
    </row>
    <row r="463" spans="1:7" x14ac:dyDescent="0.3">
      <c r="A463" t="s">
        <v>284</v>
      </c>
      <c r="B463" s="5">
        <v>41691</v>
      </c>
      <c r="C463">
        <v>-183.85</v>
      </c>
      <c r="D463" t="s">
        <v>305</v>
      </c>
      <c r="E463" t="s">
        <v>355</v>
      </c>
      <c r="F463" t="s">
        <v>356</v>
      </c>
      <c r="G463" t="s">
        <v>357</v>
      </c>
    </row>
    <row r="464" spans="1:7" x14ac:dyDescent="0.3">
      <c r="A464" t="s">
        <v>284</v>
      </c>
      <c r="B464" s="5">
        <v>41694</v>
      </c>
      <c r="C464">
        <v>-90</v>
      </c>
      <c r="D464" t="s">
        <v>305</v>
      </c>
      <c r="E464" t="s">
        <v>424</v>
      </c>
      <c r="F464" t="s">
        <v>338</v>
      </c>
      <c r="G464" t="s">
        <v>18</v>
      </c>
    </row>
    <row r="465" spans="1:8" x14ac:dyDescent="0.3">
      <c r="A465" t="s">
        <v>284</v>
      </c>
      <c r="B465" s="5">
        <v>41694</v>
      </c>
      <c r="C465">
        <v>-250.3</v>
      </c>
      <c r="D465" t="s">
        <v>305</v>
      </c>
      <c r="E465" t="s">
        <v>366</v>
      </c>
      <c r="F465" t="s">
        <v>331</v>
      </c>
      <c r="G465" t="s">
        <v>15</v>
      </c>
    </row>
    <row r="466" spans="1:8" x14ac:dyDescent="0.3">
      <c r="A466" t="s">
        <v>284</v>
      </c>
      <c r="B466" s="5">
        <v>41694</v>
      </c>
      <c r="C466">
        <v>-65</v>
      </c>
      <c r="D466" t="s">
        <v>305</v>
      </c>
      <c r="E466" t="s">
        <v>608</v>
      </c>
      <c r="F466" t="s">
        <v>335</v>
      </c>
      <c r="G466" t="s">
        <v>323</v>
      </c>
      <c r="H466">
        <v>2295</v>
      </c>
    </row>
    <row r="467" spans="1:8" x14ac:dyDescent="0.3">
      <c r="A467" t="s">
        <v>284</v>
      </c>
      <c r="B467" s="5">
        <v>41696</v>
      </c>
      <c r="C467" s="4">
        <v>83000</v>
      </c>
      <c r="D467" t="s">
        <v>305</v>
      </c>
      <c r="E467" t="s">
        <v>678</v>
      </c>
      <c r="F467" t="s">
        <v>674</v>
      </c>
      <c r="G467" t="s">
        <v>5</v>
      </c>
    </row>
    <row r="468" spans="1:8" x14ac:dyDescent="0.3">
      <c r="A468" t="s">
        <v>284</v>
      </c>
      <c r="B468" s="5">
        <v>41696</v>
      </c>
      <c r="C468" s="4">
        <v>117000</v>
      </c>
      <c r="D468" t="s">
        <v>305</v>
      </c>
      <c r="E468" t="s">
        <v>678</v>
      </c>
      <c r="F468" t="s">
        <v>676</v>
      </c>
      <c r="G468" t="s">
        <v>7</v>
      </c>
    </row>
    <row r="469" spans="1:8" x14ac:dyDescent="0.3">
      <c r="A469" t="s">
        <v>284</v>
      </c>
      <c r="B469" s="5">
        <v>41697</v>
      </c>
      <c r="C469" s="4">
        <v>3165.19</v>
      </c>
      <c r="D469" t="s">
        <v>305</v>
      </c>
      <c r="E469" t="s">
        <v>365</v>
      </c>
      <c r="F469" t="s">
        <v>313</v>
      </c>
      <c r="G469" t="s">
        <v>12</v>
      </c>
    </row>
    <row r="470" spans="1:8" x14ac:dyDescent="0.3">
      <c r="A470" t="s">
        <v>284</v>
      </c>
      <c r="B470" s="5">
        <v>41697</v>
      </c>
      <c r="C470" s="4">
        <v>6195.6</v>
      </c>
      <c r="D470" t="s">
        <v>305</v>
      </c>
      <c r="E470" t="s">
        <v>367</v>
      </c>
      <c r="F470" t="s">
        <v>363</v>
      </c>
      <c r="G470" t="s">
        <v>12</v>
      </c>
    </row>
    <row r="471" spans="1:8" x14ac:dyDescent="0.3">
      <c r="A471" t="s">
        <v>284</v>
      </c>
      <c r="B471" s="5">
        <v>41698</v>
      </c>
      <c r="C471">
        <v>-223.3</v>
      </c>
      <c r="D471" t="s">
        <v>305</v>
      </c>
      <c r="E471" t="s">
        <v>603</v>
      </c>
      <c r="F471" t="s">
        <v>604</v>
      </c>
      <c r="G471" t="s">
        <v>314</v>
      </c>
    </row>
    <row r="472" spans="1:8" x14ac:dyDescent="0.3">
      <c r="A472" t="s">
        <v>284</v>
      </c>
      <c r="B472" s="5">
        <v>41698</v>
      </c>
      <c r="C472" s="4">
        <v>-200000</v>
      </c>
      <c r="D472" t="s">
        <v>305</v>
      </c>
      <c r="E472" t="s">
        <v>679</v>
      </c>
      <c r="F472" t="s">
        <v>680</v>
      </c>
      <c r="G472" t="s">
        <v>26</v>
      </c>
    </row>
    <row r="473" spans="1:8" x14ac:dyDescent="0.3">
      <c r="A473" t="s">
        <v>284</v>
      </c>
      <c r="B473" s="5">
        <v>41700</v>
      </c>
      <c r="C473">
        <v>0</v>
      </c>
      <c r="D473" t="s">
        <v>305</v>
      </c>
      <c r="E473" t="s">
        <v>309</v>
      </c>
      <c r="F473" t="s">
        <v>681</v>
      </c>
      <c r="G473" t="s">
        <v>9</v>
      </c>
    </row>
    <row r="474" spans="1:8" x14ac:dyDescent="0.3">
      <c r="A474" t="s">
        <v>284</v>
      </c>
      <c r="B474" s="5">
        <v>41701</v>
      </c>
      <c r="C474">
        <v>-126</v>
      </c>
      <c r="D474" t="s">
        <v>305</v>
      </c>
      <c r="E474" t="s">
        <v>918</v>
      </c>
      <c r="F474" t="s">
        <v>350</v>
      </c>
      <c r="G474" t="s">
        <v>21</v>
      </c>
    </row>
    <row r="475" spans="1:8" x14ac:dyDescent="0.3">
      <c r="A475" t="s">
        <v>284</v>
      </c>
      <c r="B475" s="5">
        <v>41701</v>
      </c>
      <c r="C475" s="4">
        <v>-1976</v>
      </c>
      <c r="D475" t="s">
        <v>305</v>
      </c>
      <c r="E475" t="s">
        <v>315</v>
      </c>
      <c r="F475" t="s">
        <v>316</v>
      </c>
      <c r="G475" t="s">
        <v>317</v>
      </c>
    </row>
    <row r="476" spans="1:8" x14ac:dyDescent="0.3">
      <c r="A476" t="s">
        <v>284</v>
      </c>
      <c r="B476" s="5">
        <v>41701</v>
      </c>
      <c r="C476" s="4">
        <v>-2033.91</v>
      </c>
      <c r="D476" t="s">
        <v>305</v>
      </c>
      <c r="E476" t="s">
        <v>319</v>
      </c>
      <c r="F476" t="s">
        <v>384</v>
      </c>
      <c r="G476" t="s">
        <v>385</v>
      </c>
    </row>
    <row r="477" spans="1:8" x14ac:dyDescent="0.3">
      <c r="A477" t="s">
        <v>284</v>
      </c>
      <c r="B477" s="5">
        <v>41701</v>
      </c>
      <c r="C477" s="4">
        <v>-3517.65</v>
      </c>
      <c r="D477" t="s">
        <v>305</v>
      </c>
      <c r="E477" t="s">
        <v>319</v>
      </c>
      <c r="F477" t="s">
        <v>384</v>
      </c>
      <c r="G477" t="s">
        <v>386</v>
      </c>
    </row>
    <row r="478" spans="1:8" x14ac:dyDescent="0.3">
      <c r="A478" t="s">
        <v>284</v>
      </c>
      <c r="B478" s="5">
        <v>41701</v>
      </c>
      <c r="C478" s="4">
        <v>-4025.58</v>
      </c>
      <c r="D478" t="s">
        <v>305</v>
      </c>
      <c r="E478" t="s">
        <v>322</v>
      </c>
      <c r="F478" t="s">
        <v>369</v>
      </c>
      <c r="G478" t="s">
        <v>13</v>
      </c>
    </row>
    <row r="479" spans="1:8" x14ac:dyDescent="0.3">
      <c r="A479" t="s">
        <v>284</v>
      </c>
      <c r="B479" s="5">
        <v>41702</v>
      </c>
      <c r="C479">
        <v>-500</v>
      </c>
      <c r="D479" t="s">
        <v>305</v>
      </c>
      <c r="E479" t="s">
        <v>339</v>
      </c>
      <c r="F479" t="s">
        <v>340</v>
      </c>
      <c r="G479" t="s">
        <v>341</v>
      </c>
    </row>
    <row r="480" spans="1:8" x14ac:dyDescent="0.3">
      <c r="A480" t="s">
        <v>284</v>
      </c>
      <c r="B480" s="5">
        <v>41703</v>
      </c>
      <c r="C480">
        <v>14.27</v>
      </c>
      <c r="D480" t="s">
        <v>305</v>
      </c>
      <c r="E480" t="s">
        <v>883</v>
      </c>
      <c r="F480" t="s">
        <v>362</v>
      </c>
      <c r="G480" t="s">
        <v>22</v>
      </c>
    </row>
    <row r="481" spans="1:7" x14ac:dyDescent="0.3">
      <c r="A481" t="s">
        <v>284</v>
      </c>
      <c r="B481" s="5">
        <v>41703</v>
      </c>
      <c r="C481" s="4">
        <v>-3748.69</v>
      </c>
      <c r="D481" t="s">
        <v>305</v>
      </c>
      <c r="E481" t="s">
        <v>345</v>
      </c>
      <c r="F481" t="s">
        <v>352</v>
      </c>
      <c r="G481" t="s">
        <v>321</v>
      </c>
    </row>
    <row r="482" spans="1:7" x14ac:dyDescent="0.3">
      <c r="A482" t="s">
        <v>284</v>
      </c>
      <c r="B482" s="5">
        <v>41704</v>
      </c>
      <c r="C482">
        <v>-58.28</v>
      </c>
      <c r="D482" t="s">
        <v>305</v>
      </c>
      <c r="E482" t="s">
        <v>370</v>
      </c>
      <c r="F482" t="s">
        <v>353</v>
      </c>
      <c r="G482" t="s">
        <v>23</v>
      </c>
    </row>
    <row r="483" spans="1:7" x14ac:dyDescent="0.3">
      <c r="A483" t="s">
        <v>284</v>
      </c>
      <c r="B483" s="5">
        <v>41711</v>
      </c>
      <c r="C483" s="4">
        <v>3165.19</v>
      </c>
      <c r="D483" t="s">
        <v>305</v>
      </c>
      <c r="E483" t="s">
        <v>365</v>
      </c>
      <c r="F483" t="s">
        <v>313</v>
      </c>
      <c r="G483" t="s">
        <v>12</v>
      </c>
    </row>
    <row r="484" spans="1:7" x14ac:dyDescent="0.3">
      <c r="A484" t="s">
        <v>284</v>
      </c>
      <c r="B484" s="5">
        <v>41712</v>
      </c>
      <c r="C484">
        <v>-150.02000000000001</v>
      </c>
      <c r="D484" t="s">
        <v>305</v>
      </c>
      <c r="E484" t="s">
        <v>325</v>
      </c>
      <c r="F484" t="s">
        <v>919</v>
      </c>
      <c r="G484" t="s">
        <v>314</v>
      </c>
    </row>
    <row r="485" spans="1:7" x14ac:dyDescent="0.3">
      <c r="A485" t="s">
        <v>284</v>
      </c>
      <c r="B485" s="5">
        <v>41715</v>
      </c>
      <c r="C485">
        <v>-115</v>
      </c>
      <c r="D485" t="s">
        <v>305</v>
      </c>
      <c r="E485" t="s">
        <v>326</v>
      </c>
      <c r="F485" t="s">
        <v>354</v>
      </c>
      <c r="G485" t="s">
        <v>327</v>
      </c>
    </row>
    <row r="486" spans="1:7" x14ac:dyDescent="0.3">
      <c r="A486" t="s">
        <v>284</v>
      </c>
      <c r="B486" s="5">
        <v>41716</v>
      </c>
      <c r="C486">
        <v>-177.29</v>
      </c>
      <c r="D486" t="s">
        <v>305</v>
      </c>
      <c r="E486" t="s">
        <v>324</v>
      </c>
      <c r="F486" t="s">
        <v>344</v>
      </c>
      <c r="G486" t="s">
        <v>314</v>
      </c>
    </row>
    <row r="487" spans="1:7" x14ac:dyDescent="0.3">
      <c r="A487" t="s">
        <v>284</v>
      </c>
      <c r="B487" s="5">
        <v>41717</v>
      </c>
      <c r="C487">
        <v>0</v>
      </c>
      <c r="E487" t="s">
        <v>309</v>
      </c>
      <c r="F487" t="s">
        <v>601</v>
      </c>
      <c r="G487" t="s">
        <v>9</v>
      </c>
    </row>
    <row r="488" spans="1:7" x14ac:dyDescent="0.3">
      <c r="A488" t="s">
        <v>285</v>
      </c>
      <c r="B488" s="5">
        <v>41486</v>
      </c>
      <c r="C488">
        <v>1</v>
      </c>
      <c r="D488" t="s">
        <v>305</v>
      </c>
      <c r="E488" t="s">
        <v>702</v>
      </c>
      <c r="G488" t="s">
        <v>28</v>
      </c>
    </row>
    <row r="489" spans="1:7" x14ac:dyDescent="0.3">
      <c r="A489" t="s">
        <v>285</v>
      </c>
      <c r="B489" s="5">
        <v>41564</v>
      </c>
      <c r="C489">
        <v>-1</v>
      </c>
      <c r="D489" t="s">
        <v>305</v>
      </c>
      <c r="G489" t="s">
        <v>9</v>
      </c>
    </row>
    <row r="490" spans="1:7" x14ac:dyDescent="0.3">
      <c r="A490" t="s">
        <v>285</v>
      </c>
      <c r="B490" s="5">
        <v>41639</v>
      </c>
      <c r="C490">
        <v>0</v>
      </c>
      <c r="F490" t="s">
        <v>601</v>
      </c>
    </row>
    <row r="491" spans="1:7" x14ac:dyDescent="0.3">
      <c r="A491" t="s">
        <v>286</v>
      </c>
      <c r="B491" s="5">
        <v>41486</v>
      </c>
      <c r="C491">
        <v>0.25</v>
      </c>
      <c r="D491" t="s">
        <v>305</v>
      </c>
      <c r="E491" t="s">
        <v>702</v>
      </c>
      <c r="G491" t="s">
        <v>27</v>
      </c>
    </row>
    <row r="492" spans="1:7" x14ac:dyDescent="0.3">
      <c r="A492" t="s">
        <v>286</v>
      </c>
      <c r="B492" s="5">
        <v>41564</v>
      </c>
      <c r="C492">
        <v>-0.25</v>
      </c>
      <c r="D492" t="s">
        <v>305</v>
      </c>
      <c r="G492" t="s">
        <v>9</v>
      </c>
    </row>
    <row r="493" spans="1:7" x14ac:dyDescent="0.3">
      <c r="A493" t="s">
        <v>286</v>
      </c>
      <c r="B493" s="5">
        <v>41636</v>
      </c>
      <c r="C493">
        <v>0</v>
      </c>
      <c r="E493" t="s">
        <v>309</v>
      </c>
      <c r="F493" t="s">
        <v>920</v>
      </c>
      <c r="G493" t="s">
        <v>30</v>
      </c>
    </row>
    <row r="494" spans="1:7" x14ac:dyDescent="0.3">
      <c r="A494" t="s">
        <v>286</v>
      </c>
      <c r="B494" s="5">
        <v>41639</v>
      </c>
      <c r="C494">
        <v>0</v>
      </c>
      <c r="F494" t="s">
        <v>601</v>
      </c>
    </row>
    <row r="495" spans="1:7" x14ac:dyDescent="0.3">
      <c r="A495" t="s">
        <v>287</v>
      </c>
      <c r="B495" s="5">
        <v>41486</v>
      </c>
      <c r="C495">
        <v>5.29</v>
      </c>
      <c r="D495" t="s">
        <v>305</v>
      </c>
      <c r="E495" t="s">
        <v>702</v>
      </c>
      <c r="G495" t="s">
        <v>30</v>
      </c>
    </row>
    <row r="496" spans="1:7" x14ac:dyDescent="0.3">
      <c r="A496" t="s">
        <v>287</v>
      </c>
      <c r="B496" s="5">
        <v>41574</v>
      </c>
      <c r="C496">
        <v>-0.28999999999999998</v>
      </c>
      <c r="D496" t="s">
        <v>305</v>
      </c>
      <c r="E496" t="s">
        <v>921</v>
      </c>
      <c r="F496" t="s">
        <v>922</v>
      </c>
      <c r="G496" t="s">
        <v>9</v>
      </c>
    </row>
    <row r="497" spans="1:9" x14ac:dyDescent="0.3">
      <c r="A497" t="s">
        <v>287</v>
      </c>
      <c r="B497" s="5">
        <v>41636</v>
      </c>
      <c r="C497">
        <v>0</v>
      </c>
      <c r="D497" t="s">
        <v>305</v>
      </c>
      <c r="E497" t="s">
        <v>309</v>
      </c>
      <c r="F497" t="s">
        <v>923</v>
      </c>
      <c r="G497" t="s">
        <v>27</v>
      </c>
    </row>
    <row r="498" spans="1:9" x14ac:dyDescent="0.3">
      <c r="A498" t="s">
        <v>287</v>
      </c>
      <c r="B498" s="5">
        <v>41639</v>
      </c>
      <c r="C498">
        <v>0</v>
      </c>
      <c r="D498" t="s">
        <v>305</v>
      </c>
      <c r="E498" t="s">
        <v>309</v>
      </c>
      <c r="F498" t="s">
        <v>601</v>
      </c>
      <c r="G498" t="s">
        <v>30</v>
      </c>
    </row>
    <row r="499" spans="1:9" x14ac:dyDescent="0.3">
      <c r="A499" t="s">
        <v>287</v>
      </c>
      <c r="B499" s="5">
        <v>41688</v>
      </c>
      <c r="C499">
        <v>0</v>
      </c>
      <c r="D499" t="s">
        <v>305</v>
      </c>
      <c r="E499" t="s">
        <v>309</v>
      </c>
      <c r="F499" t="s">
        <v>924</v>
      </c>
      <c r="G499" t="s">
        <v>30</v>
      </c>
    </row>
    <row r="500" spans="1:9" x14ac:dyDescent="0.3">
      <c r="A500" t="s">
        <v>287</v>
      </c>
      <c r="B500" s="5">
        <v>41700</v>
      </c>
      <c r="C500">
        <v>0</v>
      </c>
      <c r="D500" t="s">
        <v>305</v>
      </c>
      <c r="E500" t="s">
        <v>309</v>
      </c>
      <c r="F500" t="s">
        <v>925</v>
      </c>
      <c r="G500" t="s">
        <v>30</v>
      </c>
    </row>
    <row r="501" spans="1:9" x14ac:dyDescent="0.3">
      <c r="A501" t="s">
        <v>287</v>
      </c>
      <c r="B501" s="5">
        <v>41704</v>
      </c>
      <c r="C501">
        <v>180</v>
      </c>
      <c r="D501" t="s">
        <v>307</v>
      </c>
      <c r="E501" t="s">
        <v>787</v>
      </c>
      <c r="F501" t="s">
        <v>926</v>
      </c>
      <c r="G501" t="s">
        <v>789</v>
      </c>
    </row>
    <row r="502" spans="1:9" x14ac:dyDescent="0.3">
      <c r="A502" t="s">
        <v>288</v>
      </c>
      <c r="B502" s="5">
        <v>41275</v>
      </c>
      <c r="C502" s="4">
        <v>2018.45</v>
      </c>
      <c r="D502" t="s">
        <v>305</v>
      </c>
      <c r="E502" t="s">
        <v>702</v>
      </c>
      <c r="G502" t="s">
        <v>24</v>
      </c>
    </row>
    <row r="503" spans="1:9" x14ac:dyDescent="0.3">
      <c r="A503" t="s">
        <v>288</v>
      </c>
      <c r="B503" s="5">
        <v>41298</v>
      </c>
      <c r="C503">
        <v>-134.56</v>
      </c>
      <c r="D503" t="s">
        <v>305</v>
      </c>
      <c r="E503" t="s">
        <v>927</v>
      </c>
      <c r="F503" t="s">
        <v>388</v>
      </c>
      <c r="G503" t="s">
        <v>31</v>
      </c>
    </row>
    <row r="504" spans="1:9" x14ac:dyDescent="0.3">
      <c r="A504" t="s">
        <v>288</v>
      </c>
      <c r="B504" s="5">
        <v>41330</v>
      </c>
      <c r="C504">
        <v>-196.99</v>
      </c>
      <c r="D504" t="s">
        <v>305</v>
      </c>
      <c r="E504" t="s">
        <v>927</v>
      </c>
      <c r="F504" t="s">
        <v>388</v>
      </c>
      <c r="G504" t="s">
        <v>31</v>
      </c>
    </row>
    <row r="505" spans="1:9" x14ac:dyDescent="0.3">
      <c r="A505" t="s">
        <v>288</v>
      </c>
      <c r="B505" s="5">
        <v>41356</v>
      </c>
      <c r="C505" s="4">
        <v>1200</v>
      </c>
      <c r="D505" t="s">
        <v>305</v>
      </c>
      <c r="E505" t="s">
        <v>928</v>
      </c>
      <c r="F505" t="s">
        <v>929</v>
      </c>
      <c r="G505" t="s">
        <v>25</v>
      </c>
    </row>
    <row r="506" spans="1:9" x14ac:dyDescent="0.3">
      <c r="A506" t="s">
        <v>288</v>
      </c>
      <c r="B506" s="5">
        <v>41356</v>
      </c>
      <c r="C506">
        <v>100</v>
      </c>
      <c r="D506" t="s">
        <v>305</v>
      </c>
      <c r="E506" t="s">
        <v>928</v>
      </c>
      <c r="F506" t="s">
        <v>930</v>
      </c>
      <c r="G506" t="s">
        <v>25</v>
      </c>
    </row>
    <row r="507" spans="1:9" x14ac:dyDescent="0.3">
      <c r="A507" t="s">
        <v>288</v>
      </c>
      <c r="B507" s="5">
        <v>41356</v>
      </c>
      <c r="C507">
        <v>200</v>
      </c>
      <c r="D507" t="s">
        <v>305</v>
      </c>
      <c r="E507" t="s">
        <v>928</v>
      </c>
      <c r="F507" t="s">
        <v>931</v>
      </c>
      <c r="G507" t="s">
        <v>25</v>
      </c>
    </row>
    <row r="508" spans="1:9" x14ac:dyDescent="0.3">
      <c r="A508" t="s">
        <v>288</v>
      </c>
      <c r="B508" s="5">
        <v>41358</v>
      </c>
      <c r="C508">
        <v>-137.28</v>
      </c>
      <c r="D508" t="s">
        <v>305</v>
      </c>
      <c r="E508" t="s">
        <v>927</v>
      </c>
      <c r="F508" t="s">
        <v>932</v>
      </c>
      <c r="G508" t="s">
        <v>31</v>
      </c>
    </row>
    <row r="509" spans="1:9" x14ac:dyDescent="0.3">
      <c r="A509" t="s">
        <v>288</v>
      </c>
      <c r="B509" s="5">
        <v>41365</v>
      </c>
      <c r="C509" s="4">
        <v>-1200</v>
      </c>
      <c r="D509" t="s">
        <v>305</v>
      </c>
      <c r="E509" t="s">
        <v>933</v>
      </c>
      <c r="F509" t="s">
        <v>934</v>
      </c>
      <c r="G509" t="s">
        <v>600</v>
      </c>
      <c r="H509">
        <v>1088</v>
      </c>
    </row>
    <row r="510" spans="1:9" x14ac:dyDescent="0.3">
      <c r="A510" t="s">
        <v>288</v>
      </c>
      <c r="B510" s="5">
        <v>41371</v>
      </c>
      <c r="C510" s="4">
        <v>2295</v>
      </c>
      <c r="D510" t="s">
        <v>305</v>
      </c>
      <c r="E510" t="s">
        <v>822</v>
      </c>
      <c r="F510" t="s">
        <v>935</v>
      </c>
      <c r="G510" t="s">
        <v>306</v>
      </c>
      <c r="I510" t="s">
        <v>272</v>
      </c>
    </row>
    <row r="511" spans="1:9" x14ac:dyDescent="0.3">
      <c r="A511" t="s">
        <v>288</v>
      </c>
      <c r="B511" s="5">
        <v>41371</v>
      </c>
      <c r="C511">
        <v>500</v>
      </c>
      <c r="D511" t="s">
        <v>305</v>
      </c>
      <c r="E511" t="s">
        <v>822</v>
      </c>
      <c r="F511" t="s">
        <v>936</v>
      </c>
      <c r="G511" t="s">
        <v>600</v>
      </c>
      <c r="I511" t="s">
        <v>272</v>
      </c>
    </row>
    <row r="512" spans="1:9" x14ac:dyDescent="0.3">
      <c r="A512" t="s">
        <v>288</v>
      </c>
      <c r="B512" s="5">
        <v>41372</v>
      </c>
      <c r="C512">
        <v>-500</v>
      </c>
      <c r="D512" t="s">
        <v>305</v>
      </c>
      <c r="E512" t="s">
        <v>937</v>
      </c>
      <c r="F512" t="s">
        <v>938</v>
      </c>
      <c r="G512" t="s">
        <v>25</v>
      </c>
    </row>
    <row r="513" spans="1:9" x14ac:dyDescent="0.3">
      <c r="A513" t="s">
        <v>288</v>
      </c>
      <c r="B513" s="5">
        <v>41373</v>
      </c>
      <c r="C513">
        <v>-200</v>
      </c>
      <c r="D513" t="s">
        <v>305</v>
      </c>
      <c r="E513" t="s">
        <v>933</v>
      </c>
      <c r="F513" t="s">
        <v>939</v>
      </c>
      <c r="G513" t="s">
        <v>600</v>
      </c>
      <c r="H513">
        <v>1089</v>
      </c>
    </row>
    <row r="514" spans="1:9" x14ac:dyDescent="0.3">
      <c r="A514" t="s">
        <v>288</v>
      </c>
      <c r="B514" s="5">
        <v>41388</v>
      </c>
      <c r="C514">
        <v>-118.49</v>
      </c>
      <c r="D514" t="s">
        <v>305</v>
      </c>
      <c r="E514" t="s">
        <v>927</v>
      </c>
      <c r="F514" t="s">
        <v>388</v>
      </c>
      <c r="G514" t="s">
        <v>31</v>
      </c>
    </row>
    <row r="515" spans="1:9" x14ac:dyDescent="0.3">
      <c r="A515" t="s">
        <v>288</v>
      </c>
      <c r="B515" s="5">
        <v>41397</v>
      </c>
      <c r="C515" s="4">
        <v>2295</v>
      </c>
      <c r="D515" t="s">
        <v>305</v>
      </c>
      <c r="E515" t="s">
        <v>389</v>
      </c>
      <c r="F515" t="s">
        <v>940</v>
      </c>
      <c r="G515" t="s">
        <v>306</v>
      </c>
    </row>
    <row r="516" spans="1:9" x14ac:dyDescent="0.3">
      <c r="A516" t="s">
        <v>288</v>
      </c>
      <c r="B516" s="5">
        <v>41418</v>
      </c>
      <c r="C516">
        <v>-13.13</v>
      </c>
      <c r="D516" t="s">
        <v>305</v>
      </c>
      <c r="E516" t="s">
        <v>927</v>
      </c>
      <c r="F516" t="s">
        <v>388</v>
      </c>
      <c r="G516" t="s">
        <v>31</v>
      </c>
    </row>
    <row r="517" spans="1:9" x14ac:dyDescent="0.3">
      <c r="A517" t="s">
        <v>288</v>
      </c>
      <c r="B517" s="5">
        <v>41430</v>
      </c>
      <c r="C517" s="4">
        <v>2295</v>
      </c>
      <c r="D517" t="s">
        <v>305</v>
      </c>
      <c r="E517" t="s">
        <v>822</v>
      </c>
      <c r="F517" t="s">
        <v>941</v>
      </c>
      <c r="G517" t="s">
        <v>942</v>
      </c>
    </row>
    <row r="518" spans="1:9" x14ac:dyDescent="0.3">
      <c r="A518" t="s">
        <v>288</v>
      </c>
      <c r="B518" s="5">
        <v>41446</v>
      </c>
      <c r="C518">
        <v>695</v>
      </c>
      <c r="D518" t="s">
        <v>305</v>
      </c>
      <c r="E518" t="s">
        <v>822</v>
      </c>
      <c r="F518" t="s">
        <v>943</v>
      </c>
      <c r="G518" t="s">
        <v>942</v>
      </c>
    </row>
    <row r="519" spans="1:9" x14ac:dyDescent="0.3">
      <c r="A519" t="s">
        <v>288</v>
      </c>
      <c r="B519" s="5">
        <v>41449</v>
      </c>
      <c r="C519">
        <v>-211.68</v>
      </c>
      <c r="D519" t="s">
        <v>305</v>
      </c>
      <c r="E519" t="s">
        <v>927</v>
      </c>
      <c r="G519" t="s">
        <v>31</v>
      </c>
    </row>
    <row r="520" spans="1:9" x14ac:dyDescent="0.3">
      <c r="A520" t="s">
        <v>288</v>
      </c>
      <c r="B520" s="5">
        <v>41458</v>
      </c>
      <c r="C520" s="4">
        <v>2295</v>
      </c>
      <c r="D520" t="s">
        <v>305</v>
      </c>
      <c r="E520" t="s">
        <v>822</v>
      </c>
      <c r="F520" t="s">
        <v>944</v>
      </c>
      <c r="G520" t="s">
        <v>306</v>
      </c>
    </row>
    <row r="521" spans="1:9" x14ac:dyDescent="0.3">
      <c r="A521" t="s">
        <v>288</v>
      </c>
      <c r="B521" s="5">
        <v>41479</v>
      </c>
      <c r="C521">
        <v>-248.49</v>
      </c>
      <c r="D521" t="s">
        <v>305</v>
      </c>
      <c r="E521" t="s">
        <v>927</v>
      </c>
      <c r="F521" t="s">
        <v>388</v>
      </c>
      <c r="G521" t="s">
        <v>31</v>
      </c>
    </row>
    <row r="522" spans="1:9" x14ac:dyDescent="0.3">
      <c r="A522" t="s">
        <v>288</v>
      </c>
      <c r="B522" s="5">
        <v>41488</v>
      </c>
      <c r="C522" s="4">
        <v>2295</v>
      </c>
      <c r="D522" t="s">
        <v>305</v>
      </c>
      <c r="E522" t="s">
        <v>389</v>
      </c>
      <c r="F522" t="s">
        <v>945</v>
      </c>
      <c r="G522" t="s">
        <v>306</v>
      </c>
    </row>
    <row r="523" spans="1:9" x14ac:dyDescent="0.3">
      <c r="A523" t="s">
        <v>288</v>
      </c>
      <c r="B523" s="5">
        <v>41492</v>
      </c>
      <c r="C523" s="4">
        <v>-10000</v>
      </c>
      <c r="D523" t="s">
        <v>305</v>
      </c>
      <c r="E523" t="s">
        <v>921</v>
      </c>
      <c r="F523" t="s">
        <v>946</v>
      </c>
      <c r="G523" t="s">
        <v>9</v>
      </c>
    </row>
    <row r="524" spans="1:9" x14ac:dyDescent="0.3">
      <c r="A524" t="s">
        <v>288</v>
      </c>
      <c r="B524" s="5">
        <v>41509</v>
      </c>
      <c r="C524">
        <v>-153.99</v>
      </c>
      <c r="D524" t="s">
        <v>305</v>
      </c>
      <c r="E524" t="s">
        <v>390</v>
      </c>
      <c r="F524" t="s">
        <v>388</v>
      </c>
      <c r="G524" t="s">
        <v>31</v>
      </c>
    </row>
    <row r="525" spans="1:9" x14ac:dyDescent="0.3">
      <c r="A525" t="s">
        <v>288</v>
      </c>
      <c r="B525" s="5">
        <v>41518</v>
      </c>
      <c r="C525" s="4">
        <v>2195</v>
      </c>
      <c r="D525" t="s">
        <v>305</v>
      </c>
      <c r="E525" t="s">
        <v>391</v>
      </c>
      <c r="F525" t="s">
        <v>624</v>
      </c>
      <c r="G525" t="s">
        <v>625</v>
      </c>
      <c r="I525" t="s">
        <v>272</v>
      </c>
    </row>
    <row r="526" spans="1:9" x14ac:dyDescent="0.3">
      <c r="A526" t="s">
        <v>288</v>
      </c>
      <c r="B526" s="5">
        <v>41518</v>
      </c>
      <c r="C526" s="4">
        <v>2000</v>
      </c>
      <c r="D526" t="s">
        <v>305</v>
      </c>
      <c r="E526" t="s">
        <v>391</v>
      </c>
      <c r="F526" t="s">
        <v>947</v>
      </c>
      <c r="G526" t="s">
        <v>948</v>
      </c>
      <c r="I526" t="s">
        <v>272</v>
      </c>
    </row>
    <row r="527" spans="1:9" x14ac:dyDescent="0.3">
      <c r="A527" t="s">
        <v>288</v>
      </c>
      <c r="B527" s="5">
        <v>41518</v>
      </c>
      <c r="C527" s="4">
        <v>-2000</v>
      </c>
      <c r="D527" t="s">
        <v>305</v>
      </c>
      <c r="E527" t="s">
        <v>841</v>
      </c>
      <c r="F527" t="s">
        <v>949</v>
      </c>
      <c r="G527" t="s">
        <v>25</v>
      </c>
    </row>
    <row r="528" spans="1:9" x14ac:dyDescent="0.3">
      <c r="A528" t="s">
        <v>288</v>
      </c>
      <c r="B528" s="5">
        <v>41521</v>
      </c>
      <c r="C528" s="4">
        <v>2295</v>
      </c>
      <c r="D528" t="s">
        <v>305</v>
      </c>
      <c r="E528" t="s">
        <v>389</v>
      </c>
      <c r="F528" t="s">
        <v>950</v>
      </c>
      <c r="G528" t="s">
        <v>306</v>
      </c>
    </row>
    <row r="529" spans="1:9" x14ac:dyDescent="0.3">
      <c r="A529" t="s">
        <v>288</v>
      </c>
      <c r="B529" s="5">
        <v>41541</v>
      </c>
      <c r="C529" s="4">
        <v>2195</v>
      </c>
      <c r="D529" t="s">
        <v>305</v>
      </c>
      <c r="E529" t="s">
        <v>391</v>
      </c>
      <c r="F529" t="s">
        <v>951</v>
      </c>
      <c r="G529" t="s">
        <v>306</v>
      </c>
    </row>
    <row r="530" spans="1:9" x14ac:dyDescent="0.3">
      <c r="A530" t="s">
        <v>288</v>
      </c>
      <c r="B530" s="5">
        <v>41541</v>
      </c>
      <c r="C530">
        <v>-144.18</v>
      </c>
      <c r="D530" t="s">
        <v>305</v>
      </c>
      <c r="E530" t="s">
        <v>927</v>
      </c>
      <c r="F530" t="s">
        <v>388</v>
      </c>
      <c r="G530" t="s">
        <v>31</v>
      </c>
    </row>
    <row r="531" spans="1:9" x14ac:dyDescent="0.3">
      <c r="A531" t="s">
        <v>288</v>
      </c>
      <c r="B531" s="5">
        <v>41542</v>
      </c>
      <c r="C531" s="4">
        <v>-6614.66</v>
      </c>
      <c r="D531" t="s">
        <v>305</v>
      </c>
      <c r="E531" t="s">
        <v>952</v>
      </c>
      <c r="G531" t="s">
        <v>9</v>
      </c>
    </row>
    <row r="532" spans="1:9" x14ac:dyDescent="0.3">
      <c r="A532" t="s">
        <v>288</v>
      </c>
      <c r="B532" s="5">
        <v>41557</v>
      </c>
      <c r="C532" s="4">
        <v>2295</v>
      </c>
      <c r="D532" t="s">
        <v>305</v>
      </c>
      <c r="E532" t="s">
        <v>389</v>
      </c>
      <c r="F532" t="s">
        <v>951</v>
      </c>
      <c r="G532" t="s">
        <v>392</v>
      </c>
    </row>
    <row r="533" spans="1:9" x14ac:dyDescent="0.3">
      <c r="A533" t="s">
        <v>288</v>
      </c>
      <c r="B533" s="5">
        <v>41570</v>
      </c>
      <c r="C533">
        <v>301.02</v>
      </c>
      <c r="D533" t="s">
        <v>305</v>
      </c>
      <c r="E533" t="s">
        <v>822</v>
      </c>
      <c r="F533" t="s">
        <v>953</v>
      </c>
      <c r="G533" t="s">
        <v>393</v>
      </c>
    </row>
    <row r="534" spans="1:9" x14ac:dyDescent="0.3">
      <c r="A534" t="s">
        <v>288</v>
      </c>
      <c r="B534" s="5">
        <v>41571</v>
      </c>
      <c r="C534">
        <v>-150.36000000000001</v>
      </c>
      <c r="D534" t="s">
        <v>305</v>
      </c>
      <c r="E534" t="s">
        <v>927</v>
      </c>
      <c r="F534" t="s">
        <v>388</v>
      </c>
      <c r="G534" t="s">
        <v>31</v>
      </c>
    </row>
    <row r="535" spans="1:9" x14ac:dyDescent="0.3">
      <c r="A535" t="s">
        <v>288</v>
      </c>
      <c r="B535" s="5">
        <v>41574</v>
      </c>
      <c r="C535">
        <v>5.19</v>
      </c>
      <c r="D535" t="s">
        <v>305</v>
      </c>
      <c r="E535" t="s">
        <v>954</v>
      </c>
      <c r="F535" t="s">
        <v>955</v>
      </c>
      <c r="G535" t="s">
        <v>25</v>
      </c>
    </row>
    <row r="536" spans="1:9" x14ac:dyDescent="0.3">
      <c r="A536" t="s">
        <v>288</v>
      </c>
      <c r="B536" s="5">
        <v>41578</v>
      </c>
      <c r="C536">
        <v>0</v>
      </c>
      <c r="D536" t="s">
        <v>305</v>
      </c>
      <c r="E536" t="s">
        <v>309</v>
      </c>
      <c r="F536" t="s">
        <v>956</v>
      </c>
      <c r="G536" t="s">
        <v>24</v>
      </c>
    </row>
    <row r="537" spans="1:9" x14ac:dyDescent="0.3">
      <c r="A537" t="s">
        <v>288</v>
      </c>
      <c r="B537" s="5">
        <v>41584</v>
      </c>
      <c r="C537">
        <v>-51.3</v>
      </c>
      <c r="D537" t="s">
        <v>305</v>
      </c>
      <c r="E537" t="s">
        <v>391</v>
      </c>
      <c r="F537" t="s">
        <v>957</v>
      </c>
      <c r="G537" t="s">
        <v>394</v>
      </c>
    </row>
    <row r="538" spans="1:9" x14ac:dyDescent="0.3">
      <c r="A538" t="s">
        <v>288</v>
      </c>
      <c r="B538" s="5">
        <v>41588</v>
      </c>
      <c r="C538" s="4">
        <v>2295</v>
      </c>
      <c r="D538" t="s">
        <v>305</v>
      </c>
      <c r="E538" t="s">
        <v>389</v>
      </c>
      <c r="F538" t="s">
        <v>958</v>
      </c>
      <c r="G538" t="s">
        <v>392</v>
      </c>
      <c r="I538" t="s">
        <v>272</v>
      </c>
    </row>
    <row r="539" spans="1:9" x14ac:dyDescent="0.3">
      <c r="A539" t="s">
        <v>288</v>
      </c>
      <c r="B539" s="5">
        <v>41588</v>
      </c>
      <c r="C539">
        <v>100</v>
      </c>
      <c r="D539" t="s">
        <v>305</v>
      </c>
      <c r="E539" t="s">
        <v>389</v>
      </c>
      <c r="F539" t="s">
        <v>959</v>
      </c>
      <c r="G539" t="s">
        <v>395</v>
      </c>
      <c r="I539" t="s">
        <v>272</v>
      </c>
    </row>
    <row r="540" spans="1:9" x14ac:dyDescent="0.3">
      <c r="A540" t="s">
        <v>288</v>
      </c>
      <c r="B540" s="5">
        <v>41588</v>
      </c>
      <c r="C540" s="4">
        <v>2195</v>
      </c>
      <c r="D540" t="s">
        <v>305</v>
      </c>
      <c r="E540" t="s">
        <v>391</v>
      </c>
      <c r="F540" t="s">
        <v>960</v>
      </c>
      <c r="G540" t="s">
        <v>396</v>
      </c>
    </row>
    <row r="541" spans="1:9" x14ac:dyDescent="0.3">
      <c r="A541" t="s">
        <v>288</v>
      </c>
      <c r="B541" s="5">
        <v>41601</v>
      </c>
      <c r="C541" s="4">
        <v>2195</v>
      </c>
      <c r="D541" t="s">
        <v>305</v>
      </c>
      <c r="E541" t="s">
        <v>391</v>
      </c>
      <c r="F541" t="s">
        <v>961</v>
      </c>
      <c r="G541" t="s">
        <v>625</v>
      </c>
    </row>
    <row r="542" spans="1:9" x14ac:dyDescent="0.3">
      <c r="A542" t="s">
        <v>288</v>
      </c>
      <c r="B542" s="5">
        <v>41603</v>
      </c>
      <c r="C542">
        <v>-144.29</v>
      </c>
      <c r="D542" t="s">
        <v>305</v>
      </c>
      <c r="E542" t="s">
        <v>397</v>
      </c>
      <c r="F542" t="s">
        <v>388</v>
      </c>
      <c r="G542" t="s">
        <v>31</v>
      </c>
    </row>
    <row r="543" spans="1:9" x14ac:dyDescent="0.3">
      <c r="A543" t="s">
        <v>288</v>
      </c>
      <c r="B543" s="5">
        <v>41611</v>
      </c>
      <c r="C543" s="4">
        <v>2295</v>
      </c>
      <c r="D543" t="s">
        <v>305</v>
      </c>
      <c r="E543" t="s">
        <v>389</v>
      </c>
      <c r="F543" t="s">
        <v>962</v>
      </c>
      <c r="G543" t="s">
        <v>306</v>
      </c>
      <c r="I543" t="s">
        <v>272</v>
      </c>
    </row>
    <row r="544" spans="1:9" x14ac:dyDescent="0.3">
      <c r="A544" t="s">
        <v>288</v>
      </c>
      <c r="B544" s="5">
        <v>41611</v>
      </c>
      <c r="C544">
        <v>100</v>
      </c>
      <c r="D544" t="s">
        <v>305</v>
      </c>
      <c r="E544" t="s">
        <v>389</v>
      </c>
      <c r="F544" t="s">
        <v>963</v>
      </c>
      <c r="G544" t="s">
        <v>393</v>
      </c>
      <c r="I544" t="s">
        <v>272</v>
      </c>
    </row>
    <row r="545" spans="1:9" x14ac:dyDescent="0.3">
      <c r="A545" t="s">
        <v>288</v>
      </c>
      <c r="B545" s="5">
        <v>41631</v>
      </c>
      <c r="C545">
        <v>-163.16</v>
      </c>
      <c r="D545" t="s">
        <v>305</v>
      </c>
      <c r="E545" t="s">
        <v>964</v>
      </c>
      <c r="F545" t="s">
        <v>965</v>
      </c>
      <c r="G545" t="s">
        <v>626</v>
      </c>
      <c r="H545">
        <v>1091</v>
      </c>
    </row>
    <row r="546" spans="1:9" x14ac:dyDescent="0.3">
      <c r="A546" t="s">
        <v>288</v>
      </c>
      <c r="B546" s="5">
        <v>41632</v>
      </c>
      <c r="C546">
        <v>-146.63999999999999</v>
      </c>
      <c r="D546" t="s">
        <v>305</v>
      </c>
      <c r="E546" t="s">
        <v>397</v>
      </c>
      <c r="F546" t="s">
        <v>388</v>
      </c>
      <c r="G546" t="s">
        <v>31</v>
      </c>
    </row>
    <row r="547" spans="1:9" x14ac:dyDescent="0.3">
      <c r="A547" t="s">
        <v>288</v>
      </c>
      <c r="B547" s="5">
        <v>41636</v>
      </c>
      <c r="C547">
        <v>0</v>
      </c>
      <c r="D547" t="s">
        <v>305</v>
      </c>
      <c r="E547" t="s">
        <v>309</v>
      </c>
      <c r="F547" t="s">
        <v>966</v>
      </c>
      <c r="G547" t="s">
        <v>24</v>
      </c>
    </row>
    <row r="548" spans="1:9" x14ac:dyDescent="0.3">
      <c r="A548" t="s">
        <v>288</v>
      </c>
      <c r="B548" s="5">
        <v>41637</v>
      </c>
      <c r="C548" s="4">
        <v>2195</v>
      </c>
      <c r="D548" t="s">
        <v>305</v>
      </c>
      <c r="E548" t="s">
        <v>391</v>
      </c>
      <c r="F548" t="s">
        <v>967</v>
      </c>
      <c r="G548" t="s">
        <v>396</v>
      </c>
    </row>
    <row r="549" spans="1:9" x14ac:dyDescent="0.3">
      <c r="A549" t="s">
        <v>288</v>
      </c>
      <c r="B549" s="5">
        <v>41642</v>
      </c>
      <c r="C549">
        <v>238.75</v>
      </c>
      <c r="D549" t="s">
        <v>305</v>
      </c>
      <c r="E549" t="s">
        <v>319</v>
      </c>
      <c r="F549" t="s">
        <v>398</v>
      </c>
      <c r="G549" t="s">
        <v>385</v>
      </c>
    </row>
    <row r="550" spans="1:9" x14ac:dyDescent="0.3">
      <c r="A550" t="s">
        <v>288</v>
      </c>
      <c r="B550" s="5">
        <v>41644</v>
      </c>
      <c r="C550" s="4">
        <v>1100</v>
      </c>
      <c r="D550" t="s">
        <v>305</v>
      </c>
      <c r="E550" t="s">
        <v>389</v>
      </c>
      <c r="F550" t="s">
        <v>967</v>
      </c>
      <c r="G550" t="s">
        <v>392</v>
      </c>
      <c r="I550" t="s">
        <v>272</v>
      </c>
    </row>
    <row r="551" spans="1:9" x14ac:dyDescent="0.3">
      <c r="A551" t="s">
        <v>288</v>
      </c>
      <c r="B551" s="5">
        <v>41644</v>
      </c>
      <c r="C551">
        <v>100</v>
      </c>
      <c r="D551" t="s">
        <v>305</v>
      </c>
      <c r="E551" t="s">
        <v>389</v>
      </c>
      <c r="F551" t="s">
        <v>399</v>
      </c>
      <c r="G551" t="s">
        <v>395</v>
      </c>
      <c r="I551" t="s">
        <v>272</v>
      </c>
    </row>
    <row r="552" spans="1:9" x14ac:dyDescent="0.3">
      <c r="A552" t="s">
        <v>288</v>
      </c>
      <c r="B552" s="5">
        <v>41657</v>
      </c>
      <c r="C552" s="4">
        <v>1195</v>
      </c>
      <c r="D552" t="s">
        <v>305</v>
      </c>
      <c r="E552" t="s">
        <v>389</v>
      </c>
      <c r="F552" t="s">
        <v>400</v>
      </c>
      <c r="G552" t="s">
        <v>392</v>
      </c>
    </row>
    <row r="553" spans="1:9" x14ac:dyDescent="0.3">
      <c r="A553" t="s">
        <v>288</v>
      </c>
      <c r="B553" s="5">
        <v>41662</v>
      </c>
      <c r="C553" s="4">
        <v>2195</v>
      </c>
      <c r="D553" t="s">
        <v>305</v>
      </c>
      <c r="E553" t="s">
        <v>391</v>
      </c>
      <c r="F553" t="s">
        <v>968</v>
      </c>
      <c r="G553" t="s">
        <v>396</v>
      </c>
    </row>
    <row r="554" spans="1:9" x14ac:dyDescent="0.3">
      <c r="A554" t="s">
        <v>288</v>
      </c>
      <c r="B554" s="5">
        <v>41663</v>
      </c>
      <c r="C554">
        <v>-146.54</v>
      </c>
      <c r="D554" t="s">
        <v>305</v>
      </c>
      <c r="E554" t="s">
        <v>397</v>
      </c>
      <c r="F554" t="s">
        <v>969</v>
      </c>
      <c r="G554" t="s">
        <v>31</v>
      </c>
    </row>
    <row r="555" spans="1:9" x14ac:dyDescent="0.3">
      <c r="A555" t="s">
        <v>288</v>
      </c>
      <c r="B555" s="5">
        <v>41675</v>
      </c>
      <c r="C555" s="4">
        <v>2295</v>
      </c>
      <c r="D555" t="s">
        <v>307</v>
      </c>
      <c r="E555" t="s">
        <v>389</v>
      </c>
      <c r="F555" t="s">
        <v>627</v>
      </c>
      <c r="G555" t="s">
        <v>306</v>
      </c>
      <c r="I555" t="s">
        <v>272</v>
      </c>
    </row>
    <row r="556" spans="1:9" x14ac:dyDescent="0.3">
      <c r="A556" t="s">
        <v>288</v>
      </c>
      <c r="B556" s="5">
        <v>41675</v>
      </c>
      <c r="C556">
        <v>100</v>
      </c>
      <c r="D556" t="s">
        <v>307</v>
      </c>
      <c r="E556" t="s">
        <v>389</v>
      </c>
      <c r="F556" t="s">
        <v>401</v>
      </c>
      <c r="G556" t="s">
        <v>393</v>
      </c>
      <c r="I556" t="s">
        <v>272</v>
      </c>
    </row>
    <row r="557" spans="1:9" x14ac:dyDescent="0.3">
      <c r="A557" t="s">
        <v>288</v>
      </c>
      <c r="B557" s="5">
        <v>41689</v>
      </c>
      <c r="C557" s="4">
        <v>2195</v>
      </c>
      <c r="D557" t="s">
        <v>307</v>
      </c>
      <c r="E557" t="s">
        <v>391</v>
      </c>
      <c r="F557" t="s">
        <v>970</v>
      </c>
      <c r="G557" t="s">
        <v>396</v>
      </c>
    </row>
    <row r="558" spans="1:9" x14ac:dyDescent="0.3">
      <c r="A558" t="s">
        <v>288</v>
      </c>
      <c r="B558" s="5">
        <v>41694</v>
      </c>
      <c r="C558">
        <v>-146.54</v>
      </c>
      <c r="D558" t="s">
        <v>307</v>
      </c>
      <c r="E558" t="s">
        <v>397</v>
      </c>
      <c r="F558" t="s">
        <v>388</v>
      </c>
      <c r="G558" t="s">
        <v>31</v>
      </c>
    </row>
    <row r="559" spans="1:9" x14ac:dyDescent="0.3">
      <c r="A559" t="s">
        <v>288</v>
      </c>
      <c r="B559" s="5">
        <v>41703</v>
      </c>
      <c r="C559" s="4">
        <v>2295</v>
      </c>
      <c r="D559" t="s">
        <v>307</v>
      </c>
      <c r="E559" t="s">
        <v>389</v>
      </c>
      <c r="F559" t="s">
        <v>400</v>
      </c>
      <c r="G559" t="s">
        <v>306</v>
      </c>
      <c r="I559" t="s">
        <v>272</v>
      </c>
    </row>
    <row r="560" spans="1:9" x14ac:dyDescent="0.3">
      <c r="A560" t="s">
        <v>288</v>
      </c>
      <c r="B560" s="5">
        <v>41703</v>
      </c>
      <c r="C560">
        <v>100</v>
      </c>
      <c r="D560" t="s">
        <v>307</v>
      </c>
      <c r="E560" t="s">
        <v>389</v>
      </c>
      <c r="G560" t="s">
        <v>393</v>
      </c>
      <c r="I560" t="s">
        <v>272</v>
      </c>
    </row>
    <row r="561" spans="1:7" x14ac:dyDescent="0.3">
      <c r="A561" t="s">
        <v>289</v>
      </c>
      <c r="B561" s="5">
        <v>41275</v>
      </c>
      <c r="C561" s="4">
        <v>2353.38</v>
      </c>
      <c r="D561" t="s">
        <v>305</v>
      </c>
      <c r="E561" t="s">
        <v>702</v>
      </c>
      <c r="G561" t="s">
        <v>25</v>
      </c>
    </row>
    <row r="562" spans="1:7" x14ac:dyDescent="0.3">
      <c r="A562" t="s">
        <v>289</v>
      </c>
      <c r="B562" s="5">
        <v>41305</v>
      </c>
      <c r="C562">
        <v>0.1</v>
      </c>
      <c r="D562" t="s">
        <v>305</v>
      </c>
      <c r="E562" t="s">
        <v>628</v>
      </c>
      <c r="F562" t="s">
        <v>629</v>
      </c>
      <c r="G562" t="s">
        <v>8</v>
      </c>
    </row>
    <row r="563" spans="1:7" x14ac:dyDescent="0.3">
      <c r="A563" t="s">
        <v>289</v>
      </c>
      <c r="B563" s="5">
        <v>41333</v>
      </c>
      <c r="C563">
        <v>0.09</v>
      </c>
      <c r="D563" t="s">
        <v>305</v>
      </c>
      <c r="E563" t="s">
        <v>402</v>
      </c>
      <c r="F563" t="s">
        <v>629</v>
      </c>
      <c r="G563" t="s">
        <v>8</v>
      </c>
    </row>
    <row r="564" spans="1:7" x14ac:dyDescent="0.3">
      <c r="A564" t="s">
        <v>289</v>
      </c>
      <c r="B564" s="5">
        <v>41356</v>
      </c>
      <c r="C564" s="4">
        <v>-1200</v>
      </c>
      <c r="D564" t="s">
        <v>305</v>
      </c>
      <c r="E564" t="s">
        <v>971</v>
      </c>
      <c r="F564" t="s">
        <v>972</v>
      </c>
      <c r="G564" t="s">
        <v>24</v>
      </c>
    </row>
    <row r="565" spans="1:7" x14ac:dyDescent="0.3">
      <c r="A565" t="s">
        <v>289</v>
      </c>
      <c r="B565" s="5">
        <v>41356</v>
      </c>
      <c r="C565">
        <v>-100</v>
      </c>
      <c r="D565" t="s">
        <v>305</v>
      </c>
      <c r="E565" t="s">
        <v>973</v>
      </c>
      <c r="F565" t="s">
        <v>974</v>
      </c>
      <c r="G565" t="s">
        <v>24</v>
      </c>
    </row>
    <row r="566" spans="1:7" x14ac:dyDescent="0.3">
      <c r="A566" t="s">
        <v>289</v>
      </c>
      <c r="B566" s="5">
        <v>41356</v>
      </c>
      <c r="C566">
        <v>-200</v>
      </c>
      <c r="D566" t="s">
        <v>305</v>
      </c>
      <c r="E566" t="s">
        <v>975</v>
      </c>
      <c r="F566" t="s">
        <v>976</v>
      </c>
      <c r="G566" t="s">
        <v>24</v>
      </c>
    </row>
    <row r="567" spans="1:7" x14ac:dyDescent="0.3">
      <c r="A567" t="s">
        <v>289</v>
      </c>
      <c r="B567" s="5">
        <v>41364</v>
      </c>
      <c r="C567">
        <v>0.08</v>
      </c>
      <c r="D567" t="s">
        <v>305</v>
      </c>
      <c r="E567" t="s">
        <v>402</v>
      </c>
      <c r="F567" t="s">
        <v>629</v>
      </c>
      <c r="G567" t="s">
        <v>8</v>
      </c>
    </row>
    <row r="568" spans="1:7" x14ac:dyDescent="0.3">
      <c r="A568" t="s">
        <v>289</v>
      </c>
      <c r="B568" s="5">
        <v>41366</v>
      </c>
      <c r="C568" s="4">
        <v>2000</v>
      </c>
      <c r="D568" t="s">
        <v>305</v>
      </c>
      <c r="E568" t="s">
        <v>822</v>
      </c>
      <c r="F568" t="s">
        <v>977</v>
      </c>
      <c r="G568" t="s">
        <v>600</v>
      </c>
    </row>
    <row r="569" spans="1:7" x14ac:dyDescent="0.3">
      <c r="A569" t="s">
        <v>289</v>
      </c>
      <c r="B569" s="5">
        <v>41372</v>
      </c>
      <c r="C569">
        <v>500</v>
      </c>
      <c r="D569" t="s">
        <v>305</v>
      </c>
      <c r="E569" t="s">
        <v>857</v>
      </c>
      <c r="F569" t="s">
        <v>978</v>
      </c>
      <c r="G569" t="s">
        <v>24</v>
      </c>
    </row>
    <row r="570" spans="1:7" x14ac:dyDescent="0.3">
      <c r="A570" t="s">
        <v>289</v>
      </c>
      <c r="B570" s="5">
        <v>41394</v>
      </c>
      <c r="C570">
        <v>0.13</v>
      </c>
      <c r="D570" t="s">
        <v>305</v>
      </c>
      <c r="E570" t="s">
        <v>402</v>
      </c>
      <c r="F570" t="s">
        <v>629</v>
      </c>
      <c r="G570" t="s">
        <v>8</v>
      </c>
    </row>
    <row r="571" spans="1:7" x14ac:dyDescent="0.3">
      <c r="A571" t="s">
        <v>289</v>
      </c>
      <c r="B571" s="5">
        <v>41425</v>
      </c>
      <c r="C571">
        <v>0.14000000000000001</v>
      </c>
      <c r="D571" t="s">
        <v>305</v>
      </c>
      <c r="E571" t="s">
        <v>402</v>
      </c>
      <c r="F571" t="s">
        <v>629</v>
      </c>
      <c r="G571" t="s">
        <v>8</v>
      </c>
    </row>
    <row r="572" spans="1:7" x14ac:dyDescent="0.3">
      <c r="A572" t="s">
        <v>289</v>
      </c>
      <c r="B572" s="5">
        <v>41455</v>
      </c>
      <c r="C572">
        <v>0.14000000000000001</v>
      </c>
      <c r="D572" t="s">
        <v>305</v>
      </c>
      <c r="E572" t="s">
        <v>402</v>
      </c>
      <c r="F572" t="s">
        <v>629</v>
      </c>
      <c r="G572" t="s">
        <v>8</v>
      </c>
    </row>
    <row r="573" spans="1:7" x14ac:dyDescent="0.3">
      <c r="A573" t="s">
        <v>289</v>
      </c>
      <c r="B573" s="5">
        <v>41486</v>
      </c>
      <c r="C573">
        <v>0.14000000000000001</v>
      </c>
      <c r="D573" t="s">
        <v>305</v>
      </c>
      <c r="E573" t="s">
        <v>402</v>
      </c>
      <c r="F573" t="s">
        <v>629</v>
      </c>
      <c r="G573" t="s">
        <v>8</v>
      </c>
    </row>
    <row r="574" spans="1:7" x14ac:dyDescent="0.3">
      <c r="A574" t="s">
        <v>289</v>
      </c>
      <c r="B574" s="5">
        <v>41503</v>
      </c>
      <c r="C574">
        <v>-276.56</v>
      </c>
      <c r="D574" t="s">
        <v>305</v>
      </c>
      <c r="E574" t="s">
        <v>979</v>
      </c>
      <c r="F574" t="s">
        <v>980</v>
      </c>
      <c r="G574" t="s">
        <v>9</v>
      </c>
    </row>
    <row r="575" spans="1:7" x14ac:dyDescent="0.3">
      <c r="A575" t="s">
        <v>289</v>
      </c>
      <c r="B575" s="5">
        <v>41503</v>
      </c>
      <c r="C575">
        <v>-548.29</v>
      </c>
      <c r="D575" t="s">
        <v>305</v>
      </c>
      <c r="E575" t="s">
        <v>981</v>
      </c>
      <c r="F575" t="s">
        <v>982</v>
      </c>
      <c r="G575" t="s">
        <v>9</v>
      </c>
    </row>
    <row r="576" spans="1:7" x14ac:dyDescent="0.3">
      <c r="A576" t="s">
        <v>289</v>
      </c>
      <c r="B576" s="5">
        <v>41517</v>
      </c>
      <c r="C576">
        <v>0.13</v>
      </c>
      <c r="D576" t="s">
        <v>305</v>
      </c>
      <c r="E576" t="s">
        <v>402</v>
      </c>
      <c r="F576" t="s">
        <v>629</v>
      </c>
      <c r="G576" t="s">
        <v>8</v>
      </c>
    </row>
    <row r="577" spans="1:9" x14ac:dyDescent="0.3">
      <c r="A577" t="s">
        <v>289</v>
      </c>
      <c r="B577" s="5">
        <v>41518</v>
      </c>
      <c r="C577" s="4">
        <v>2000</v>
      </c>
      <c r="D577" t="s">
        <v>305</v>
      </c>
      <c r="E577" t="s">
        <v>983</v>
      </c>
      <c r="F577" t="s">
        <v>984</v>
      </c>
      <c r="G577" t="s">
        <v>24</v>
      </c>
    </row>
    <row r="578" spans="1:9" x14ac:dyDescent="0.3">
      <c r="A578" t="s">
        <v>289</v>
      </c>
      <c r="B578" s="5">
        <v>41518</v>
      </c>
      <c r="C578">
        <v>-24.48</v>
      </c>
      <c r="D578" t="s">
        <v>305</v>
      </c>
      <c r="E578" t="s">
        <v>985</v>
      </c>
      <c r="F578" t="s">
        <v>986</v>
      </c>
      <c r="G578" t="s">
        <v>9</v>
      </c>
    </row>
    <row r="579" spans="1:9" x14ac:dyDescent="0.3">
      <c r="A579" t="s">
        <v>289</v>
      </c>
      <c r="B579" s="5">
        <v>41547</v>
      </c>
      <c r="C579">
        <v>0.19</v>
      </c>
      <c r="D579" t="s">
        <v>305</v>
      </c>
      <c r="E579" t="s">
        <v>402</v>
      </c>
      <c r="F579" t="s">
        <v>629</v>
      </c>
      <c r="G579" t="s">
        <v>8</v>
      </c>
    </row>
    <row r="580" spans="1:9" x14ac:dyDescent="0.3">
      <c r="A580" t="s">
        <v>289</v>
      </c>
      <c r="B580" s="5">
        <v>41574</v>
      </c>
      <c r="C580">
        <v>-5.19</v>
      </c>
      <c r="D580" t="s">
        <v>305</v>
      </c>
      <c r="E580" t="s">
        <v>987</v>
      </c>
      <c r="F580" t="s">
        <v>988</v>
      </c>
      <c r="G580" t="s">
        <v>24</v>
      </c>
    </row>
    <row r="581" spans="1:9" x14ac:dyDescent="0.3">
      <c r="A581" t="s">
        <v>289</v>
      </c>
      <c r="B581" s="5">
        <v>41578</v>
      </c>
      <c r="C581">
        <v>0.19</v>
      </c>
      <c r="D581" t="s">
        <v>305</v>
      </c>
      <c r="E581" t="s">
        <v>402</v>
      </c>
      <c r="F581" t="s">
        <v>629</v>
      </c>
      <c r="G581" t="s">
        <v>8</v>
      </c>
    </row>
    <row r="582" spans="1:9" x14ac:dyDescent="0.3">
      <c r="A582" t="s">
        <v>289</v>
      </c>
      <c r="B582" s="5">
        <v>41608</v>
      </c>
      <c r="C582">
        <v>0.18</v>
      </c>
      <c r="D582" t="s">
        <v>305</v>
      </c>
      <c r="E582" t="s">
        <v>402</v>
      </c>
      <c r="F582" t="s">
        <v>629</v>
      </c>
      <c r="G582" t="s">
        <v>8</v>
      </c>
    </row>
    <row r="583" spans="1:9" x14ac:dyDescent="0.3">
      <c r="A583" t="s">
        <v>289</v>
      </c>
      <c r="B583" s="5">
        <v>41636</v>
      </c>
      <c r="C583">
        <v>0</v>
      </c>
      <c r="D583" t="s">
        <v>305</v>
      </c>
      <c r="E583" t="s">
        <v>309</v>
      </c>
      <c r="F583" t="s">
        <v>989</v>
      </c>
      <c r="G583" t="s">
        <v>25</v>
      </c>
    </row>
    <row r="584" spans="1:9" x14ac:dyDescent="0.3">
      <c r="A584" t="s">
        <v>289</v>
      </c>
      <c r="B584" s="5">
        <v>41639</v>
      </c>
      <c r="C584">
        <v>0.19</v>
      </c>
      <c r="D584" t="s">
        <v>305</v>
      </c>
      <c r="E584" t="s">
        <v>402</v>
      </c>
      <c r="F584" t="s">
        <v>629</v>
      </c>
      <c r="G584" t="s">
        <v>8</v>
      </c>
    </row>
    <row r="585" spans="1:9" x14ac:dyDescent="0.3">
      <c r="A585" t="s">
        <v>289</v>
      </c>
      <c r="B585" s="5">
        <v>41670</v>
      </c>
      <c r="C585">
        <v>0.19</v>
      </c>
      <c r="D585" t="s">
        <v>305</v>
      </c>
      <c r="E585" t="s">
        <v>402</v>
      </c>
      <c r="F585" t="s">
        <v>990</v>
      </c>
      <c r="G585" t="s">
        <v>8</v>
      </c>
    </row>
    <row r="586" spans="1:9" x14ac:dyDescent="0.3">
      <c r="A586" t="s">
        <v>289</v>
      </c>
      <c r="B586" s="5">
        <v>41698</v>
      </c>
      <c r="C586">
        <v>0.17</v>
      </c>
      <c r="D586" t="s">
        <v>307</v>
      </c>
      <c r="E586" t="s">
        <v>402</v>
      </c>
      <c r="F586" t="s">
        <v>629</v>
      </c>
      <c r="G586" t="s">
        <v>8</v>
      </c>
    </row>
    <row r="587" spans="1:9" x14ac:dyDescent="0.3">
      <c r="A587" t="s">
        <v>290</v>
      </c>
      <c r="B587" s="5">
        <v>41275</v>
      </c>
      <c r="C587">
        <v>907.2</v>
      </c>
      <c r="D587" t="s">
        <v>305</v>
      </c>
      <c r="E587" t="s">
        <v>702</v>
      </c>
      <c r="G587" t="s">
        <v>11</v>
      </c>
    </row>
    <row r="588" spans="1:9" x14ac:dyDescent="0.3">
      <c r="A588" t="s">
        <v>290</v>
      </c>
      <c r="B588" s="5">
        <v>41275</v>
      </c>
      <c r="C588">
        <v>-2</v>
      </c>
      <c r="D588" t="s">
        <v>305</v>
      </c>
      <c r="E588" t="s">
        <v>991</v>
      </c>
      <c r="G588" t="s">
        <v>403</v>
      </c>
      <c r="I588" t="s">
        <v>272</v>
      </c>
    </row>
    <row r="589" spans="1:9" x14ac:dyDescent="0.3">
      <c r="A589" t="s">
        <v>290</v>
      </c>
      <c r="B589" s="5">
        <v>41275</v>
      </c>
      <c r="C589">
        <v>-40</v>
      </c>
      <c r="D589" t="s">
        <v>305</v>
      </c>
      <c r="E589" t="s">
        <v>991</v>
      </c>
      <c r="G589" t="s">
        <v>334</v>
      </c>
      <c r="I589" t="s">
        <v>272</v>
      </c>
    </row>
    <row r="590" spans="1:9" x14ac:dyDescent="0.3">
      <c r="A590" t="s">
        <v>290</v>
      </c>
      <c r="B590" s="5">
        <v>41291</v>
      </c>
      <c r="C590">
        <v>-1.25</v>
      </c>
      <c r="D590" t="s">
        <v>305</v>
      </c>
      <c r="E590" t="s">
        <v>992</v>
      </c>
      <c r="G590" t="s">
        <v>403</v>
      </c>
      <c r="I590" t="s">
        <v>272</v>
      </c>
    </row>
    <row r="591" spans="1:9" x14ac:dyDescent="0.3">
      <c r="A591" t="s">
        <v>290</v>
      </c>
      <c r="B591" s="5">
        <v>41291</v>
      </c>
      <c r="C591">
        <v>-20</v>
      </c>
      <c r="D591" t="s">
        <v>305</v>
      </c>
      <c r="E591" t="s">
        <v>992</v>
      </c>
      <c r="G591" t="s">
        <v>334</v>
      </c>
      <c r="I591" t="s">
        <v>272</v>
      </c>
    </row>
    <row r="592" spans="1:9" x14ac:dyDescent="0.3">
      <c r="A592" t="s">
        <v>290</v>
      </c>
      <c r="B592" s="5">
        <v>41305</v>
      </c>
      <c r="C592">
        <v>3.25</v>
      </c>
      <c r="D592" t="s">
        <v>305</v>
      </c>
      <c r="E592" t="s">
        <v>630</v>
      </c>
      <c r="G592" t="s">
        <v>403</v>
      </c>
    </row>
    <row r="593" spans="1:9" x14ac:dyDescent="0.3">
      <c r="A593" t="s">
        <v>290</v>
      </c>
      <c r="B593" s="5">
        <v>41305</v>
      </c>
      <c r="C593">
        <v>0.11</v>
      </c>
      <c r="D593" t="s">
        <v>305</v>
      </c>
      <c r="E593" t="s">
        <v>631</v>
      </c>
      <c r="F593" t="s">
        <v>993</v>
      </c>
      <c r="G593" t="s">
        <v>8</v>
      </c>
    </row>
    <row r="594" spans="1:9" x14ac:dyDescent="0.3">
      <c r="A594" t="s">
        <v>290</v>
      </c>
      <c r="B594" s="5">
        <v>41313</v>
      </c>
      <c r="C594">
        <v>-1.25</v>
      </c>
      <c r="D594" t="s">
        <v>305</v>
      </c>
      <c r="E594" t="s">
        <v>994</v>
      </c>
      <c r="G594" t="s">
        <v>403</v>
      </c>
      <c r="I594" t="s">
        <v>272</v>
      </c>
    </row>
    <row r="595" spans="1:9" x14ac:dyDescent="0.3">
      <c r="A595" t="s">
        <v>290</v>
      </c>
      <c r="B595" s="5">
        <v>41313</v>
      </c>
      <c r="C595">
        <v>-60</v>
      </c>
      <c r="D595" t="s">
        <v>305</v>
      </c>
      <c r="E595" t="s">
        <v>994</v>
      </c>
      <c r="G595" t="s">
        <v>404</v>
      </c>
      <c r="I595" t="s">
        <v>272</v>
      </c>
    </row>
    <row r="596" spans="1:9" x14ac:dyDescent="0.3">
      <c r="A596" t="s">
        <v>290</v>
      </c>
      <c r="B596" s="5">
        <v>41314</v>
      </c>
      <c r="C596">
        <v>-2</v>
      </c>
      <c r="D596" t="s">
        <v>305</v>
      </c>
      <c r="E596" t="s">
        <v>995</v>
      </c>
      <c r="F596" t="s">
        <v>996</v>
      </c>
      <c r="G596" t="s">
        <v>403</v>
      </c>
      <c r="I596" t="s">
        <v>272</v>
      </c>
    </row>
    <row r="597" spans="1:9" x14ac:dyDescent="0.3">
      <c r="A597" t="s">
        <v>290</v>
      </c>
      <c r="B597" s="5">
        <v>41314</v>
      </c>
      <c r="C597">
        <v>-10.17</v>
      </c>
      <c r="D597" t="s">
        <v>305</v>
      </c>
      <c r="E597" t="s">
        <v>995</v>
      </c>
      <c r="G597" t="s">
        <v>334</v>
      </c>
      <c r="I597" t="s">
        <v>272</v>
      </c>
    </row>
    <row r="598" spans="1:9" x14ac:dyDescent="0.3">
      <c r="A598" t="s">
        <v>290</v>
      </c>
      <c r="B598" s="5">
        <v>41314</v>
      </c>
      <c r="C598">
        <v>-9.83</v>
      </c>
      <c r="D598" t="s">
        <v>305</v>
      </c>
      <c r="E598" t="s">
        <v>995</v>
      </c>
      <c r="F598" t="s">
        <v>997</v>
      </c>
      <c r="G598" t="s">
        <v>346</v>
      </c>
      <c r="I598" t="s">
        <v>272</v>
      </c>
    </row>
    <row r="599" spans="1:9" x14ac:dyDescent="0.3">
      <c r="A599" t="s">
        <v>290</v>
      </c>
      <c r="B599" s="5">
        <v>41333</v>
      </c>
      <c r="C599">
        <v>3.25</v>
      </c>
      <c r="D599" t="s">
        <v>305</v>
      </c>
      <c r="E599" t="s">
        <v>630</v>
      </c>
      <c r="G599" t="s">
        <v>403</v>
      </c>
    </row>
    <row r="600" spans="1:9" x14ac:dyDescent="0.3">
      <c r="A600" t="s">
        <v>290</v>
      </c>
      <c r="B600" s="5">
        <v>41333</v>
      </c>
      <c r="C600">
        <v>0.09</v>
      </c>
      <c r="D600" t="s">
        <v>305</v>
      </c>
      <c r="E600" t="s">
        <v>405</v>
      </c>
      <c r="F600" t="s">
        <v>998</v>
      </c>
      <c r="G600" t="s">
        <v>8</v>
      </c>
    </row>
    <row r="601" spans="1:9" x14ac:dyDescent="0.3">
      <c r="A601" t="s">
        <v>290</v>
      </c>
      <c r="B601" s="5">
        <v>41342</v>
      </c>
      <c r="C601">
        <v>-62.78</v>
      </c>
      <c r="D601" t="s">
        <v>305</v>
      </c>
      <c r="E601" t="s">
        <v>406</v>
      </c>
      <c r="F601" t="s">
        <v>999</v>
      </c>
      <c r="G601" t="s">
        <v>343</v>
      </c>
      <c r="I601" t="s">
        <v>272</v>
      </c>
    </row>
    <row r="602" spans="1:9" x14ac:dyDescent="0.3">
      <c r="A602" t="s">
        <v>290</v>
      </c>
      <c r="B602" s="5">
        <v>41342</v>
      </c>
      <c r="C602">
        <v>-43.66</v>
      </c>
      <c r="D602" t="s">
        <v>305</v>
      </c>
      <c r="E602" t="s">
        <v>406</v>
      </c>
      <c r="F602" t="s">
        <v>1000</v>
      </c>
      <c r="G602" t="s">
        <v>69</v>
      </c>
      <c r="I602" t="s">
        <v>272</v>
      </c>
    </row>
    <row r="603" spans="1:9" x14ac:dyDescent="0.3">
      <c r="A603" t="s">
        <v>290</v>
      </c>
      <c r="B603" s="5">
        <v>41362</v>
      </c>
      <c r="C603">
        <v>0.05</v>
      </c>
      <c r="D603" t="s">
        <v>305</v>
      </c>
      <c r="E603" t="s">
        <v>631</v>
      </c>
      <c r="G603" t="s">
        <v>8</v>
      </c>
    </row>
    <row r="604" spans="1:9" x14ac:dyDescent="0.3">
      <c r="A604" t="s">
        <v>290</v>
      </c>
      <c r="B604" s="5">
        <v>41384</v>
      </c>
      <c r="C604">
        <v>-80</v>
      </c>
      <c r="D604" t="s">
        <v>305</v>
      </c>
      <c r="E604" t="s">
        <v>1001</v>
      </c>
      <c r="F604" t="s">
        <v>1002</v>
      </c>
      <c r="G604" t="s">
        <v>632</v>
      </c>
    </row>
    <row r="605" spans="1:9" x14ac:dyDescent="0.3">
      <c r="A605" t="s">
        <v>290</v>
      </c>
      <c r="B605" s="5">
        <v>41389</v>
      </c>
      <c r="C605">
        <v>-60</v>
      </c>
      <c r="D605" t="s">
        <v>305</v>
      </c>
      <c r="E605" t="s">
        <v>992</v>
      </c>
      <c r="G605" t="s">
        <v>404</v>
      </c>
      <c r="I605" t="s">
        <v>272</v>
      </c>
    </row>
    <row r="606" spans="1:9" x14ac:dyDescent="0.3">
      <c r="A606" t="s">
        <v>290</v>
      </c>
      <c r="B606" s="5">
        <v>41389</v>
      </c>
      <c r="C606">
        <v>-1.25</v>
      </c>
      <c r="D606" t="s">
        <v>305</v>
      </c>
      <c r="E606" t="s">
        <v>992</v>
      </c>
      <c r="G606" t="s">
        <v>403</v>
      </c>
      <c r="I606" t="s">
        <v>272</v>
      </c>
    </row>
    <row r="607" spans="1:9" x14ac:dyDescent="0.3">
      <c r="A607" t="s">
        <v>290</v>
      </c>
      <c r="B607" s="5">
        <v>41389</v>
      </c>
      <c r="C607">
        <v>-20</v>
      </c>
      <c r="D607" t="s">
        <v>305</v>
      </c>
      <c r="E607" t="s">
        <v>992</v>
      </c>
      <c r="G607" t="s">
        <v>334</v>
      </c>
      <c r="I607" t="s">
        <v>272</v>
      </c>
    </row>
    <row r="608" spans="1:9" x14ac:dyDescent="0.3">
      <c r="A608" t="s">
        <v>290</v>
      </c>
      <c r="B608" s="5">
        <v>41394</v>
      </c>
      <c r="C608">
        <v>0.05</v>
      </c>
      <c r="D608" t="s">
        <v>305</v>
      </c>
      <c r="E608" t="s">
        <v>631</v>
      </c>
      <c r="G608" t="s">
        <v>8</v>
      </c>
    </row>
    <row r="609" spans="1:9" x14ac:dyDescent="0.3">
      <c r="A609" t="s">
        <v>290</v>
      </c>
      <c r="B609" s="5">
        <v>41394</v>
      </c>
      <c r="C609">
        <v>1.25</v>
      </c>
      <c r="D609" t="s">
        <v>305</v>
      </c>
      <c r="E609" t="s">
        <v>630</v>
      </c>
      <c r="G609" t="s">
        <v>403</v>
      </c>
    </row>
    <row r="610" spans="1:9" x14ac:dyDescent="0.3">
      <c r="A610" t="s">
        <v>290</v>
      </c>
      <c r="B610" s="5">
        <v>41397</v>
      </c>
      <c r="C610">
        <v>-8.3000000000000007</v>
      </c>
      <c r="D610" t="s">
        <v>305</v>
      </c>
      <c r="E610" t="s">
        <v>1003</v>
      </c>
      <c r="F610" t="s">
        <v>1004</v>
      </c>
      <c r="G610" t="s">
        <v>633</v>
      </c>
    </row>
    <row r="611" spans="1:9" x14ac:dyDescent="0.3">
      <c r="A611" t="s">
        <v>290</v>
      </c>
      <c r="B611" s="5">
        <v>41409</v>
      </c>
      <c r="C611" s="4">
        <v>1000</v>
      </c>
      <c r="D611" t="s">
        <v>305</v>
      </c>
      <c r="E611" t="s">
        <v>708</v>
      </c>
      <c r="F611" t="s">
        <v>709</v>
      </c>
      <c r="G611" t="s">
        <v>7</v>
      </c>
    </row>
    <row r="612" spans="1:9" x14ac:dyDescent="0.3">
      <c r="A612" t="s">
        <v>290</v>
      </c>
      <c r="B612" s="5">
        <v>41425</v>
      </c>
      <c r="C612">
        <v>0.09</v>
      </c>
      <c r="D612" t="s">
        <v>305</v>
      </c>
      <c r="E612" t="s">
        <v>631</v>
      </c>
      <c r="G612" t="s">
        <v>8</v>
      </c>
    </row>
    <row r="613" spans="1:9" x14ac:dyDescent="0.3">
      <c r="A613" t="s">
        <v>290</v>
      </c>
      <c r="B613" s="5">
        <v>41453</v>
      </c>
      <c r="C613">
        <v>0.11</v>
      </c>
      <c r="D613" t="s">
        <v>305</v>
      </c>
      <c r="E613" t="s">
        <v>631</v>
      </c>
      <c r="G613" t="s">
        <v>8</v>
      </c>
    </row>
    <row r="614" spans="1:9" x14ac:dyDescent="0.3">
      <c r="A614" t="s">
        <v>290</v>
      </c>
      <c r="B614" s="5">
        <v>41453</v>
      </c>
      <c r="C614">
        <v>-549.54</v>
      </c>
      <c r="D614" t="s">
        <v>305</v>
      </c>
      <c r="E614" t="s">
        <v>603</v>
      </c>
      <c r="F614" t="s">
        <v>1005</v>
      </c>
      <c r="G614" t="s">
        <v>1006</v>
      </c>
    </row>
    <row r="615" spans="1:9" x14ac:dyDescent="0.3">
      <c r="A615" t="s">
        <v>290</v>
      </c>
      <c r="B615" s="5">
        <v>41460</v>
      </c>
      <c r="C615">
        <v>-133.97</v>
      </c>
      <c r="D615" t="s">
        <v>305</v>
      </c>
      <c r="E615" t="s">
        <v>634</v>
      </c>
      <c r="F615" t="s">
        <v>1007</v>
      </c>
      <c r="G615" t="s">
        <v>635</v>
      </c>
    </row>
    <row r="616" spans="1:9" x14ac:dyDescent="0.3">
      <c r="A616" t="s">
        <v>290</v>
      </c>
      <c r="B616" s="5">
        <v>41482</v>
      </c>
      <c r="C616">
        <v>-25</v>
      </c>
      <c r="D616" t="s">
        <v>305</v>
      </c>
      <c r="E616" t="s">
        <v>1008</v>
      </c>
      <c r="F616" t="s">
        <v>1009</v>
      </c>
      <c r="G616" t="s">
        <v>636</v>
      </c>
      <c r="I616" t="s">
        <v>272</v>
      </c>
    </row>
    <row r="617" spans="1:9" x14ac:dyDescent="0.3">
      <c r="A617" t="s">
        <v>290</v>
      </c>
      <c r="B617" s="5">
        <v>41482</v>
      </c>
      <c r="C617">
        <v>-3</v>
      </c>
      <c r="D617" t="s">
        <v>305</v>
      </c>
      <c r="E617" t="s">
        <v>1008</v>
      </c>
      <c r="G617" t="s">
        <v>403</v>
      </c>
      <c r="I617" t="s">
        <v>272</v>
      </c>
    </row>
    <row r="618" spans="1:9" x14ac:dyDescent="0.3">
      <c r="A618" t="s">
        <v>290</v>
      </c>
      <c r="B618" s="5">
        <v>41482</v>
      </c>
      <c r="C618">
        <v>-40</v>
      </c>
      <c r="D618" t="s">
        <v>305</v>
      </c>
      <c r="E618" t="s">
        <v>1008</v>
      </c>
      <c r="G618" t="s">
        <v>334</v>
      </c>
      <c r="I618" t="s">
        <v>272</v>
      </c>
    </row>
    <row r="619" spans="1:9" x14ac:dyDescent="0.3">
      <c r="A619" t="s">
        <v>290</v>
      </c>
      <c r="B619" s="5">
        <v>41482</v>
      </c>
      <c r="C619">
        <v>-15</v>
      </c>
      <c r="D619" t="s">
        <v>305</v>
      </c>
      <c r="E619" t="s">
        <v>1008</v>
      </c>
      <c r="F619" t="s">
        <v>1010</v>
      </c>
      <c r="G619" t="s">
        <v>348</v>
      </c>
      <c r="I619" t="s">
        <v>272</v>
      </c>
    </row>
    <row r="620" spans="1:9" x14ac:dyDescent="0.3">
      <c r="A620" t="s">
        <v>290</v>
      </c>
      <c r="B620" s="5">
        <v>41482</v>
      </c>
      <c r="C620">
        <v>-20</v>
      </c>
      <c r="D620" t="s">
        <v>305</v>
      </c>
      <c r="E620" t="s">
        <v>1008</v>
      </c>
      <c r="F620" t="s">
        <v>1011</v>
      </c>
      <c r="G620" t="s">
        <v>632</v>
      </c>
      <c r="I620" t="s">
        <v>272</v>
      </c>
    </row>
    <row r="621" spans="1:9" x14ac:dyDescent="0.3">
      <c r="A621" t="s">
        <v>290</v>
      </c>
      <c r="B621" s="5">
        <v>41486</v>
      </c>
      <c r="C621">
        <v>7.0000000000000007E-2</v>
      </c>
      <c r="D621" t="s">
        <v>305</v>
      </c>
      <c r="E621" t="s">
        <v>631</v>
      </c>
      <c r="G621" t="s">
        <v>8</v>
      </c>
    </row>
    <row r="622" spans="1:9" x14ac:dyDescent="0.3">
      <c r="A622" t="s">
        <v>290</v>
      </c>
      <c r="B622" s="5">
        <v>41486</v>
      </c>
      <c r="C622">
        <v>3</v>
      </c>
      <c r="D622" t="s">
        <v>305</v>
      </c>
      <c r="E622" t="s">
        <v>630</v>
      </c>
      <c r="G622" t="s">
        <v>403</v>
      </c>
    </row>
    <row r="623" spans="1:9" x14ac:dyDescent="0.3">
      <c r="A623" t="s">
        <v>290</v>
      </c>
      <c r="B623" s="5">
        <v>41496</v>
      </c>
      <c r="C623">
        <v>-40</v>
      </c>
      <c r="D623" t="s">
        <v>305</v>
      </c>
      <c r="E623" t="s">
        <v>1012</v>
      </c>
      <c r="F623" t="s">
        <v>1013</v>
      </c>
      <c r="G623" t="s">
        <v>632</v>
      </c>
      <c r="I623" t="s">
        <v>272</v>
      </c>
    </row>
    <row r="624" spans="1:9" x14ac:dyDescent="0.3">
      <c r="A624" t="s">
        <v>290</v>
      </c>
      <c r="B624" s="5">
        <v>41496</v>
      </c>
      <c r="C624">
        <v>-1.5</v>
      </c>
      <c r="D624" t="s">
        <v>305</v>
      </c>
      <c r="E624" t="s">
        <v>1012</v>
      </c>
      <c r="F624" t="s">
        <v>1013</v>
      </c>
      <c r="G624" t="s">
        <v>632</v>
      </c>
      <c r="I624" t="s">
        <v>272</v>
      </c>
    </row>
    <row r="625" spans="1:9" x14ac:dyDescent="0.3">
      <c r="A625" t="s">
        <v>290</v>
      </c>
      <c r="B625" s="5">
        <v>41508</v>
      </c>
      <c r="C625">
        <v>-60</v>
      </c>
      <c r="D625" t="s">
        <v>305</v>
      </c>
      <c r="E625" t="s">
        <v>995</v>
      </c>
      <c r="G625" t="s">
        <v>32</v>
      </c>
      <c r="I625" t="s">
        <v>272</v>
      </c>
    </row>
    <row r="626" spans="1:9" x14ac:dyDescent="0.3">
      <c r="A626" t="s">
        <v>290</v>
      </c>
      <c r="B626" s="5">
        <v>41508</v>
      </c>
      <c r="C626">
        <v>-2</v>
      </c>
      <c r="D626" t="s">
        <v>305</v>
      </c>
      <c r="E626" t="s">
        <v>995</v>
      </c>
      <c r="G626" t="s">
        <v>403</v>
      </c>
      <c r="I626" t="s">
        <v>272</v>
      </c>
    </row>
    <row r="627" spans="1:9" x14ac:dyDescent="0.3">
      <c r="A627" t="s">
        <v>290</v>
      </c>
      <c r="B627" s="5">
        <v>41515</v>
      </c>
      <c r="C627">
        <v>-309.24</v>
      </c>
      <c r="D627" t="s">
        <v>305</v>
      </c>
      <c r="E627" t="s">
        <v>603</v>
      </c>
      <c r="F627" t="s">
        <v>1014</v>
      </c>
      <c r="G627" t="s">
        <v>1015</v>
      </c>
    </row>
    <row r="628" spans="1:9" x14ac:dyDescent="0.3">
      <c r="A628" t="s">
        <v>290</v>
      </c>
      <c r="B628" s="5">
        <v>41516</v>
      </c>
      <c r="C628">
        <v>0.05</v>
      </c>
      <c r="D628" t="s">
        <v>305</v>
      </c>
      <c r="E628" t="s">
        <v>631</v>
      </c>
      <c r="G628" t="s">
        <v>8</v>
      </c>
    </row>
    <row r="629" spans="1:9" x14ac:dyDescent="0.3">
      <c r="A629" t="s">
        <v>290</v>
      </c>
      <c r="B629" s="5">
        <v>41516</v>
      </c>
      <c r="C629">
        <v>2</v>
      </c>
      <c r="D629" t="s">
        <v>305</v>
      </c>
      <c r="E629" t="s">
        <v>630</v>
      </c>
      <c r="G629" t="s">
        <v>403</v>
      </c>
    </row>
    <row r="630" spans="1:9" x14ac:dyDescent="0.3">
      <c r="A630" t="s">
        <v>290</v>
      </c>
      <c r="B630" s="5">
        <v>41519</v>
      </c>
      <c r="C630">
        <v>-60</v>
      </c>
      <c r="D630" t="s">
        <v>305</v>
      </c>
      <c r="E630" t="s">
        <v>1008</v>
      </c>
      <c r="G630" t="s">
        <v>32</v>
      </c>
      <c r="I630" t="s">
        <v>272</v>
      </c>
    </row>
    <row r="631" spans="1:9" x14ac:dyDescent="0.3">
      <c r="A631" t="s">
        <v>290</v>
      </c>
      <c r="B631" s="5">
        <v>41519</v>
      </c>
      <c r="C631">
        <v>-3</v>
      </c>
      <c r="D631" t="s">
        <v>305</v>
      </c>
      <c r="E631" t="s">
        <v>1008</v>
      </c>
      <c r="G631" t="s">
        <v>403</v>
      </c>
      <c r="I631" t="s">
        <v>272</v>
      </c>
    </row>
    <row r="632" spans="1:9" x14ac:dyDescent="0.3">
      <c r="A632" t="s">
        <v>290</v>
      </c>
      <c r="B632" s="5">
        <v>41539</v>
      </c>
      <c r="C632">
        <v>-3</v>
      </c>
      <c r="D632" t="s">
        <v>305</v>
      </c>
      <c r="E632" t="s">
        <v>1008</v>
      </c>
      <c r="G632" t="s">
        <v>403</v>
      </c>
      <c r="I632" t="s">
        <v>272</v>
      </c>
    </row>
    <row r="633" spans="1:9" x14ac:dyDescent="0.3">
      <c r="A633" t="s">
        <v>290</v>
      </c>
      <c r="B633" s="5">
        <v>41539</v>
      </c>
      <c r="C633">
        <v>-40</v>
      </c>
      <c r="D633" t="s">
        <v>305</v>
      </c>
      <c r="E633" t="s">
        <v>1008</v>
      </c>
      <c r="G633" t="s">
        <v>32</v>
      </c>
      <c r="I633" t="s">
        <v>272</v>
      </c>
    </row>
    <row r="634" spans="1:9" x14ac:dyDescent="0.3">
      <c r="A634" t="s">
        <v>290</v>
      </c>
      <c r="B634" s="5">
        <v>41547</v>
      </c>
      <c r="C634">
        <v>0.02</v>
      </c>
      <c r="D634" t="s">
        <v>305</v>
      </c>
      <c r="E634" t="s">
        <v>631</v>
      </c>
      <c r="G634" t="s">
        <v>8</v>
      </c>
    </row>
    <row r="635" spans="1:9" x14ac:dyDescent="0.3">
      <c r="A635" t="s">
        <v>290</v>
      </c>
      <c r="B635" s="5">
        <v>41547</v>
      </c>
      <c r="C635">
        <v>6</v>
      </c>
      <c r="D635" t="s">
        <v>305</v>
      </c>
      <c r="E635" t="s">
        <v>630</v>
      </c>
      <c r="G635" t="s">
        <v>403</v>
      </c>
    </row>
    <row r="636" spans="1:9" x14ac:dyDescent="0.3">
      <c r="A636" t="s">
        <v>290</v>
      </c>
      <c r="B636" s="5">
        <v>41550</v>
      </c>
      <c r="C636">
        <v>25.96</v>
      </c>
      <c r="D636" t="s">
        <v>305</v>
      </c>
      <c r="E636" t="s">
        <v>1016</v>
      </c>
      <c r="F636" t="s">
        <v>1017</v>
      </c>
      <c r="G636" t="s">
        <v>89</v>
      </c>
    </row>
    <row r="637" spans="1:9" x14ac:dyDescent="0.3">
      <c r="A637" t="s">
        <v>290</v>
      </c>
      <c r="B637" s="5">
        <v>41550</v>
      </c>
      <c r="C637">
        <v>-68.760000000000005</v>
      </c>
      <c r="D637" t="s">
        <v>305</v>
      </c>
      <c r="E637" t="s">
        <v>406</v>
      </c>
      <c r="F637" t="s">
        <v>407</v>
      </c>
      <c r="G637" t="s">
        <v>343</v>
      </c>
    </row>
    <row r="638" spans="1:9" x14ac:dyDescent="0.3">
      <c r="A638" t="s">
        <v>290</v>
      </c>
      <c r="B638" s="5">
        <v>41550</v>
      </c>
      <c r="C638">
        <v>-156.05000000000001</v>
      </c>
      <c r="D638" t="s">
        <v>305</v>
      </c>
      <c r="E638" t="s">
        <v>406</v>
      </c>
      <c r="F638" t="s">
        <v>1018</v>
      </c>
      <c r="G638" t="s">
        <v>615</v>
      </c>
    </row>
    <row r="639" spans="1:9" x14ac:dyDescent="0.3">
      <c r="A639" t="s">
        <v>290</v>
      </c>
      <c r="B639" s="5">
        <v>41565</v>
      </c>
      <c r="C639" s="4">
        <v>2000</v>
      </c>
      <c r="D639" t="s">
        <v>305</v>
      </c>
      <c r="E639" t="s">
        <v>708</v>
      </c>
      <c r="F639" t="s">
        <v>709</v>
      </c>
      <c r="G639" t="s">
        <v>7</v>
      </c>
    </row>
    <row r="640" spans="1:9" x14ac:dyDescent="0.3">
      <c r="A640" t="s">
        <v>290</v>
      </c>
      <c r="B640" s="5">
        <v>41576</v>
      </c>
      <c r="C640">
        <v>-60</v>
      </c>
      <c r="D640" t="s">
        <v>305</v>
      </c>
      <c r="E640" t="s">
        <v>1019</v>
      </c>
      <c r="F640" t="s">
        <v>1020</v>
      </c>
      <c r="G640" t="s">
        <v>404</v>
      </c>
      <c r="I640" t="s">
        <v>272</v>
      </c>
    </row>
    <row r="641" spans="1:9" x14ac:dyDescent="0.3">
      <c r="A641" t="s">
        <v>290</v>
      </c>
      <c r="B641" s="5">
        <v>41576</v>
      </c>
      <c r="C641">
        <v>-2.25</v>
      </c>
      <c r="D641" t="s">
        <v>305</v>
      </c>
      <c r="E641" t="s">
        <v>1019</v>
      </c>
      <c r="G641" t="s">
        <v>403</v>
      </c>
      <c r="I641" t="s">
        <v>272</v>
      </c>
    </row>
    <row r="642" spans="1:9" x14ac:dyDescent="0.3">
      <c r="A642" t="s">
        <v>290</v>
      </c>
      <c r="B642" s="5">
        <v>41578</v>
      </c>
      <c r="C642">
        <v>0.08</v>
      </c>
      <c r="D642" t="s">
        <v>305</v>
      </c>
      <c r="E642" t="s">
        <v>405</v>
      </c>
      <c r="G642" t="s">
        <v>8</v>
      </c>
    </row>
    <row r="643" spans="1:9" x14ac:dyDescent="0.3">
      <c r="A643" t="s">
        <v>290</v>
      </c>
      <c r="B643" s="5">
        <v>41578</v>
      </c>
      <c r="C643">
        <v>2.25</v>
      </c>
      <c r="D643" t="s">
        <v>305</v>
      </c>
      <c r="E643" t="s">
        <v>630</v>
      </c>
      <c r="F643" t="s">
        <v>1021</v>
      </c>
      <c r="G643" t="s">
        <v>403</v>
      </c>
    </row>
    <row r="644" spans="1:9" x14ac:dyDescent="0.3">
      <c r="A644" t="s">
        <v>290</v>
      </c>
      <c r="B644" s="5">
        <v>41601</v>
      </c>
      <c r="C644">
        <v>-113.29</v>
      </c>
      <c r="D644" t="s">
        <v>305</v>
      </c>
      <c r="E644" t="s">
        <v>406</v>
      </c>
      <c r="F644" t="s">
        <v>1022</v>
      </c>
      <c r="G644" t="s">
        <v>342</v>
      </c>
      <c r="I644" t="s">
        <v>272</v>
      </c>
    </row>
    <row r="645" spans="1:9" x14ac:dyDescent="0.3">
      <c r="A645" t="s">
        <v>290</v>
      </c>
      <c r="B645" s="5">
        <v>41601</v>
      </c>
      <c r="C645">
        <v>-97.53</v>
      </c>
      <c r="D645" t="s">
        <v>305</v>
      </c>
      <c r="E645" t="s">
        <v>406</v>
      </c>
      <c r="F645" t="s">
        <v>407</v>
      </c>
      <c r="G645" t="s">
        <v>343</v>
      </c>
      <c r="I645" t="s">
        <v>272</v>
      </c>
    </row>
    <row r="646" spans="1:9" x14ac:dyDescent="0.3">
      <c r="A646" t="s">
        <v>290</v>
      </c>
      <c r="B646" s="5">
        <v>41607</v>
      </c>
      <c r="C646">
        <v>0.15</v>
      </c>
      <c r="D646" t="s">
        <v>305</v>
      </c>
      <c r="E646" t="s">
        <v>405</v>
      </c>
      <c r="G646" t="s">
        <v>8</v>
      </c>
    </row>
    <row r="647" spans="1:9" x14ac:dyDescent="0.3">
      <c r="A647" t="s">
        <v>290</v>
      </c>
      <c r="B647" s="5">
        <v>41623</v>
      </c>
      <c r="C647">
        <v>-9</v>
      </c>
      <c r="D647" t="s">
        <v>305</v>
      </c>
      <c r="E647" t="s">
        <v>1023</v>
      </c>
      <c r="F647" t="s">
        <v>1024</v>
      </c>
      <c r="G647" t="s">
        <v>17</v>
      </c>
      <c r="I647" t="s">
        <v>272</v>
      </c>
    </row>
    <row r="648" spans="1:9" x14ac:dyDescent="0.3">
      <c r="A648" t="s">
        <v>290</v>
      </c>
      <c r="B648" s="5">
        <v>41623</v>
      </c>
      <c r="C648">
        <v>-3</v>
      </c>
      <c r="D648" t="s">
        <v>305</v>
      </c>
      <c r="E648" t="s">
        <v>1023</v>
      </c>
      <c r="G648" t="s">
        <v>403</v>
      </c>
      <c r="I648" t="s">
        <v>272</v>
      </c>
    </row>
    <row r="649" spans="1:9" x14ac:dyDescent="0.3">
      <c r="A649" t="s">
        <v>290</v>
      </c>
      <c r="B649" s="5">
        <v>41623</v>
      </c>
      <c r="C649">
        <v>-11</v>
      </c>
      <c r="D649" t="s">
        <v>305</v>
      </c>
      <c r="E649" t="s">
        <v>1023</v>
      </c>
      <c r="F649" t="s">
        <v>1025</v>
      </c>
      <c r="G649" t="s">
        <v>334</v>
      </c>
      <c r="I649" t="s">
        <v>272</v>
      </c>
    </row>
    <row r="650" spans="1:9" x14ac:dyDescent="0.3">
      <c r="A650" t="s">
        <v>290</v>
      </c>
      <c r="B650" s="5">
        <v>41623</v>
      </c>
      <c r="C650">
        <v>-20</v>
      </c>
      <c r="D650" t="s">
        <v>305</v>
      </c>
      <c r="E650" t="s">
        <v>1023</v>
      </c>
      <c r="F650" t="s">
        <v>1026</v>
      </c>
      <c r="G650" t="s">
        <v>404</v>
      </c>
      <c r="I650" t="s">
        <v>272</v>
      </c>
    </row>
    <row r="651" spans="1:9" x14ac:dyDescent="0.3">
      <c r="A651" t="s">
        <v>290</v>
      </c>
      <c r="B651" s="5">
        <v>41629</v>
      </c>
      <c r="C651">
        <v>-40</v>
      </c>
      <c r="D651" t="s">
        <v>305</v>
      </c>
      <c r="E651" t="s">
        <v>408</v>
      </c>
      <c r="F651" t="s">
        <v>409</v>
      </c>
      <c r="G651" t="s">
        <v>404</v>
      </c>
      <c r="I651" t="s">
        <v>272</v>
      </c>
    </row>
    <row r="652" spans="1:9" x14ac:dyDescent="0.3">
      <c r="A652" t="s">
        <v>290</v>
      </c>
      <c r="B652" s="5">
        <v>41629</v>
      </c>
      <c r="C652">
        <v>-2</v>
      </c>
      <c r="D652" t="s">
        <v>305</v>
      </c>
      <c r="E652" t="s">
        <v>408</v>
      </c>
      <c r="G652" t="s">
        <v>403</v>
      </c>
      <c r="I652" t="s">
        <v>272</v>
      </c>
    </row>
    <row r="653" spans="1:9" x14ac:dyDescent="0.3">
      <c r="A653" t="s">
        <v>290</v>
      </c>
      <c r="B653" s="5">
        <v>41636</v>
      </c>
      <c r="C653">
        <v>0</v>
      </c>
      <c r="D653" t="s">
        <v>305</v>
      </c>
      <c r="E653" t="s">
        <v>309</v>
      </c>
      <c r="F653" t="s">
        <v>1027</v>
      </c>
      <c r="G653" t="s">
        <v>11</v>
      </c>
    </row>
    <row r="654" spans="1:9" x14ac:dyDescent="0.3">
      <c r="A654" t="s">
        <v>290</v>
      </c>
      <c r="B654" s="5">
        <v>41639</v>
      </c>
      <c r="C654">
        <v>0.15</v>
      </c>
      <c r="D654" t="s">
        <v>305</v>
      </c>
      <c r="E654" t="s">
        <v>405</v>
      </c>
      <c r="G654" t="s">
        <v>8</v>
      </c>
    </row>
    <row r="655" spans="1:9" x14ac:dyDescent="0.3">
      <c r="A655" t="s">
        <v>290</v>
      </c>
      <c r="B655" s="5">
        <v>41639</v>
      </c>
      <c r="C655">
        <v>5</v>
      </c>
      <c r="D655" t="s">
        <v>305</v>
      </c>
      <c r="E655" t="s">
        <v>410</v>
      </c>
      <c r="F655" t="s">
        <v>601</v>
      </c>
      <c r="G655" t="s">
        <v>403</v>
      </c>
    </row>
    <row r="656" spans="1:9" x14ac:dyDescent="0.3">
      <c r="A656" t="s">
        <v>290</v>
      </c>
      <c r="B656" s="5">
        <v>41664</v>
      </c>
      <c r="C656">
        <v>-3.5</v>
      </c>
      <c r="D656" t="s">
        <v>305</v>
      </c>
      <c r="E656" t="s">
        <v>411</v>
      </c>
      <c r="G656" t="s">
        <v>403</v>
      </c>
      <c r="I656" t="s">
        <v>272</v>
      </c>
    </row>
    <row r="657" spans="1:9" x14ac:dyDescent="0.3">
      <c r="A657" t="s">
        <v>290</v>
      </c>
      <c r="B657" s="5">
        <v>41664</v>
      </c>
      <c r="C657">
        <v>-20</v>
      </c>
      <c r="D657" t="s">
        <v>305</v>
      </c>
      <c r="E657" t="s">
        <v>411</v>
      </c>
      <c r="F657" t="s">
        <v>412</v>
      </c>
      <c r="G657" t="s">
        <v>404</v>
      </c>
      <c r="I657" t="s">
        <v>272</v>
      </c>
    </row>
    <row r="658" spans="1:9" x14ac:dyDescent="0.3">
      <c r="A658" t="s">
        <v>290</v>
      </c>
      <c r="B658" s="5">
        <v>41667</v>
      </c>
      <c r="C658">
        <v>-40</v>
      </c>
      <c r="D658" t="s">
        <v>305</v>
      </c>
      <c r="E658" t="s">
        <v>408</v>
      </c>
      <c r="F658" t="s">
        <v>409</v>
      </c>
      <c r="G658" t="s">
        <v>404</v>
      </c>
      <c r="I658" t="s">
        <v>272</v>
      </c>
    </row>
    <row r="659" spans="1:9" x14ac:dyDescent="0.3">
      <c r="A659" t="s">
        <v>290</v>
      </c>
      <c r="B659" s="5">
        <v>41667</v>
      </c>
      <c r="C659">
        <v>-2</v>
      </c>
      <c r="D659" t="s">
        <v>305</v>
      </c>
      <c r="E659" t="s">
        <v>408</v>
      </c>
      <c r="G659" t="s">
        <v>403</v>
      </c>
      <c r="I659" t="s">
        <v>272</v>
      </c>
    </row>
    <row r="660" spans="1:9" x14ac:dyDescent="0.3">
      <c r="A660" t="s">
        <v>290</v>
      </c>
      <c r="B660" s="5">
        <v>41670</v>
      </c>
      <c r="C660">
        <v>0.14000000000000001</v>
      </c>
      <c r="D660" t="s">
        <v>305</v>
      </c>
      <c r="E660" t="s">
        <v>405</v>
      </c>
      <c r="G660" t="s">
        <v>8</v>
      </c>
    </row>
    <row r="661" spans="1:9" x14ac:dyDescent="0.3">
      <c r="A661" t="s">
        <v>290</v>
      </c>
      <c r="B661" s="5">
        <v>41670</v>
      </c>
      <c r="C661">
        <v>5.5</v>
      </c>
      <c r="D661" t="s">
        <v>305</v>
      </c>
      <c r="E661" t="s">
        <v>410</v>
      </c>
      <c r="G661" t="s">
        <v>403</v>
      </c>
    </row>
    <row r="662" spans="1:9" x14ac:dyDescent="0.3">
      <c r="A662" t="s">
        <v>290</v>
      </c>
      <c r="B662" s="5">
        <v>41674</v>
      </c>
      <c r="C662">
        <v>-1.25</v>
      </c>
      <c r="D662" t="s">
        <v>305</v>
      </c>
      <c r="E662" t="s">
        <v>413</v>
      </c>
      <c r="G662" t="s">
        <v>403</v>
      </c>
      <c r="I662" t="s">
        <v>272</v>
      </c>
    </row>
    <row r="663" spans="1:9" x14ac:dyDescent="0.3">
      <c r="A663" t="s">
        <v>290</v>
      </c>
      <c r="B663" s="5">
        <v>41674</v>
      </c>
      <c r="C663">
        <v>-5</v>
      </c>
      <c r="D663" t="s">
        <v>305</v>
      </c>
      <c r="E663" t="s">
        <v>413</v>
      </c>
      <c r="F663" t="s">
        <v>414</v>
      </c>
      <c r="G663" t="s">
        <v>56</v>
      </c>
      <c r="I663" t="s">
        <v>272</v>
      </c>
    </row>
    <row r="664" spans="1:9" x14ac:dyDescent="0.3">
      <c r="A664" t="s">
        <v>290</v>
      </c>
      <c r="B664" s="5">
        <v>41674</v>
      </c>
      <c r="C664">
        <v>-15</v>
      </c>
      <c r="D664" t="s">
        <v>305</v>
      </c>
      <c r="E664" t="s">
        <v>413</v>
      </c>
      <c r="G664" t="s">
        <v>334</v>
      </c>
      <c r="I664" t="s">
        <v>272</v>
      </c>
    </row>
    <row r="665" spans="1:9" x14ac:dyDescent="0.3">
      <c r="A665" t="s">
        <v>290</v>
      </c>
      <c r="B665" s="5">
        <v>41679</v>
      </c>
      <c r="C665">
        <v>-40</v>
      </c>
      <c r="D665" t="s">
        <v>305</v>
      </c>
      <c r="E665" t="s">
        <v>415</v>
      </c>
      <c r="G665" t="s">
        <v>323</v>
      </c>
      <c r="I665" t="s">
        <v>272</v>
      </c>
    </row>
    <row r="666" spans="1:9" x14ac:dyDescent="0.3">
      <c r="A666" t="s">
        <v>290</v>
      </c>
      <c r="B666" s="5">
        <v>41679</v>
      </c>
      <c r="C666">
        <v>-3.5</v>
      </c>
      <c r="D666" t="s">
        <v>305</v>
      </c>
      <c r="E666" t="s">
        <v>415</v>
      </c>
      <c r="G666" t="s">
        <v>403</v>
      </c>
      <c r="I666" t="s">
        <v>272</v>
      </c>
    </row>
    <row r="667" spans="1:9" x14ac:dyDescent="0.3">
      <c r="A667" t="s">
        <v>290</v>
      </c>
      <c r="B667" s="5">
        <v>41688</v>
      </c>
      <c r="C667">
        <v>0</v>
      </c>
      <c r="D667" t="s">
        <v>305</v>
      </c>
      <c r="E667" t="s">
        <v>309</v>
      </c>
      <c r="F667" t="s">
        <v>1028</v>
      </c>
      <c r="G667" t="s">
        <v>11</v>
      </c>
    </row>
    <row r="668" spans="1:9" x14ac:dyDescent="0.3">
      <c r="A668" t="s">
        <v>290</v>
      </c>
      <c r="B668" s="5">
        <v>41698</v>
      </c>
      <c r="C668">
        <v>0.12</v>
      </c>
      <c r="D668" t="s">
        <v>305</v>
      </c>
      <c r="E668" t="s">
        <v>631</v>
      </c>
      <c r="G668" t="s">
        <v>8</v>
      </c>
    </row>
    <row r="669" spans="1:9" x14ac:dyDescent="0.3">
      <c r="A669" t="s">
        <v>290</v>
      </c>
      <c r="B669" s="5">
        <v>41698</v>
      </c>
      <c r="C669">
        <v>4.75</v>
      </c>
      <c r="D669" t="s">
        <v>305</v>
      </c>
      <c r="E669" t="s">
        <v>630</v>
      </c>
      <c r="G669" t="s">
        <v>403</v>
      </c>
    </row>
    <row r="670" spans="1:9" x14ac:dyDescent="0.3">
      <c r="A670" t="s">
        <v>290</v>
      </c>
      <c r="B670" s="5">
        <v>41700</v>
      </c>
      <c r="C670">
        <v>0</v>
      </c>
      <c r="E670" t="s">
        <v>309</v>
      </c>
      <c r="F670" t="s">
        <v>700</v>
      </c>
      <c r="G670" t="s">
        <v>11</v>
      </c>
    </row>
    <row r="671" spans="1:9" x14ac:dyDescent="0.3">
      <c r="A671" t="s">
        <v>290</v>
      </c>
      <c r="B671" s="5">
        <v>41707</v>
      </c>
      <c r="C671">
        <v>-40</v>
      </c>
      <c r="D671" t="s">
        <v>307</v>
      </c>
      <c r="E671" t="s">
        <v>437</v>
      </c>
      <c r="F671" t="s">
        <v>1029</v>
      </c>
      <c r="G671" t="s">
        <v>323</v>
      </c>
      <c r="I671" t="s">
        <v>272</v>
      </c>
    </row>
    <row r="672" spans="1:9" x14ac:dyDescent="0.3">
      <c r="A672" t="s">
        <v>290</v>
      </c>
      <c r="B672" s="5">
        <v>41707</v>
      </c>
      <c r="C672">
        <v>-2</v>
      </c>
      <c r="D672" t="s">
        <v>307</v>
      </c>
      <c r="E672" t="s">
        <v>437</v>
      </c>
      <c r="G672" t="s">
        <v>403</v>
      </c>
      <c r="I672" t="s">
        <v>272</v>
      </c>
    </row>
    <row r="673" spans="1:9" x14ac:dyDescent="0.3">
      <c r="A673" t="s">
        <v>416</v>
      </c>
      <c r="B673" s="5">
        <v>41449</v>
      </c>
      <c r="C673">
        <v>211.68</v>
      </c>
      <c r="E673" t="s">
        <v>927</v>
      </c>
      <c r="G673" t="s">
        <v>24</v>
      </c>
    </row>
    <row r="674" spans="1:9" x14ac:dyDescent="0.3">
      <c r="A674" t="s">
        <v>416</v>
      </c>
      <c r="B674" s="5">
        <v>41542</v>
      </c>
      <c r="C674" s="4">
        <v>6614.66</v>
      </c>
      <c r="E674" t="s">
        <v>1030</v>
      </c>
      <c r="G674" t="s">
        <v>24</v>
      </c>
    </row>
    <row r="675" spans="1:9" x14ac:dyDescent="0.3">
      <c r="A675" t="s">
        <v>416</v>
      </c>
      <c r="B675" s="5">
        <v>41542</v>
      </c>
      <c r="C675" s="4">
        <v>-6614.66</v>
      </c>
      <c r="E675" t="s">
        <v>1031</v>
      </c>
      <c r="G675" t="s">
        <v>9</v>
      </c>
    </row>
    <row r="676" spans="1:9" x14ac:dyDescent="0.3">
      <c r="A676" t="s">
        <v>291</v>
      </c>
      <c r="B676" s="5">
        <v>41245</v>
      </c>
      <c r="C676">
        <v>-19.690000000000001</v>
      </c>
      <c r="D676" t="s">
        <v>305</v>
      </c>
      <c r="E676" t="s">
        <v>406</v>
      </c>
      <c r="F676" t="s">
        <v>996</v>
      </c>
      <c r="G676" t="s">
        <v>346</v>
      </c>
      <c r="I676" t="s">
        <v>272</v>
      </c>
    </row>
    <row r="677" spans="1:9" x14ac:dyDescent="0.3">
      <c r="A677" t="s">
        <v>291</v>
      </c>
      <c r="B677" s="5">
        <v>41245</v>
      </c>
      <c r="C677">
        <v>-107.72</v>
      </c>
      <c r="D677" t="s">
        <v>305</v>
      </c>
      <c r="E677" t="s">
        <v>406</v>
      </c>
      <c r="F677" t="s">
        <v>996</v>
      </c>
      <c r="G677" t="s">
        <v>343</v>
      </c>
      <c r="I677" t="s">
        <v>272</v>
      </c>
    </row>
    <row r="678" spans="1:9" x14ac:dyDescent="0.3">
      <c r="A678" t="s">
        <v>291</v>
      </c>
      <c r="B678" s="5">
        <v>41252</v>
      </c>
      <c r="C678">
        <v>-113.85</v>
      </c>
      <c r="D678" t="s">
        <v>305</v>
      </c>
      <c r="E678" t="s">
        <v>406</v>
      </c>
      <c r="G678" t="s">
        <v>26</v>
      </c>
    </row>
    <row r="679" spans="1:9" x14ac:dyDescent="0.3">
      <c r="A679" t="s">
        <v>291</v>
      </c>
      <c r="B679" s="5">
        <v>41263</v>
      </c>
      <c r="C679">
        <v>-39.340000000000003</v>
      </c>
      <c r="D679" t="s">
        <v>305</v>
      </c>
      <c r="E679" t="s">
        <v>1032</v>
      </c>
      <c r="G679" t="s">
        <v>417</v>
      </c>
    </row>
    <row r="680" spans="1:9" x14ac:dyDescent="0.3">
      <c r="A680" t="s">
        <v>291</v>
      </c>
      <c r="B680" s="5">
        <v>41263</v>
      </c>
      <c r="C680">
        <v>-14.48</v>
      </c>
      <c r="D680" t="s">
        <v>305</v>
      </c>
      <c r="E680" t="s">
        <v>406</v>
      </c>
      <c r="F680" t="s">
        <v>1033</v>
      </c>
      <c r="G680" t="s">
        <v>343</v>
      </c>
      <c r="I680" t="s">
        <v>272</v>
      </c>
    </row>
    <row r="681" spans="1:9" x14ac:dyDescent="0.3">
      <c r="A681" t="s">
        <v>291</v>
      </c>
      <c r="B681" s="5">
        <v>41263</v>
      </c>
      <c r="C681">
        <v>-67.11</v>
      </c>
      <c r="D681" t="s">
        <v>305</v>
      </c>
      <c r="E681" t="s">
        <v>406</v>
      </c>
      <c r="F681" t="s">
        <v>1034</v>
      </c>
      <c r="G681" t="s">
        <v>342</v>
      </c>
      <c r="I681" t="s">
        <v>272</v>
      </c>
    </row>
    <row r="682" spans="1:9" x14ac:dyDescent="0.3">
      <c r="A682" t="s">
        <v>291</v>
      </c>
      <c r="B682" s="5">
        <v>41263</v>
      </c>
      <c r="C682">
        <v>-602.24</v>
      </c>
      <c r="D682" t="s">
        <v>305</v>
      </c>
      <c r="E682" t="s">
        <v>406</v>
      </c>
      <c r="F682" t="s">
        <v>1035</v>
      </c>
      <c r="G682" t="s">
        <v>342</v>
      </c>
      <c r="I682" t="s">
        <v>272</v>
      </c>
    </row>
    <row r="683" spans="1:9" x14ac:dyDescent="0.3">
      <c r="A683" t="s">
        <v>291</v>
      </c>
      <c r="B683" s="5">
        <v>41263</v>
      </c>
      <c r="C683">
        <v>-102.34</v>
      </c>
      <c r="D683" t="s">
        <v>305</v>
      </c>
      <c r="E683" t="s">
        <v>406</v>
      </c>
      <c r="F683" t="s">
        <v>1036</v>
      </c>
      <c r="G683" t="s">
        <v>342</v>
      </c>
      <c r="I683" t="s">
        <v>272</v>
      </c>
    </row>
    <row r="684" spans="1:9" x14ac:dyDescent="0.3">
      <c r="A684" t="s">
        <v>291</v>
      </c>
      <c r="B684" s="5">
        <v>41263</v>
      </c>
      <c r="C684">
        <v>-16.32</v>
      </c>
      <c r="D684" t="s">
        <v>305</v>
      </c>
      <c r="E684" t="s">
        <v>406</v>
      </c>
      <c r="F684" t="s">
        <v>1037</v>
      </c>
      <c r="G684" t="s">
        <v>69</v>
      </c>
      <c r="I684" t="s">
        <v>272</v>
      </c>
    </row>
    <row r="685" spans="1:9" x14ac:dyDescent="0.3">
      <c r="A685" t="s">
        <v>291</v>
      </c>
      <c r="B685" s="5">
        <v>41270</v>
      </c>
      <c r="C685">
        <v>-18.77</v>
      </c>
      <c r="D685" t="s">
        <v>305</v>
      </c>
      <c r="E685" t="s">
        <v>406</v>
      </c>
      <c r="F685" t="s">
        <v>996</v>
      </c>
      <c r="G685" t="s">
        <v>343</v>
      </c>
      <c r="I685" t="s">
        <v>272</v>
      </c>
    </row>
    <row r="686" spans="1:9" x14ac:dyDescent="0.3">
      <c r="A686" t="s">
        <v>291</v>
      </c>
      <c r="B686" s="5">
        <v>41270</v>
      </c>
      <c r="C686">
        <v>-93.06</v>
      </c>
      <c r="D686" t="s">
        <v>305</v>
      </c>
      <c r="E686" t="s">
        <v>406</v>
      </c>
      <c r="F686" t="s">
        <v>1038</v>
      </c>
      <c r="G686" t="s">
        <v>342</v>
      </c>
      <c r="I686" t="s">
        <v>272</v>
      </c>
    </row>
    <row r="687" spans="1:9" x14ac:dyDescent="0.3">
      <c r="A687" t="s">
        <v>291</v>
      </c>
      <c r="B687" s="5">
        <v>41270</v>
      </c>
      <c r="C687">
        <v>-21.03</v>
      </c>
      <c r="D687" t="s">
        <v>305</v>
      </c>
      <c r="E687" t="s">
        <v>1032</v>
      </c>
      <c r="G687" t="s">
        <v>417</v>
      </c>
    </row>
    <row r="688" spans="1:9" x14ac:dyDescent="0.3">
      <c r="A688" t="s">
        <v>291</v>
      </c>
      <c r="B688" s="5">
        <v>41297</v>
      </c>
      <c r="C688" s="4">
        <v>1215.95</v>
      </c>
      <c r="D688" t="s">
        <v>305</v>
      </c>
      <c r="E688" t="s">
        <v>366</v>
      </c>
      <c r="F688" t="s">
        <v>331</v>
      </c>
      <c r="G688" t="s">
        <v>9</v>
      </c>
    </row>
    <row r="689" spans="1:9" x14ac:dyDescent="0.3">
      <c r="A689" t="s">
        <v>291</v>
      </c>
      <c r="B689" s="5">
        <v>41300</v>
      </c>
      <c r="C689">
        <v>971.64</v>
      </c>
      <c r="D689" t="s">
        <v>305</v>
      </c>
      <c r="E689" t="s">
        <v>406</v>
      </c>
      <c r="F689" t="s">
        <v>1039</v>
      </c>
      <c r="G689" t="s">
        <v>342</v>
      </c>
    </row>
    <row r="690" spans="1:9" x14ac:dyDescent="0.3">
      <c r="A690" t="s">
        <v>291</v>
      </c>
      <c r="B690" s="5">
        <v>41300</v>
      </c>
      <c r="C690">
        <v>-30.69</v>
      </c>
      <c r="D690" t="s">
        <v>305</v>
      </c>
      <c r="E690" t="s">
        <v>1032</v>
      </c>
      <c r="F690" t="s">
        <v>1040</v>
      </c>
      <c r="G690" t="s">
        <v>417</v>
      </c>
    </row>
    <row r="691" spans="1:9" x14ac:dyDescent="0.3">
      <c r="A691" t="s">
        <v>291</v>
      </c>
      <c r="B691" s="5">
        <v>41300</v>
      </c>
      <c r="C691">
        <v>-17.510000000000002</v>
      </c>
      <c r="D691" t="s">
        <v>305</v>
      </c>
      <c r="E691" t="s">
        <v>406</v>
      </c>
      <c r="F691" t="s">
        <v>1041</v>
      </c>
      <c r="G691" t="s">
        <v>342</v>
      </c>
      <c r="I691" t="s">
        <v>272</v>
      </c>
    </row>
    <row r="692" spans="1:9" x14ac:dyDescent="0.3">
      <c r="A692" t="s">
        <v>291</v>
      </c>
      <c r="B692" s="5">
        <v>41300</v>
      </c>
      <c r="C692">
        <v>-32.840000000000003</v>
      </c>
      <c r="D692" t="s">
        <v>305</v>
      </c>
      <c r="E692" t="s">
        <v>406</v>
      </c>
      <c r="F692" t="s">
        <v>1042</v>
      </c>
      <c r="G692" t="s">
        <v>360</v>
      </c>
      <c r="I692" t="s">
        <v>272</v>
      </c>
    </row>
    <row r="693" spans="1:9" x14ac:dyDescent="0.3">
      <c r="A693" t="s">
        <v>291</v>
      </c>
      <c r="B693" s="5">
        <v>41300</v>
      </c>
      <c r="C693">
        <v>-27.36</v>
      </c>
      <c r="D693" t="s">
        <v>305</v>
      </c>
      <c r="E693" t="s">
        <v>406</v>
      </c>
      <c r="F693" t="s">
        <v>1043</v>
      </c>
      <c r="G693" t="s">
        <v>360</v>
      </c>
      <c r="I693" t="s">
        <v>272</v>
      </c>
    </row>
    <row r="694" spans="1:9" x14ac:dyDescent="0.3">
      <c r="A694" t="s">
        <v>291</v>
      </c>
      <c r="B694" s="5">
        <v>41300</v>
      </c>
      <c r="C694">
        <v>-38.04</v>
      </c>
      <c r="D694" t="s">
        <v>305</v>
      </c>
      <c r="E694" t="s">
        <v>406</v>
      </c>
      <c r="G694" t="s">
        <v>343</v>
      </c>
      <c r="I694" t="s">
        <v>272</v>
      </c>
    </row>
    <row r="695" spans="1:9" x14ac:dyDescent="0.3">
      <c r="A695" t="s">
        <v>291</v>
      </c>
      <c r="B695" s="5">
        <v>41307</v>
      </c>
      <c r="C695">
        <v>32.840000000000003</v>
      </c>
      <c r="D695" t="s">
        <v>305</v>
      </c>
      <c r="E695" t="s">
        <v>406</v>
      </c>
      <c r="F695" t="s">
        <v>1042</v>
      </c>
      <c r="G695" t="s">
        <v>360</v>
      </c>
      <c r="I695" t="s">
        <v>272</v>
      </c>
    </row>
    <row r="696" spans="1:9" x14ac:dyDescent="0.3">
      <c r="A696" t="s">
        <v>291</v>
      </c>
      <c r="B696" s="5">
        <v>41307</v>
      </c>
      <c r="C696">
        <v>27.36</v>
      </c>
      <c r="D696" t="s">
        <v>305</v>
      </c>
      <c r="E696" t="s">
        <v>406</v>
      </c>
      <c r="F696" t="s">
        <v>1043</v>
      </c>
      <c r="G696" t="s">
        <v>360</v>
      </c>
      <c r="I696" t="s">
        <v>272</v>
      </c>
    </row>
    <row r="697" spans="1:9" x14ac:dyDescent="0.3">
      <c r="A697" t="s">
        <v>291</v>
      </c>
      <c r="B697" s="5">
        <v>41307</v>
      </c>
      <c r="C697">
        <v>-5.99</v>
      </c>
      <c r="D697" t="s">
        <v>305</v>
      </c>
      <c r="E697" t="s">
        <v>406</v>
      </c>
      <c r="F697" t="s">
        <v>1044</v>
      </c>
      <c r="G697" t="s">
        <v>343</v>
      </c>
      <c r="I697" t="s">
        <v>272</v>
      </c>
    </row>
    <row r="698" spans="1:9" x14ac:dyDescent="0.3">
      <c r="A698" t="s">
        <v>291</v>
      </c>
      <c r="B698" s="5">
        <v>41307</v>
      </c>
      <c r="C698">
        <v>-15.54</v>
      </c>
      <c r="D698" t="s">
        <v>305</v>
      </c>
      <c r="E698" t="s">
        <v>406</v>
      </c>
      <c r="F698" t="s">
        <v>1045</v>
      </c>
      <c r="G698" t="s">
        <v>343</v>
      </c>
      <c r="I698" t="s">
        <v>272</v>
      </c>
    </row>
    <row r="699" spans="1:9" x14ac:dyDescent="0.3">
      <c r="A699" t="s">
        <v>291</v>
      </c>
      <c r="B699" s="5">
        <v>41312</v>
      </c>
      <c r="C699">
        <v>-56.56</v>
      </c>
      <c r="D699" t="s">
        <v>305</v>
      </c>
      <c r="E699" t="s">
        <v>406</v>
      </c>
      <c r="F699" t="s">
        <v>996</v>
      </c>
      <c r="G699" t="s">
        <v>343</v>
      </c>
      <c r="I699" t="s">
        <v>272</v>
      </c>
    </row>
    <row r="700" spans="1:9" x14ac:dyDescent="0.3">
      <c r="A700" t="s">
        <v>291</v>
      </c>
      <c r="B700" s="5">
        <v>41312</v>
      </c>
      <c r="C700">
        <v>-177.06</v>
      </c>
      <c r="D700" t="s">
        <v>305</v>
      </c>
      <c r="E700" t="s">
        <v>406</v>
      </c>
      <c r="F700" t="s">
        <v>1046</v>
      </c>
      <c r="G700" t="s">
        <v>360</v>
      </c>
      <c r="I700" t="s">
        <v>272</v>
      </c>
    </row>
    <row r="701" spans="1:9" x14ac:dyDescent="0.3">
      <c r="A701" t="s">
        <v>291</v>
      </c>
      <c r="B701" s="5">
        <v>41319</v>
      </c>
      <c r="C701">
        <v>67.11</v>
      </c>
      <c r="D701" t="s">
        <v>305</v>
      </c>
      <c r="E701" t="s">
        <v>406</v>
      </c>
      <c r="F701" t="s">
        <v>1047</v>
      </c>
      <c r="G701" t="s">
        <v>342</v>
      </c>
    </row>
    <row r="702" spans="1:9" x14ac:dyDescent="0.3">
      <c r="A702" t="s">
        <v>291</v>
      </c>
      <c r="B702" s="5">
        <v>41319</v>
      </c>
      <c r="C702">
        <v>-22.83</v>
      </c>
      <c r="D702" t="s">
        <v>305</v>
      </c>
      <c r="E702" t="s">
        <v>406</v>
      </c>
      <c r="F702" t="s">
        <v>1048</v>
      </c>
      <c r="G702" t="s">
        <v>360</v>
      </c>
      <c r="I702" t="s">
        <v>272</v>
      </c>
    </row>
    <row r="703" spans="1:9" x14ac:dyDescent="0.3">
      <c r="A703" t="s">
        <v>291</v>
      </c>
      <c r="B703" s="5">
        <v>41319</v>
      </c>
      <c r="C703">
        <v>-4.49</v>
      </c>
      <c r="D703" t="s">
        <v>305</v>
      </c>
      <c r="E703" t="s">
        <v>406</v>
      </c>
      <c r="F703" t="s">
        <v>1049</v>
      </c>
      <c r="G703" t="s">
        <v>343</v>
      </c>
      <c r="I703" t="s">
        <v>272</v>
      </c>
    </row>
    <row r="704" spans="1:9" x14ac:dyDescent="0.3">
      <c r="A704" t="s">
        <v>291</v>
      </c>
      <c r="B704" s="5">
        <v>41319</v>
      </c>
      <c r="C704">
        <v>-17.510000000000002</v>
      </c>
      <c r="D704" t="s">
        <v>305</v>
      </c>
      <c r="E704" t="s">
        <v>406</v>
      </c>
      <c r="F704" t="s">
        <v>1050</v>
      </c>
      <c r="G704" t="s">
        <v>343</v>
      </c>
      <c r="I704" t="s">
        <v>272</v>
      </c>
    </row>
    <row r="705" spans="1:9" x14ac:dyDescent="0.3">
      <c r="A705" t="s">
        <v>291</v>
      </c>
      <c r="B705" s="5">
        <v>41321</v>
      </c>
      <c r="C705">
        <v>-131.22999999999999</v>
      </c>
      <c r="D705" t="s">
        <v>305</v>
      </c>
      <c r="E705" t="s">
        <v>1051</v>
      </c>
      <c r="F705" t="s">
        <v>1052</v>
      </c>
      <c r="G705" t="s">
        <v>334</v>
      </c>
    </row>
    <row r="706" spans="1:9" x14ac:dyDescent="0.3">
      <c r="A706" t="s">
        <v>291</v>
      </c>
      <c r="B706" s="5">
        <v>41334</v>
      </c>
      <c r="C706">
        <v>-55</v>
      </c>
      <c r="D706" t="s">
        <v>305</v>
      </c>
      <c r="E706" t="s">
        <v>406</v>
      </c>
      <c r="F706" t="s">
        <v>1053</v>
      </c>
      <c r="G706" t="s">
        <v>73</v>
      </c>
      <c r="I706" t="s">
        <v>272</v>
      </c>
    </row>
    <row r="707" spans="1:9" x14ac:dyDescent="0.3">
      <c r="A707" t="s">
        <v>291</v>
      </c>
      <c r="B707" s="5">
        <v>41334</v>
      </c>
      <c r="C707">
        <v>-55</v>
      </c>
      <c r="D707" t="s">
        <v>305</v>
      </c>
      <c r="E707" t="s">
        <v>406</v>
      </c>
      <c r="F707" t="s">
        <v>1054</v>
      </c>
      <c r="G707" t="s">
        <v>343</v>
      </c>
      <c r="I707" t="s">
        <v>272</v>
      </c>
    </row>
    <row r="708" spans="1:9" x14ac:dyDescent="0.3">
      <c r="A708" t="s">
        <v>291</v>
      </c>
      <c r="B708" s="5">
        <v>41394</v>
      </c>
      <c r="C708">
        <v>-411.3</v>
      </c>
      <c r="D708" t="s">
        <v>305</v>
      </c>
      <c r="E708" t="s">
        <v>1055</v>
      </c>
      <c r="G708" t="s">
        <v>9</v>
      </c>
    </row>
    <row r="709" spans="1:9" x14ac:dyDescent="0.3">
      <c r="A709" t="s">
        <v>291</v>
      </c>
      <c r="B709" s="5">
        <v>41417</v>
      </c>
      <c r="C709">
        <v>-1.63</v>
      </c>
      <c r="D709" t="s">
        <v>305</v>
      </c>
      <c r="E709" t="s">
        <v>1056</v>
      </c>
      <c r="F709" t="s">
        <v>1057</v>
      </c>
      <c r="G709" t="s">
        <v>342</v>
      </c>
    </row>
    <row r="710" spans="1:9" x14ac:dyDescent="0.3">
      <c r="A710" t="s">
        <v>291</v>
      </c>
      <c r="B710" s="5">
        <v>41434</v>
      </c>
      <c r="C710">
        <v>-145.63999999999999</v>
      </c>
      <c r="D710" t="s">
        <v>305</v>
      </c>
      <c r="E710" t="s">
        <v>406</v>
      </c>
      <c r="F710" t="s">
        <v>1058</v>
      </c>
      <c r="G710" t="s">
        <v>343</v>
      </c>
    </row>
    <row r="711" spans="1:9" x14ac:dyDescent="0.3">
      <c r="A711" t="s">
        <v>291</v>
      </c>
      <c r="B711" s="5">
        <v>41449</v>
      </c>
      <c r="C711">
        <v>1.63</v>
      </c>
      <c r="D711" t="s">
        <v>305</v>
      </c>
      <c r="E711" t="s">
        <v>366</v>
      </c>
      <c r="F711" t="s">
        <v>1059</v>
      </c>
      <c r="G711" t="s">
        <v>9</v>
      </c>
    </row>
    <row r="712" spans="1:9" x14ac:dyDescent="0.3">
      <c r="A712" t="s">
        <v>291</v>
      </c>
      <c r="B712" s="5">
        <v>41461</v>
      </c>
      <c r="C712">
        <v>-37.21</v>
      </c>
      <c r="D712" t="s">
        <v>305</v>
      </c>
      <c r="E712" t="s">
        <v>406</v>
      </c>
      <c r="F712" t="s">
        <v>1060</v>
      </c>
      <c r="G712" t="s">
        <v>614</v>
      </c>
      <c r="I712" t="s">
        <v>272</v>
      </c>
    </row>
    <row r="713" spans="1:9" x14ac:dyDescent="0.3">
      <c r="A713" t="s">
        <v>291</v>
      </c>
      <c r="B713" s="5">
        <v>41461</v>
      </c>
      <c r="C713">
        <v>-89.98</v>
      </c>
      <c r="D713" t="s">
        <v>305</v>
      </c>
      <c r="E713" t="s">
        <v>406</v>
      </c>
      <c r="G713" t="s">
        <v>343</v>
      </c>
      <c r="I713" t="s">
        <v>272</v>
      </c>
    </row>
    <row r="714" spans="1:9" x14ac:dyDescent="0.3">
      <c r="A714" t="s">
        <v>291</v>
      </c>
      <c r="B714" s="5">
        <v>41462</v>
      </c>
      <c r="C714">
        <v>-46.84</v>
      </c>
      <c r="D714" t="s">
        <v>305</v>
      </c>
      <c r="E714" t="s">
        <v>1061</v>
      </c>
      <c r="F714" t="s">
        <v>1062</v>
      </c>
      <c r="G714" t="s">
        <v>417</v>
      </c>
    </row>
    <row r="715" spans="1:9" x14ac:dyDescent="0.3">
      <c r="A715" t="s">
        <v>291</v>
      </c>
      <c r="B715" s="5">
        <v>41478</v>
      </c>
      <c r="C715">
        <v>145.63999999999999</v>
      </c>
      <c r="D715" t="s">
        <v>305</v>
      </c>
      <c r="E715" t="s">
        <v>366</v>
      </c>
      <c r="G715" t="s">
        <v>9</v>
      </c>
    </row>
    <row r="716" spans="1:9" x14ac:dyDescent="0.3">
      <c r="A716" t="s">
        <v>291</v>
      </c>
      <c r="B716" s="5">
        <v>41481</v>
      </c>
      <c r="C716">
        <v>-33.83</v>
      </c>
      <c r="D716" t="s">
        <v>305</v>
      </c>
      <c r="E716" t="s">
        <v>1063</v>
      </c>
      <c r="F716" t="s">
        <v>1064</v>
      </c>
      <c r="G716" t="s">
        <v>417</v>
      </c>
    </row>
    <row r="717" spans="1:9" x14ac:dyDescent="0.3">
      <c r="A717" t="s">
        <v>291</v>
      </c>
      <c r="B717" s="5">
        <v>41500</v>
      </c>
      <c r="C717">
        <v>-54.74</v>
      </c>
      <c r="D717" t="s">
        <v>305</v>
      </c>
      <c r="E717" t="s">
        <v>406</v>
      </c>
      <c r="F717" t="s">
        <v>1065</v>
      </c>
      <c r="G717" t="s">
        <v>637</v>
      </c>
      <c r="I717" t="s">
        <v>272</v>
      </c>
    </row>
    <row r="718" spans="1:9" x14ac:dyDescent="0.3">
      <c r="A718" t="s">
        <v>291</v>
      </c>
      <c r="B718" s="5">
        <v>41500</v>
      </c>
      <c r="C718">
        <v>-21.89</v>
      </c>
      <c r="D718" t="s">
        <v>305</v>
      </c>
      <c r="E718" t="s">
        <v>406</v>
      </c>
      <c r="F718" t="s">
        <v>1066</v>
      </c>
      <c r="G718" t="s">
        <v>360</v>
      </c>
      <c r="I718" t="s">
        <v>272</v>
      </c>
    </row>
    <row r="719" spans="1:9" x14ac:dyDescent="0.3">
      <c r="A719" t="s">
        <v>291</v>
      </c>
      <c r="B719" s="5">
        <v>41500</v>
      </c>
      <c r="C719">
        <v>-86.85</v>
      </c>
      <c r="D719" t="s">
        <v>305</v>
      </c>
      <c r="E719" t="s">
        <v>406</v>
      </c>
      <c r="F719" t="s">
        <v>407</v>
      </c>
      <c r="G719" t="s">
        <v>343</v>
      </c>
      <c r="I719" t="s">
        <v>272</v>
      </c>
    </row>
    <row r="720" spans="1:9" x14ac:dyDescent="0.3">
      <c r="A720" t="s">
        <v>291</v>
      </c>
      <c r="B720" s="5">
        <v>41500</v>
      </c>
      <c r="C720">
        <v>-18.579999999999998</v>
      </c>
      <c r="D720" t="s">
        <v>305</v>
      </c>
      <c r="E720" t="s">
        <v>406</v>
      </c>
      <c r="F720" t="s">
        <v>1067</v>
      </c>
      <c r="G720" t="s">
        <v>360</v>
      </c>
      <c r="I720" t="s">
        <v>272</v>
      </c>
    </row>
    <row r="721" spans="1:9" x14ac:dyDescent="0.3">
      <c r="A721" t="s">
        <v>291</v>
      </c>
      <c r="B721" s="5">
        <v>41504</v>
      </c>
      <c r="C721">
        <v>-10.83</v>
      </c>
      <c r="D721" t="s">
        <v>305</v>
      </c>
      <c r="E721" t="s">
        <v>406</v>
      </c>
      <c r="F721" t="s">
        <v>1068</v>
      </c>
      <c r="G721" t="s">
        <v>360</v>
      </c>
      <c r="I721" t="s">
        <v>272</v>
      </c>
    </row>
    <row r="722" spans="1:9" x14ac:dyDescent="0.3">
      <c r="A722" t="s">
        <v>291</v>
      </c>
      <c r="B722" s="5">
        <v>41504</v>
      </c>
      <c r="C722">
        <v>-13.3</v>
      </c>
      <c r="D722" t="s">
        <v>305</v>
      </c>
      <c r="E722" t="s">
        <v>406</v>
      </c>
      <c r="F722" t="s">
        <v>1069</v>
      </c>
      <c r="G722" t="s">
        <v>342</v>
      </c>
      <c r="I722" t="s">
        <v>272</v>
      </c>
    </row>
    <row r="723" spans="1:9" x14ac:dyDescent="0.3">
      <c r="A723" t="s">
        <v>291</v>
      </c>
      <c r="B723" s="5">
        <v>41504</v>
      </c>
      <c r="C723">
        <v>-11.69</v>
      </c>
      <c r="D723" t="s">
        <v>305</v>
      </c>
      <c r="E723" t="s">
        <v>406</v>
      </c>
      <c r="F723" t="s">
        <v>1070</v>
      </c>
      <c r="G723" t="s">
        <v>343</v>
      </c>
      <c r="I723" t="s">
        <v>272</v>
      </c>
    </row>
    <row r="724" spans="1:9" x14ac:dyDescent="0.3">
      <c r="A724" t="s">
        <v>291</v>
      </c>
      <c r="B724" s="5">
        <v>41509</v>
      </c>
      <c r="C724">
        <v>207.86</v>
      </c>
      <c r="D724" t="s">
        <v>305</v>
      </c>
      <c r="E724" t="s">
        <v>366</v>
      </c>
      <c r="G724" t="s">
        <v>9</v>
      </c>
    </row>
    <row r="725" spans="1:9" x14ac:dyDescent="0.3">
      <c r="A725" t="s">
        <v>291</v>
      </c>
      <c r="B725" s="5">
        <v>41509</v>
      </c>
      <c r="C725">
        <v>-10</v>
      </c>
      <c r="D725" t="s">
        <v>305</v>
      </c>
      <c r="E725" t="s">
        <v>1071</v>
      </c>
      <c r="F725" t="s">
        <v>1072</v>
      </c>
      <c r="G725" t="s">
        <v>418</v>
      </c>
    </row>
    <row r="726" spans="1:9" x14ac:dyDescent="0.3">
      <c r="A726" t="s">
        <v>291</v>
      </c>
      <c r="B726" s="5">
        <v>41516</v>
      </c>
      <c r="C726">
        <v>-203.46</v>
      </c>
      <c r="D726" t="s">
        <v>305</v>
      </c>
      <c r="E726" t="s">
        <v>1073</v>
      </c>
      <c r="F726" t="s">
        <v>1074</v>
      </c>
      <c r="G726" t="s">
        <v>623</v>
      </c>
    </row>
    <row r="727" spans="1:9" x14ac:dyDescent="0.3">
      <c r="A727" t="s">
        <v>291</v>
      </c>
      <c r="B727" s="5">
        <v>41516</v>
      </c>
      <c r="C727">
        <v>-205.58</v>
      </c>
      <c r="D727" t="s">
        <v>305</v>
      </c>
      <c r="E727" t="s">
        <v>1073</v>
      </c>
      <c r="F727" t="s">
        <v>1075</v>
      </c>
      <c r="G727" t="s">
        <v>623</v>
      </c>
    </row>
    <row r="728" spans="1:9" x14ac:dyDescent="0.3">
      <c r="A728" t="s">
        <v>291</v>
      </c>
      <c r="B728" s="5">
        <v>41517</v>
      </c>
      <c r="C728">
        <v>-8.99</v>
      </c>
      <c r="D728" t="s">
        <v>305</v>
      </c>
      <c r="E728" t="s">
        <v>1076</v>
      </c>
      <c r="F728" t="s">
        <v>1077</v>
      </c>
      <c r="G728" t="s">
        <v>623</v>
      </c>
    </row>
    <row r="729" spans="1:9" x14ac:dyDescent="0.3">
      <c r="A729" t="s">
        <v>291</v>
      </c>
      <c r="B729" s="5">
        <v>41517</v>
      </c>
      <c r="C729">
        <v>-8.99</v>
      </c>
      <c r="D729" t="s">
        <v>305</v>
      </c>
      <c r="E729" t="s">
        <v>1076</v>
      </c>
      <c r="F729" t="s">
        <v>1077</v>
      </c>
      <c r="G729" t="s">
        <v>623</v>
      </c>
    </row>
    <row r="730" spans="1:9" x14ac:dyDescent="0.3">
      <c r="A730" t="s">
        <v>291</v>
      </c>
      <c r="B730" s="5">
        <v>41518</v>
      </c>
      <c r="C730">
        <v>-362.08</v>
      </c>
      <c r="D730" t="s">
        <v>305</v>
      </c>
      <c r="E730" t="s">
        <v>1078</v>
      </c>
      <c r="F730" t="s">
        <v>1079</v>
      </c>
      <c r="G730" t="s">
        <v>638</v>
      </c>
    </row>
    <row r="731" spans="1:9" x14ac:dyDescent="0.3">
      <c r="A731" t="s">
        <v>291</v>
      </c>
      <c r="B731" s="5">
        <v>41519</v>
      </c>
      <c r="C731">
        <v>-29.77</v>
      </c>
      <c r="D731" t="s">
        <v>305</v>
      </c>
      <c r="E731" t="s">
        <v>1080</v>
      </c>
      <c r="F731" t="s">
        <v>1081</v>
      </c>
      <c r="G731" t="s">
        <v>17</v>
      </c>
    </row>
    <row r="732" spans="1:9" x14ac:dyDescent="0.3">
      <c r="A732" t="s">
        <v>291</v>
      </c>
      <c r="B732" s="5">
        <v>41520</v>
      </c>
      <c r="C732">
        <v>-20</v>
      </c>
      <c r="D732" t="s">
        <v>305</v>
      </c>
      <c r="E732" t="s">
        <v>639</v>
      </c>
      <c r="F732" t="s">
        <v>1082</v>
      </c>
      <c r="G732" t="s">
        <v>418</v>
      </c>
    </row>
    <row r="733" spans="1:9" x14ac:dyDescent="0.3">
      <c r="A733" t="s">
        <v>291</v>
      </c>
      <c r="B733" s="5">
        <v>41528</v>
      </c>
      <c r="C733">
        <v>-0.54</v>
      </c>
      <c r="D733" t="s">
        <v>305</v>
      </c>
      <c r="E733" t="s">
        <v>1083</v>
      </c>
      <c r="F733" t="s">
        <v>1084</v>
      </c>
      <c r="G733" t="s">
        <v>640</v>
      </c>
    </row>
    <row r="734" spans="1:9" x14ac:dyDescent="0.3">
      <c r="A734" t="s">
        <v>291</v>
      </c>
      <c r="B734" s="5">
        <v>41528</v>
      </c>
      <c r="C734">
        <v>-20.34</v>
      </c>
      <c r="D734" t="s">
        <v>305</v>
      </c>
      <c r="E734" t="s">
        <v>1085</v>
      </c>
      <c r="F734" t="s">
        <v>1084</v>
      </c>
      <c r="G734" t="s">
        <v>633</v>
      </c>
    </row>
    <row r="735" spans="1:9" x14ac:dyDescent="0.3">
      <c r="A735" t="s">
        <v>291</v>
      </c>
      <c r="B735" s="5">
        <v>41529</v>
      </c>
      <c r="C735">
        <v>-1.56</v>
      </c>
      <c r="D735" t="s">
        <v>305</v>
      </c>
      <c r="E735" t="s">
        <v>1083</v>
      </c>
      <c r="F735" t="s">
        <v>1086</v>
      </c>
      <c r="G735" t="s">
        <v>640</v>
      </c>
    </row>
    <row r="736" spans="1:9" x14ac:dyDescent="0.3">
      <c r="A736" t="s">
        <v>291</v>
      </c>
      <c r="B736" s="5">
        <v>41529</v>
      </c>
      <c r="C736">
        <v>-57.98</v>
      </c>
      <c r="D736" t="s">
        <v>305</v>
      </c>
      <c r="E736" t="s">
        <v>1087</v>
      </c>
      <c r="F736" t="s">
        <v>1088</v>
      </c>
      <c r="G736" t="s">
        <v>620</v>
      </c>
    </row>
    <row r="737" spans="1:9" x14ac:dyDescent="0.3">
      <c r="A737" t="s">
        <v>291</v>
      </c>
      <c r="B737" s="5">
        <v>41529</v>
      </c>
      <c r="C737">
        <v>-161.25</v>
      </c>
      <c r="D737" t="s">
        <v>305</v>
      </c>
      <c r="E737" t="s">
        <v>1089</v>
      </c>
      <c r="F737" t="s">
        <v>1090</v>
      </c>
      <c r="G737" t="s">
        <v>623</v>
      </c>
    </row>
    <row r="738" spans="1:9" x14ac:dyDescent="0.3">
      <c r="A738" t="s">
        <v>291</v>
      </c>
      <c r="B738" s="5">
        <v>41530</v>
      </c>
      <c r="C738">
        <v>-13.32</v>
      </c>
      <c r="D738" t="s">
        <v>305</v>
      </c>
      <c r="E738" t="s">
        <v>1083</v>
      </c>
      <c r="F738" t="s">
        <v>1091</v>
      </c>
      <c r="G738" t="s">
        <v>640</v>
      </c>
    </row>
    <row r="739" spans="1:9" x14ac:dyDescent="0.3">
      <c r="A739" t="s">
        <v>291</v>
      </c>
      <c r="B739" s="5">
        <v>41530</v>
      </c>
      <c r="C739">
        <v>-493.63</v>
      </c>
      <c r="D739" t="s">
        <v>305</v>
      </c>
      <c r="E739" t="s">
        <v>1092</v>
      </c>
      <c r="F739" t="s">
        <v>1091</v>
      </c>
      <c r="G739" t="s">
        <v>641</v>
      </c>
    </row>
    <row r="740" spans="1:9" x14ac:dyDescent="0.3">
      <c r="A740" t="s">
        <v>291</v>
      </c>
      <c r="B740" s="5">
        <v>41540</v>
      </c>
      <c r="C740">
        <v>227.88</v>
      </c>
      <c r="D740" t="s">
        <v>305</v>
      </c>
      <c r="E740" t="s">
        <v>366</v>
      </c>
      <c r="G740" t="s">
        <v>9</v>
      </c>
    </row>
    <row r="741" spans="1:9" x14ac:dyDescent="0.3">
      <c r="A741" t="s">
        <v>291</v>
      </c>
      <c r="B741" s="5">
        <v>41543</v>
      </c>
      <c r="C741">
        <v>-208.82</v>
      </c>
      <c r="D741" t="s">
        <v>305</v>
      </c>
      <c r="E741" t="s">
        <v>1073</v>
      </c>
      <c r="F741" t="s">
        <v>1093</v>
      </c>
      <c r="G741" t="s">
        <v>623</v>
      </c>
    </row>
    <row r="742" spans="1:9" x14ac:dyDescent="0.3">
      <c r="A742" t="s">
        <v>291</v>
      </c>
      <c r="B742" s="5">
        <v>41544</v>
      </c>
      <c r="C742">
        <v>-8.99</v>
      </c>
      <c r="D742" t="s">
        <v>305</v>
      </c>
      <c r="E742" t="s">
        <v>1094</v>
      </c>
      <c r="F742" t="s">
        <v>1095</v>
      </c>
      <c r="G742" t="s">
        <v>623</v>
      </c>
    </row>
    <row r="743" spans="1:9" x14ac:dyDescent="0.3">
      <c r="A743" t="s">
        <v>291</v>
      </c>
      <c r="B743" s="5">
        <v>41561</v>
      </c>
      <c r="C743">
        <v>8.99</v>
      </c>
      <c r="D743" t="s">
        <v>305</v>
      </c>
      <c r="E743" t="s">
        <v>1094</v>
      </c>
      <c r="F743" t="s">
        <v>1096</v>
      </c>
      <c r="G743" t="s">
        <v>623</v>
      </c>
    </row>
    <row r="744" spans="1:9" x14ac:dyDescent="0.3">
      <c r="A744" t="s">
        <v>291</v>
      </c>
      <c r="B744" s="5">
        <v>41569</v>
      </c>
      <c r="C744" s="4">
        <v>1778.33</v>
      </c>
      <c r="D744" t="s">
        <v>305</v>
      </c>
      <c r="E744" t="s">
        <v>366</v>
      </c>
      <c r="F744" t="s">
        <v>1097</v>
      </c>
      <c r="G744" t="s">
        <v>9</v>
      </c>
    </row>
    <row r="745" spans="1:9" x14ac:dyDescent="0.3">
      <c r="A745" t="s">
        <v>291</v>
      </c>
      <c r="B745" s="5">
        <v>41576</v>
      </c>
      <c r="C745">
        <v>0</v>
      </c>
      <c r="D745" t="s">
        <v>305</v>
      </c>
      <c r="E745" t="s">
        <v>1098</v>
      </c>
      <c r="F745" t="s">
        <v>1097</v>
      </c>
      <c r="G745" t="s">
        <v>15</v>
      </c>
    </row>
    <row r="746" spans="1:9" x14ac:dyDescent="0.3">
      <c r="A746" t="s">
        <v>291</v>
      </c>
      <c r="B746" s="5">
        <v>41584</v>
      </c>
      <c r="C746">
        <v>-547.20000000000005</v>
      </c>
      <c r="D746" t="s">
        <v>305</v>
      </c>
      <c r="E746" t="s">
        <v>1099</v>
      </c>
      <c r="F746" t="s">
        <v>1100</v>
      </c>
      <c r="G746" t="s">
        <v>641</v>
      </c>
    </row>
    <row r="747" spans="1:9" x14ac:dyDescent="0.3">
      <c r="A747" t="s">
        <v>291</v>
      </c>
      <c r="B747" s="5">
        <v>41601</v>
      </c>
      <c r="C747">
        <v>17.98</v>
      </c>
      <c r="D747" t="s">
        <v>305</v>
      </c>
      <c r="E747" t="s">
        <v>366</v>
      </c>
      <c r="G747" t="s">
        <v>9</v>
      </c>
    </row>
    <row r="748" spans="1:9" x14ac:dyDescent="0.3">
      <c r="A748" t="s">
        <v>291</v>
      </c>
      <c r="B748" s="5">
        <v>41622</v>
      </c>
      <c r="C748">
        <v>-16.41</v>
      </c>
      <c r="D748" t="s">
        <v>305</v>
      </c>
      <c r="E748" t="s">
        <v>406</v>
      </c>
      <c r="F748" t="s">
        <v>1101</v>
      </c>
      <c r="G748" t="s">
        <v>20</v>
      </c>
      <c r="I748" t="s">
        <v>272</v>
      </c>
    </row>
    <row r="749" spans="1:9" x14ac:dyDescent="0.3">
      <c r="A749" t="s">
        <v>291</v>
      </c>
      <c r="B749" s="5">
        <v>41622</v>
      </c>
      <c r="C749">
        <v>-21.89</v>
      </c>
      <c r="D749" t="s">
        <v>305</v>
      </c>
      <c r="E749" t="s">
        <v>406</v>
      </c>
      <c r="F749" t="s">
        <v>1102</v>
      </c>
      <c r="G749" t="s">
        <v>360</v>
      </c>
      <c r="I749" t="s">
        <v>272</v>
      </c>
    </row>
    <row r="750" spans="1:9" x14ac:dyDescent="0.3">
      <c r="A750" t="s">
        <v>291</v>
      </c>
      <c r="B750" s="5">
        <v>41622</v>
      </c>
      <c r="C750">
        <v>-22.65</v>
      </c>
      <c r="D750" t="s">
        <v>305</v>
      </c>
      <c r="E750" t="s">
        <v>406</v>
      </c>
      <c r="F750" t="s">
        <v>1103</v>
      </c>
      <c r="G750" t="s">
        <v>20</v>
      </c>
      <c r="I750" t="s">
        <v>272</v>
      </c>
    </row>
    <row r="751" spans="1:9" x14ac:dyDescent="0.3">
      <c r="A751" t="s">
        <v>291</v>
      </c>
      <c r="B751" s="5">
        <v>41625</v>
      </c>
      <c r="C751">
        <v>-54.74</v>
      </c>
      <c r="D751" t="s">
        <v>305</v>
      </c>
      <c r="E751" t="s">
        <v>406</v>
      </c>
      <c r="F751" t="s">
        <v>1104</v>
      </c>
      <c r="G751" t="s">
        <v>360</v>
      </c>
      <c r="I751" t="s">
        <v>272</v>
      </c>
    </row>
    <row r="752" spans="1:9" x14ac:dyDescent="0.3">
      <c r="A752" t="s">
        <v>291</v>
      </c>
      <c r="B752" s="5">
        <v>41625</v>
      </c>
      <c r="C752">
        <v>-41.6</v>
      </c>
      <c r="D752" t="s">
        <v>305</v>
      </c>
      <c r="E752" t="s">
        <v>406</v>
      </c>
      <c r="F752" t="s">
        <v>1105</v>
      </c>
      <c r="G752" t="s">
        <v>360</v>
      </c>
      <c r="I752" t="s">
        <v>272</v>
      </c>
    </row>
    <row r="753" spans="1:9" x14ac:dyDescent="0.3">
      <c r="A753" t="s">
        <v>291</v>
      </c>
      <c r="B753" s="5">
        <v>41625</v>
      </c>
      <c r="C753">
        <v>-199.99</v>
      </c>
      <c r="D753" t="s">
        <v>305</v>
      </c>
      <c r="E753" t="s">
        <v>406</v>
      </c>
      <c r="F753" t="s">
        <v>1106</v>
      </c>
      <c r="G753" t="s">
        <v>359</v>
      </c>
    </row>
    <row r="754" spans="1:9" x14ac:dyDescent="0.3">
      <c r="A754" t="s">
        <v>291</v>
      </c>
      <c r="B754" s="5">
        <v>41632</v>
      </c>
      <c r="C754">
        <v>547.20000000000005</v>
      </c>
      <c r="D754" t="s">
        <v>305</v>
      </c>
      <c r="E754" t="s">
        <v>642</v>
      </c>
      <c r="F754" t="s">
        <v>1107</v>
      </c>
      <c r="G754" t="s">
        <v>9</v>
      </c>
    </row>
    <row r="755" spans="1:9" x14ac:dyDescent="0.3">
      <c r="A755" t="s">
        <v>291</v>
      </c>
      <c r="B755" s="5">
        <v>41639</v>
      </c>
      <c r="C755">
        <v>0</v>
      </c>
      <c r="D755" t="s">
        <v>305</v>
      </c>
      <c r="E755" t="s">
        <v>1108</v>
      </c>
      <c r="F755" t="s">
        <v>601</v>
      </c>
      <c r="G755" t="s">
        <v>15</v>
      </c>
    </row>
    <row r="756" spans="1:9" x14ac:dyDescent="0.3">
      <c r="A756" t="s">
        <v>291</v>
      </c>
      <c r="B756" s="5">
        <v>41652</v>
      </c>
      <c r="C756">
        <v>199.99</v>
      </c>
      <c r="D756" t="s">
        <v>305</v>
      </c>
      <c r="E756" t="s">
        <v>419</v>
      </c>
      <c r="F756" t="s">
        <v>420</v>
      </c>
      <c r="G756" t="s">
        <v>359</v>
      </c>
    </row>
    <row r="757" spans="1:9" x14ac:dyDescent="0.3">
      <c r="A757" t="s">
        <v>291</v>
      </c>
      <c r="B757" s="5">
        <v>41652</v>
      </c>
      <c r="C757">
        <v>-160</v>
      </c>
      <c r="D757" t="s">
        <v>305</v>
      </c>
      <c r="E757" t="s">
        <v>406</v>
      </c>
      <c r="F757" t="s">
        <v>421</v>
      </c>
      <c r="G757" t="s">
        <v>422</v>
      </c>
      <c r="I757" t="s">
        <v>272</v>
      </c>
    </row>
    <row r="758" spans="1:9" x14ac:dyDescent="0.3">
      <c r="A758" t="s">
        <v>291</v>
      </c>
      <c r="B758" s="5">
        <v>41652</v>
      </c>
      <c r="C758">
        <v>-90.3</v>
      </c>
      <c r="D758" t="s">
        <v>305</v>
      </c>
      <c r="E758" t="s">
        <v>406</v>
      </c>
      <c r="G758" t="s">
        <v>343</v>
      </c>
      <c r="I758" t="s">
        <v>272</v>
      </c>
    </row>
    <row r="759" spans="1:9" x14ac:dyDescent="0.3">
      <c r="A759" t="s">
        <v>291</v>
      </c>
      <c r="B759" s="5">
        <v>41662</v>
      </c>
      <c r="C759">
        <v>157.29</v>
      </c>
      <c r="D759" t="s">
        <v>305</v>
      </c>
      <c r="E759" t="s">
        <v>366</v>
      </c>
      <c r="G759" t="s">
        <v>9</v>
      </c>
    </row>
    <row r="760" spans="1:9" x14ac:dyDescent="0.3">
      <c r="A760" t="s">
        <v>291</v>
      </c>
      <c r="B760" s="5">
        <v>41694</v>
      </c>
      <c r="C760">
        <v>250.3</v>
      </c>
      <c r="D760" t="s">
        <v>305</v>
      </c>
      <c r="E760" t="s">
        <v>366</v>
      </c>
      <c r="F760" t="s">
        <v>331</v>
      </c>
      <c r="G760" t="s">
        <v>9</v>
      </c>
    </row>
    <row r="761" spans="1:9" x14ac:dyDescent="0.3">
      <c r="A761" t="s">
        <v>291</v>
      </c>
      <c r="B761" s="5">
        <v>41699</v>
      </c>
      <c r="C761">
        <v>-110</v>
      </c>
      <c r="D761" t="s">
        <v>305</v>
      </c>
      <c r="E761" t="s">
        <v>406</v>
      </c>
      <c r="F761" t="s">
        <v>682</v>
      </c>
      <c r="G761" t="s">
        <v>342</v>
      </c>
    </row>
    <row r="762" spans="1:9" x14ac:dyDescent="0.3">
      <c r="A762" t="s">
        <v>291</v>
      </c>
      <c r="B762" s="5">
        <v>41700</v>
      </c>
      <c r="C762">
        <v>0</v>
      </c>
      <c r="D762" t="s">
        <v>305</v>
      </c>
      <c r="E762" t="s">
        <v>309</v>
      </c>
      <c r="F762" t="s">
        <v>1109</v>
      </c>
      <c r="G762" t="s">
        <v>15</v>
      </c>
    </row>
    <row r="763" spans="1:9" x14ac:dyDescent="0.3">
      <c r="A763" t="s">
        <v>291</v>
      </c>
      <c r="B763" s="5">
        <v>41708</v>
      </c>
      <c r="C763">
        <v>-75.36</v>
      </c>
      <c r="D763" t="s">
        <v>307</v>
      </c>
      <c r="E763" t="s">
        <v>406</v>
      </c>
      <c r="F763" t="s">
        <v>1110</v>
      </c>
      <c r="G763" t="s">
        <v>342</v>
      </c>
    </row>
    <row r="764" spans="1:9" x14ac:dyDescent="0.3">
      <c r="A764" t="s">
        <v>701</v>
      </c>
      <c r="B764" s="5">
        <v>41712</v>
      </c>
      <c r="C764">
        <v>0</v>
      </c>
      <c r="D764" t="s">
        <v>305</v>
      </c>
      <c r="E764" t="s">
        <v>702</v>
      </c>
      <c r="G764" t="s">
        <v>1111</v>
      </c>
    </row>
    <row r="765" spans="1:9" x14ac:dyDescent="0.3">
      <c r="A765" t="s">
        <v>293</v>
      </c>
      <c r="B765" s="5">
        <v>41275</v>
      </c>
      <c r="C765">
        <v>0</v>
      </c>
      <c r="D765" t="s">
        <v>305</v>
      </c>
      <c r="E765" t="s">
        <v>702</v>
      </c>
      <c r="G765" t="s">
        <v>18</v>
      </c>
    </row>
    <row r="766" spans="1:9" x14ac:dyDescent="0.3">
      <c r="A766" t="s">
        <v>293</v>
      </c>
      <c r="B766" s="5">
        <v>41296</v>
      </c>
      <c r="C766">
        <v>-90</v>
      </c>
      <c r="D766" t="s">
        <v>305</v>
      </c>
      <c r="E766" t="s">
        <v>1112</v>
      </c>
      <c r="F766" t="s">
        <v>423</v>
      </c>
      <c r="G766" t="s">
        <v>73</v>
      </c>
    </row>
    <row r="767" spans="1:9" x14ac:dyDescent="0.3">
      <c r="A767" t="s">
        <v>293</v>
      </c>
      <c r="B767" s="5">
        <v>41325</v>
      </c>
      <c r="C767">
        <v>90</v>
      </c>
      <c r="D767" t="s">
        <v>305</v>
      </c>
      <c r="E767" t="s">
        <v>424</v>
      </c>
      <c r="G767" t="s">
        <v>9</v>
      </c>
    </row>
    <row r="768" spans="1:9" x14ac:dyDescent="0.3">
      <c r="A768" t="s">
        <v>293</v>
      </c>
      <c r="B768" s="5">
        <v>41463</v>
      </c>
      <c r="C768">
        <v>-8.75</v>
      </c>
      <c r="D768" t="s">
        <v>305</v>
      </c>
      <c r="E768" t="s">
        <v>1113</v>
      </c>
      <c r="F768" t="s">
        <v>1114</v>
      </c>
      <c r="G768" t="s">
        <v>425</v>
      </c>
    </row>
    <row r="769" spans="1:9" x14ac:dyDescent="0.3">
      <c r="A769" t="s">
        <v>293</v>
      </c>
      <c r="B769" s="5">
        <v>41494</v>
      </c>
      <c r="C769">
        <v>-8.75</v>
      </c>
      <c r="D769" t="s">
        <v>305</v>
      </c>
      <c r="E769" t="s">
        <v>1113</v>
      </c>
      <c r="F769" t="s">
        <v>1114</v>
      </c>
      <c r="G769" t="s">
        <v>425</v>
      </c>
    </row>
    <row r="770" spans="1:9" x14ac:dyDescent="0.3">
      <c r="A770" t="s">
        <v>293</v>
      </c>
      <c r="B770" s="5">
        <v>41504</v>
      </c>
      <c r="C770">
        <v>17.5</v>
      </c>
      <c r="D770" t="s">
        <v>305</v>
      </c>
      <c r="E770" t="s">
        <v>1113</v>
      </c>
      <c r="G770" t="s">
        <v>425</v>
      </c>
    </row>
    <row r="771" spans="1:9" x14ac:dyDescent="0.3">
      <c r="A771" t="s">
        <v>293</v>
      </c>
      <c r="B771" s="5">
        <v>41509</v>
      </c>
      <c r="C771">
        <v>8.75</v>
      </c>
      <c r="D771" t="s">
        <v>305</v>
      </c>
      <c r="E771" t="s">
        <v>424</v>
      </c>
      <c r="G771" t="s">
        <v>9</v>
      </c>
    </row>
    <row r="772" spans="1:9" x14ac:dyDescent="0.3">
      <c r="A772" t="s">
        <v>293</v>
      </c>
      <c r="B772" s="5">
        <v>41601</v>
      </c>
      <c r="C772">
        <v>0</v>
      </c>
      <c r="D772" t="s">
        <v>305</v>
      </c>
      <c r="E772" t="s">
        <v>1108</v>
      </c>
      <c r="F772" t="s">
        <v>1115</v>
      </c>
      <c r="G772" t="s">
        <v>18</v>
      </c>
    </row>
    <row r="773" spans="1:9" x14ac:dyDescent="0.3">
      <c r="A773" t="s">
        <v>293</v>
      </c>
      <c r="B773" s="5">
        <v>41617</v>
      </c>
      <c r="C773">
        <v>-8.75</v>
      </c>
      <c r="D773" t="s">
        <v>305</v>
      </c>
      <c r="E773" t="s">
        <v>903</v>
      </c>
      <c r="F773" t="s">
        <v>1116</v>
      </c>
      <c r="G773" t="s">
        <v>9</v>
      </c>
    </row>
    <row r="774" spans="1:9" x14ac:dyDescent="0.3">
      <c r="A774" t="s">
        <v>293</v>
      </c>
      <c r="B774" s="5">
        <v>41630</v>
      </c>
      <c r="C774">
        <v>-5.91</v>
      </c>
      <c r="D774" t="s">
        <v>305</v>
      </c>
      <c r="E774" t="s">
        <v>372</v>
      </c>
      <c r="F774" t="s">
        <v>1117</v>
      </c>
      <c r="G774" t="s">
        <v>614</v>
      </c>
      <c r="I774" t="s">
        <v>272</v>
      </c>
    </row>
    <row r="775" spans="1:9" x14ac:dyDescent="0.3">
      <c r="A775" t="s">
        <v>293</v>
      </c>
      <c r="B775" s="5">
        <v>41630</v>
      </c>
      <c r="C775">
        <v>-13.79</v>
      </c>
      <c r="D775" t="s">
        <v>305</v>
      </c>
      <c r="E775" t="s">
        <v>372</v>
      </c>
      <c r="F775" t="s">
        <v>1118</v>
      </c>
      <c r="G775" t="s">
        <v>17</v>
      </c>
      <c r="I775" t="s">
        <v>272</v>
      </c>
    </row>
    <row r="776" spans="1:9" x14ac:dyDescent="0.3">
      <c r="A776" t="s">
        <v>293</v>
      </c>
      <c r="B776" s="5">
        <v>41630</v>
      </c>
      <c r="C776">
        <v>-8.86</v>
      </c>
      <c r="D776" t="s">
        <v>305</v>
      </c>
      <c r="E776" t="s">
        <v>372</v>
      </c>
      <c r="F776" t="s">
        <v>1119</v>
      </c>
      <c r="G776" t="s">
        <v>346</v>
      </c>
      <c r="I776" t="s">
        <v>272</v>
      </c>
    </row>
    <row r="777" spans="1:9" x14ac:dyDescent="0.3">
      <c r="A777" t="s">
        <v>293</v>
      </c>
      <c r="B777" s="5">
        <v>41630</v>
      </c>
      <c r="C777">
        <v>-11.81</v>
      </c>
      <c r="D777" t="s">
        <v>305</v>
      </c>
      <c r="E777" t="s">
        <v>372</v>
      </c>
      <c r="F777" t="s">
        <v>1120</v>
      </c>
      <c r="G777" t="s">
        <v>346</v>
      </c>
      <c r="I777" t="s">
        <v>272</v>
      </c>
    </row>
    <row r="778" spans="1:9" x14ac:dyDescent="0.3">
      <c r="A778" t="s">
        <v>293</v>
      </c>
      <c r="B778" s="5">
        <v>41630</v>
      </c>
      <c r="C778">
        <v>-3.83</v>
      </c>
      <c r="D778" t="s">
        <v>305</v>
      </c>
      <c r="E778" t="s">
        <v>372</v>
      </c>
      <c r="F778" t="s">
        <v>1121</v>
      </c>
      <c r="G778" t="s">
        <v>360</v>
      </c>
      <c r="I778" t="s">
        <v>272</v>
      </c>
    </row>
    <row r="779" spans="1:9" x14ac:dyDescent="0.3">
      <c r="A779" t="s">
        <v>293</v>
      </c>
      <c r="B779" s="5">
        <v>41630</v>
      </c>
      <c r="C779">
        <v>-23.45</v>
      </c>
      <c r="D779" t="s">
        <v>305</v>
      </c>
      <c r="E779" t="s">
        <v>372</v>
      </c>
      <c r="F779" t="s">
        <v>1122</v>
      </c>
      <c r="G779" t="s">
        <v>637</v>
      </c>
      <c r="I779" t="s">
        <v>272</v>
      </c>
    </row>
    <row r="780" spans="1:9" x14ac:dyDescent="0.3">
      <c r="A780" t="s">
        <v>293</v>
      </c>
      <c r="B780" s="5">
        <v>41630</v>
      </c>
      <c r="C780">
        <v>-14.77</v>
      </c>
      <c r="D780" t="s">
        <v>305</v>
      </c>
      <c r="E780" t="s">
        <v>372</v>
      </c>
      <c r="F780" t="s">
        <v>1123</v>
      </c>
      <c r="G780" t="s">
        <v>360</v>
      </c>
      <c r="I780" t="s">
        <v>272</v>
      </c>
    </row>
    <row r="781" spans="1:9" x14ac:dyDescent="0.3">
      <c r="A781" t="s">
        <v>293</v>
      </c>
      <c r="B781" s="5">
        <v>41630</v>
      </c>
      <c r="C781">
        <v>-11.62</v>
      </c>
      <c r="D781" t="s">
        <v>305</v>
      </c>
      <c r="E781" t="s">
        <v>372</v>
      </c>
      <c r="F781" t="s">
        <v>1124</v>
      </c>
      <c r="G781" t="s">
        <v>360</v>
      </c>
      <c r="I781" t="s">
        <v>272</v>
      </c>
    </row>
    <row r="782" spans="1:9" x14ac:dyDescent="0.3">
      <c r="A782" t="s">
        <v>293</v>
      </c>
      <c r="B782" s="5">
        <v>41630</v>
      </c>
      <c r="C782">
        <v>-1.23</v>
      </c>
      <c r="D782" t="s">
        <v>305</v>
      </c>
      <c r="E782" t="s">
        <v>372</v>
      </c>
      <c r="F782" t="s">
        <v>1125</v>
      </c>
      <c r="G782" t="s">
        <v>20</v>
      </c>
      <c r="I782" t="s">
        <v>272</v>
      </c>
    </row>
    <row r="783" spans="1:9" x14ac:dyDescent="0.3">
      <c r="A783" t="s">
        <v>293</v>
      </c>
      <c r="B783" s="5">
        <v>41630</v>
      </c>
      <c r="C783">
        <v>-290.16000000000003</v>
      </c>
      <c r="D783" t="s">
        <v>305</v>
      </c>
      <c r="E783" t="s">
        <v>372</v>
      </c>
      <c r="F783" t="s">
        <v>1126</v>
      </c>
      <c r="G783" t="s">
        <v>342</v>
      </c>
      <c r="I783" t="s">
        <v>272</v>
      </c>
    </row>
    <row r="784" spans="1:9" x14ac:dyDescent="0.3">
      <c r="A784" t="s">
        <v>293</v>
      </c>
      <c r="B784" s="5">
        <v>41630</v>
      </c>
      <c r="C784">
        <v>-125.03</v>
      </c>
      <c r="D784" t="s">
        <v>305</v>
      </c>
      <c r="E784" t="s">
        <v>372</v>
      </c>
      <c r="F784" t="s">
        <v>1127</v>
      </c>
      <c r="G784" t="s">
        <v>342</v>
      </c>
      <c r="I784" t="s">
        <v>272</v>
      </c>
    </row>
    <row r="785" spans="1:7" x14ac:dyDescent="0.3">
      <c r="A785" t="s">
        <v>293</v>
      </c>
      <c r="B785" s="5">
        <v>41636</v>
      </c>
      <c r="C785">
        <v>0</v>
      </c>
      <c r="D785" t="s">
        <v>305</v>
      </c>
      <c r="E785" t="s">
        <v>309</v>
      </c>
      <c r="F785" t="s">
        <v>1128</v>
      </c>
      <c r="G785" t="s">
        <v>18</v>
      </c>
    </row>
    <row r="786" spans="1:7" x14ac:dyDescent="0.3">
      <c r="A786" t="s">
        <v>293</v>
      </c>
      <c r="B786" s="5">
        <v>41639</v>
      </c>
      <c r="C786">
        <v>0</v>
      </c>
      <c r="D786" t="s">
        <v>305</v>
      </c>
      <c r="E786" t="s">
        <v>309</v>
      </c>
      <c r="F786" t="s">
        <v>601</v>
      </c>
      <c r="G786" t="s">
        <v>18</v>
      </c>
    </row>
    <row r="787" spans="1:7" x14ac:dyDescent="0.3">
      <c r="A787" t="s">
        <v>293</v>
      </c>
      <c r="B787" s="5">
        <v>41661</v>
      </c>
      <c r="C787">
        <v>-90</v>
      </c>
      <c r="D787" t="s">
        <v>305</v>
      </c>
      <c r="E787" t="s">
        <v>426</v>
      </c>
      <c r="F787" t="s">
        <v>423</v>
      </c>
      <c r="G787" t="s">
        <v>427</v>
      </c>
    </row>
    <row r="788" spans="1:7" x14ac:dyDescent="0.3">
      <c r="A788" t="s">
        <v>293</v>
      </c>
      <c r="B788" s="5">
        <v>41662</v>
      </c>
      <c r="C788">
        <v>510.46</v>
      </c>
      <c r="D788" t="s">
        <v>305</v>
      </c>
      <c r="E788" t="s">
        <v>428</v>
      </c>
      <c r="G788" t="s">
        <v>9</v>
      </c>
    </row>
    <row r="789" spans="1:7" x14ac:dyDescent="0.3">
      <c r="A789" t="s">
        <v>293</v>
      </c>
      <c r="B789" s="5">
        <v>41673</v>
      </c>
      <c r="C789">
        <v>-7.65</v>
      </c>
      <c r="D789" t="s">
        <v>305</v>
      </c>
      <c r="E789" t="s">
        <v>429</v>
      </c>
      <c r="F789" t="s">
        <v>430</v>
      </c>
      <c r="G789" t="s">
        <v>72</v>
      </c>
    </row>
    <row r="790" spans="1:7" x14ac:dyDescent="0.3">
      <c r="A790" t="s">
        <v>293</v>
      </c>
      <c r="B790" s="5">
        <v>41688</v>
      </c>
      <c r="C790">
        <v>0</v>
      </c>
      <c r="D790" t="s">
        <v>305</v>
      </c>
      <c r="E790" t="s">
        <v>309</v>
      </c>
      <c r="F790" t="s">
        <v>601</v>
      </c>
      <c r="G790" t="s">
        <v>18</v>
      </c>
    </row>
    <row r="791" spans="1:7" x14ac:dyDescent="0.3">
      <c r="A791" t="s">
        <v>293</v>
      </c>
      <c r="B791" s="5">
        <v>41694</v>
      </c>
      <c r="C791">
        <v>90</v>
      </c>
      <c r="D791" t="s">
        <v>305</v>
      </c>
      <c r="E791" t="s">
        <v>424</v>
      </c>
      <c r="F791" t="s">
        <v>338</v>
      </c>
      <c r="G791" t="s">
        <v>9</v>
      </c>
    </row>
    <row r="792" spans="1:7" x14ac:dyDescent="0.3">
      <c r="A792" t="s">
        <v>293</v>
      </c>
      <c r="B792" s="5">
        <v>41700</v>
      </c>
      <c r="C792">
        <v>0</v>
      </c>
      <c r="D792" t="s">
        <v>305</v>
      </c>
      <c r="E792" t="s">
        <v>309</v>
      </c>
      <c r="F792" t="s">
        <v>1129</v>
      </c>
      <c r="G792" t="s">
        <v>18</v>
      </c>
    </row>
    <row r="793" spans="1:7" x14ac:dyDescent="0.3">
      <c r="A793" t="s">
        <v>294</v>
      </c>
      <c r="B793" s="5">
        <v>41274</v>
      </c>
      <c r="C793">
        <v>-63.13</v>
      </c>
      <c r="D793" t="s">
        <v>305</v>
      </c>
      <c r="E793" t="s">
        <v>431</v>
      </c>
      <c r="G793" t="s">
        <v>308</v>
      </c>
    </row>
    <row r="794" spans="1:7" x14ac:dyDescent="0.3">
      <c r="A794" t="s">
        <v>294</v>
      </c>
      <c r="B794" s="5">
        <v>41276</v>
      </c>
      <c r="C794">
        <v>-134.56</v>
      </c>
      <c r="D794" t="s">
        <v>305</v>
      </c>
      <c r="E794" t="s">
        <v>702</v>
      </c>
      <c r="G794" t="s">
        <v>31</v>
      </c>
    </row>
    <row r="795" spans="1:7" x14ac:dyDescent="0.3">
      <c r="A795" t="s">
        <v>294</v>
      </c>
      <c r="B795" s="5">
        <v>41288</v>
      </c>
      <c r="C795">
        <v>-133.86000000000001</v>
      </c>
      <c r="D795" t="s">
        <v>305</v>
      </c>
      <c r="E795" t="s">
        <v>1130</v>
      </c>
      <c r="F795" t="s">
        <v>611</v>
      </c>
      <c r="G795" t="s">
        <v>643</v>
      </c>
    </row>
    <row r="796" spans="1:7" x14ac:dyDescent="0.3">
      <c r="A796" t="s">
        <v>294</v>
      </c>
      <c r="B796" s="5">
        <v>41297</v>
      </c>
      <c r="C796">
        <v>134.56</v>
      </c>
      <c r="D796" t="s">
        <v>305</v>
      </c>
      <c r="E796" t="s">
        <v>1131</v>
      </c>
      <c r="G796" t="s">
        <v>24</v>
      </c>
    </row>
    <row r="797" spans="1:7" x14ac:dyDescent="0.3">
      <c r="A797" t="s">
        <v>294</v>
      </c>
      <c r="B797" s="5">
        <v>41319</v>
      </c>
      <c r="C797">
        <v>-137.28</v>
      </c>
      <c r="D797" t="s">
        <v>305</v>
      </c>
      <c r="E797" t="s">
        <v>1132</v>
      </c>
      <c r="G797" t="s">
        <v>337</v>
      </c>
    </row>
    <row r="798" spans="1:7" x14ac:dyDescent="0.3">
      <c r="A798" t="s">
        <v>294</v>
      </c>
      <c r="B798" s="5">
        <v>41327</v>
      </c>
      <c r="C798">
        <v>196.99</v>
      </c>
      <c r="D798" t="s">
        <v>305</v>
      </c>
      <c r="E798" t="s">
        <v>1131</v>
      </c>
      <c r="G798" t="s">
        <v>24</v>
      </c>
    </row>
    <row r="799" spans="1:7" x14ac:dyDescent="0.3">
      <c r="A799" t="s">
        <v>294</v>
      </c>
      <c r="B799" s="5">
        <v>41348</v>
      </c>
      <c r="C799">
        <v>-1.88</v>
      </c>
      <c r="D799" t="s">
        <v>305</v>
      </c>
      <c r="E799" t="s">
        <v>1133</v>
      </c>
      <c r="G799" t="s">
        <v>337</v>
      </c>
    </row>
    <row r="800" spans="1:7" x14ac:dyDescent="0.3">
      <c r="A800" t="s">
        <v>294</v>
      </c>
      <c r="B800" s="5">
        <v>41348</v>
      </c>
      <c r="C800">
        <v>-5.45</v>
      </c>
      <c r="D800" t="s">
        <v>305</v>
      </c>
      <c r="E800" t="s">
        <v>432</v>
      </c>
      <c r="F800" t="s">
        <v>1134</v>
      </c>
      <c r="G800" t="s">
        <v>308</v>
      </c>
    </row>
    <row r="801" spans="1:7" x14ac:dyDescent="0.3">
      <c r="A801" t="s">
        <v>294</v>
      </c>
      <c r="B801" s="5">
        <v>41355</v>
      </c>
      <c r="C801">
        <v>137.28</v>
      </c>
      <c r="D801" t="s">
        <v>305</v>
      </c>
      <c r="E801" t="s">
        <v>1131</v>
      </c>
      <c r="G801" t="s">
        <v>24</v>
      </c>
    </row>
    <row r="802" spans="1:7" x14ac:dyDescent="0.3">
      <c r="A802" t="s">
        <v>294</v>
      </c>
      <c r="B802" s="5">
        <v>41361</v>
      </c>
      <c r="C802">
        <v>45.68</v>
      </c>
      <c r="D802" t="s">
        <v>305</v>
      </c>
      <c r="E802" t="s">
        <v>1135</v>
      </c>
      <c r="G802" t="s">
        <v>31</v>
      </c>
    </row>
    <row r="803" spans="1:7" x14ac:dyDescent="0.3">
      <c r="A803" t="s">
        <v>294</v>
      </c>
      <c r="B803" s="5">
        <v>41362</v>
      </c>
      <c r="C803">
        <v>-17.11</v>
      </c>
      <c r="D803" t="s">
        <v>305</v>
      </c>
      <c r="E803" t="s">
        <v>324</v>
      </c>
      <c r="F803" t="s">
        <v>1136</v>
      </c>
      <c r="G803" t="s">
        <v>393</v>
      </c>
    </row>
    <row r="804" spans="1:7" x14ac:dyDescent="0.3">
      <c r="A804" t="s">
        <v>294</v>
      </c>
      <c r="B804" s="5">
        <v>41364</v>
      </c>
      <c r="C804">
        <v>-139.72999999999999</v>
      </c>
      <c r="D804" t="s">
        <v>305</v>
      </c>
      <c r="E804" t="s">
        <v>336</v>
      </c>
      <c r="F804" t="s">
        <v>611</v>
      </c>
      <c r="G804" t="s">
        <v>337</v>
      </c>
    </row>
    <row r="805" spans="1:7" x14ac:dyDescent="0.3">
      <c r="A805" t="s">
        <v>294</v>
      </c>
      <c r="B805" s="5">
        <v>41378</v>
      </c>
      <c r="C805">
        <v>-13.13</v>
      </c>
      <c r="D805" t="s">
        <v>305</v>
      </c>
      <c r="E805" t="s">
        <v>433</v>
      </c>
      <c r="F805" t="s">
        <v>1137</v>
      </c>
      <c r="G805" t="s">
        <v>644</v>
      </c>
    </row>
    <row r="806" spans="1:7" x14ac:dyDescent="0.3">
      <c r="A806" t="s">
        <v>294</v>
      </c>
      <c r="B806" s="5">
        <v>41387</v>
      </c>
      <c r="C806">
        <v>118.49</v>
      </c>
      <c r="D806" t="s">
        <v>305</v>
      </c>
      <c r="E806" t="s">
        <v>1131</v>
      </c>
      <c r="G806" t="s">
        <v>24</v>
      </c>
    </row>
    <row r="807" spans="1:7" x14ac:dyDescent="0.3">
      <c r="A807" t="s">
        <v>294</v>
      </c>
      <c r="B807" s="5">
        <v>41404</v>
      </c>
      <c r="C807">
        <v>-6.32</v>
      </c>
      <c r="D807" t="s">
        <v>305</v>
      </c>
      <c r="E807" t="s">
        <v>432</v>
      </c>
      <c r="F807" t="s">
        <v>1138</v>
      </c>
      <c r="G807" t="s">
        <v>308</v>
      </c>
    </row>
    <row r="808" spans="1:7" x14ac:dyDescent="0.3">
      <c r="A808" t="s">
        <v>294</v>
      </c>
      <c r="B808" s="5">
        <v>41406</v>
      </c>
      <c r="C808">
        <v>-136.36000000000001</v>
      </c>
      <c r="D808" t="s">
        <v>305</v>
      </c>
      <c r="E808" t="s">
        <v>336</v>
      </c>
      <c r="F808" t="s">
        <v>611</v>
      </c>
      <c r="G808" t="s">
        <v>337</v>
      </c>
    </row>
    <row r="809" spans="1:7" x14ac:dyDescent="0.3">
      <c r="A809" t="s">
        <v>294</v>
      </c>
      <c r="B809" s="5">
        <v>41416</v>
      </c>
      <c r="C809">
        <v>-69</v>
      </c>
      <c r="D809" t="s">
        <v>305</v>
      </c>
      <c r="E809" t="s">
        <v>1139</v>
      </c>
      <c r="F809" t="s">
        <v>1140</v>
      </c>
      <c r="G809" t="s">
        <v>1141</v>
      </c>
    </row>
    <row r="810" spans="1:7" x14ac:dyDescent="0.3">
      <c r="A810" t="s">
        <v>294</v>
      </c>
      <c r="B810" s="5">
        <v>41417</v>
      </c>
      <c r="C810">
        <v>13.13</v>
      </c>
      <c r="D810" t="s">
        <v>305</v>
      </c>
      <c r="E810" t="s">
        <v>1131</v>
      </c>
      <c r="G810" t="s">
        <v>24</v>
      </c>
    </row>
    <row r="811" spans="1:7" x14ac:dyDescent="0.3">
      <c r="A811" t="s">
        <v>294</v>
      </c>
      <c r="B811" s="5">
        <v>41437</v>
      </c>
      <c r="C811">
        <v>-164.69</v>
      </c>
      <c r="D811" t="s">
        <v>305</v>
      </c>
      <c r="E811" t="s">
        <v>336</v>
      </c>
      <c r="F811" t="s">
        <v>611</v>
      </c>
      <c r="G811" t="s">
        <v>337</v>
      </c>
    </row>
    <row r="812" spans="1:7" x14ac:dyDescent="0.3">
      <c r="A812" t="s">
        <v>294</v>
      </c>
      <c r="B812" s="5">
        <v>41443</v>
      </c>
      <c r="C812">
        <v>-71.88</v>
      </c>
      <c r="D812" t="s">
        <v>305</v>
      </c>
      <c r="E812" t="s">
        <v>1142</v>
      </c>
      <c r="G812" t="s">
        <v>434</v>
      </c>
    </row>
    <row r="813" spans="1:7" x14ac:dyDescent="0.3">
      <c r="A813" t="s">
        <v>294</v>
      </c>
      <c r="B813" s="5">
        <v>41444</v>
      </c>
      <c r="C813">
        <v>-11.92</v>
      </c>
      <c r="D813" t="s">
        <v>305</v>
      </c>
      <c r="E813" t="s">
        <v>1142</v>
      </c>
      <c r="G813" t="s">
        <v>434</v>
      </c>
    </row>
    <row r="814" spans="1:7" x14ac:dyDescent="0.3">
      <c r="A814" t="s">
        <v>294</v>
      </c>
      <c r="B814" s="5">
        <v>41448</v>
      </c>
      <c r="C814">
        <v>211.68</v>
      </c>
      <c r="D814" t="s">
        <v>305</v>
      </c>
      <c r="E814" t="s">
        <v>1131</v>
      </c>
      <c r="G814" t="s">
        <v>24</v>
      </c>
    </row>
    <row r="815" spans="1:7" x14ac:dyDescent="0.3">
      <c r="A815" t="s">
        <v>294</v>
      </c>
      <c r="B815" s="5">
        <v>41467</v>
      </c>
      <c r="C815">
        <v>-144.19999999999999</v>
      </c>
      <c r="D815" t="s">
        <v>305</v>
      </c>
      <c r="E815" t="s">
        <v>336</v>
      </c>
      <c r="F815" t="s">
        <v>611</v>
      </c>
      <c r="G815" t="s">
        <v>337</v>
      </c>
    </row>
    <row r="816" spans="1:7" x14ac:dyDescent="0.3">
      <c r="A816" t="s">
        <v>294</v>
      </c>
      <c r="B816" s="5">
        <v>41478</v>
      </c>
      <c r="C816">
        <v>248.49</v>
      </c>
      <c r="D816" t="s">
        <v>305</v>
      </c>
      <c r="E816" t="s">
        <v>1131</v>
      </c>
      <c r="G816" t="s">
        <v>24</v>
      </c>
    </row>
    <row r="817" spans="1:7" x14ac:dyDescent="0.3">
      <c r="A817" t="s">
        <v>294</v>
      </c>
      <c r="B817" s="5">
        <v>41483</v>
      </c>
      <c r="C817">
        <v>-3.26</v>
      </c>
      <c r="D817" t="s">
        <v>305</v>
      </c>
      <c r="E817" t="s">
        <v>432</v>
      </c>
      <c r="F817" t="s">
        <v>1134</v>
      </c>
      <c r="G817" t="s">
        <v>308</v>
      </c>
    </row>
    <row r="818" spans="1:7" x14ac:dyDescent="0.3">
      <c r="A818" t="s">
        <v>294</v>
      </c>
      <c r="B818" s="5">
        <v>41483</v>
      </c>
      <c r="C818">
        <v>-6.53</v>
      </c>
      <c r="D818" t="s">
        <v>305</v>
      </c>
      <c r="E818" t="s">
        <v>432</v>
      </c>
      <c r="F818" t="s">
        <v>1143</v>
      </c>
      <c r="G818" t="s">
        <v>308</v>
      </c>
    </row>
    <row r="819" spans="1:7" x14ac:dyDescent="0.3">
      <c r="A819" t="s">
        <v>294</v>
      </c>
      <c r="B819" s="5">
        <v>41498</v>
      </c>
      <c r="C819">
        <v>-144.18</v>
      </c>
      <c r="D819" t="s">
        <v>305</v>
      </c>
      <c r="E819" t="s">
        <v>336</v>
      </c>
      <c r="F819" t="s">
        <v>611</v>
      </c>
      <c r="G819" t="s">
        <v>337</v>
      </c>
    </row>
    <row r="820" spans="1:7" x14ac:dyDescent="0.3">
      <c r="A820" t="s">
        <v>294</v>
      </c>
      <c r="B820" s="5">
        <v>41509</v>
      </c>
      <c r="C820">
        <v>153.99</v>
      </c>
      <c r="D820" t="s">
        <v>305</v>
      </c>
      <c r="E820" t="s">
        <v>1131</v>
      </c>
      <c r="G820" t="s">
        <v>24</v>
      </c>
    </row>
    <row r="821" spans="1:7" x14ac:dyDescent="0.3">
      <c r="A821" t="s">
        <v>294</v>
      </c>
      <c r="B821" s="5">
        <v>41529</v>
      </c>
      <c r="C821">
        <v>-144.28</v>
      </c>
      <c r="D821" t="s">
        <v>305</v>
      </c>
      <c r="E821" t="s">
        <v>336</v>
      </c>
      <c r="F821" t="s">
        <v>611</v>
      </c>
      <c r="G821" t="s">
        <v>337</v>
      </c>
    </row>
    <row r="822" spans="1:7" x14ac:dyDescent="0.3">
      <c r="A822" t="s">
        <v>294</v>
      </c>
      <c r="B822" s="5">
        <v>41540</v>
      </c>
      <c r="C822">
        <v>144.18</v>
      </c>
      <c r="D822" t="s">
        <v>305</v>
      </c>
      <c r="E822" t="s">
        <v>1131</v>
      </c>
      <c r="G822" t="s">
        <v>24</v>
      </c>
    </row>
    <row r="823" spans="1:7" x14ac:dyDescent="0.3">
      <c r="A823" t="s">
        <v>294</v>
      </c>
      <c r="B823" s="5">
        <v>41546</v>
      </c>
      <c r="C823">
        <v>-6.08</v>
      </c>
      <c r="D823" t="s">
        <v>305</v>
      </c>
      <c r="E823" t="s">
        <v>324</v>
      </c>
      <c r="G823" t="s">
        <v>394</v>
      </c>
    </row>
    <row r="824" spans="1:7" x14ac:dyDescent="0.3">
      <c r="A824" t="s">
        <v>294</v>
      </c>
      <c r="B824" s="5">
        <v>41560</v>
      </c>
      <c r="C824">
        <v>-144.29</v>
      </c>
      <c r="D824" t="s">
        <v>305</v>
      </c>
      <c r="E824" t="s">
        <v>336</v>
      </c>
      <c r="F824" t="s">
        <v>611</v>
      </c>
      <c r="G824" t="s">
        <v>337</v>
      </c>
    </row>
    <row r="825" spans="1:7" x14ac:dyDescent="0.3">
      <c r="A825" t="s">
        <v>294</v>
      </c>
      <c r="B825" s="5">
        <v>41570</v>
      </c>
      <c r="C825">
        <v>150.36000000000001</v>
      </c>
      <c r="D825" t="s">
        <v>305</v>
      </c>
      <c r="E825" t="s">
        <v>1131</v>
      </c>
      <c r="F825" t="s">
        <v>1144</v>
      </c>
      <c r="G825" t="s">
        <v>24</v>
      </c>
    </row>
    <row r="826" spans="1:7" x14ac:dyDescent="0.3">
      <c r="A826" t="s">
        <v>294</v>
      </c>
      <c r="B826" s="5">
        <v>41590</v>
      </c>
      <c r="C826">
        <v>-146.63999999999999</v>
      </c>
      <c r="D826" t="s">
        <v>305</v>
      </c>
      <c r="E826" t="s">
        <v>336</v>
      </c>
      <c r="F826" t="s">
        <v>611</v>
      </c>
      <c r="G826" t="s">
        <v>337</v>
      </c>
    </row>
    <row r="827" spans="1:7" x14ac:dyDescent="0.3">
      <c r="A827" t="s">
        <v>294</v>
      </c>
      <c r="B827" s="5">
        <v>41600</v>
      </c>
      <c r="C827">
        <v>144.29</v>
      </c>
      <c r="D827" t="s">
        <v>305</v>
      </c>
      <c r="E827" t="s">
        <v>390</v>
      </c>
      <c r="G827" t="s">
        <v>24</v>
      </c>
    </row>
    <row r="828" spans="1:7" x14ac:dyDescent="0.3">
      <c r="A828" t="s">
        <v>294</v>
      </c>
      <c r="B828" s="5">
        <v>41620</v>
      </c>
      <c r="C828">
        <v>-146.54</v>
      </c>
      <c r="D828" t="s">
        <v>305</v>
      </c>
      <c r="E828" t="s">
        <v>336</v>
      </c>
      <c r="G828" t="s">
        <v>337</v>
      </c>
    </row>
    <row r="829" spans="1:7" x14ac:dyDescent="0.3">
      <c r="A829" t="s">
        <v>294</v>
      </c>
      <c r="B829" s="5">
        <v>41631</v>
      </c>
      <c r="C829">
        <v>146.63999999999999</v>
      </c>
      <c r="D829" t="s">
        <v>305</v>
      </c>
      <c r="E829" t="s">
        <v>1145</v>
      </c>
      <c r="F829" t="s">
        <v>601</v>
      </c>
      <c r="G829" t="s">
        <v>24</v>
      </c>
    </row>
    <row r="830" spans="1:7" x14ac:dyDescent="0.3">
      <c r="A830" t="s">
        <v>294</v>
      </c>
      <c r="B830" s="5">
        <v>41636</v>
      </c>
      <c r="C830">
        <v>0</v>
      </c>
      <c r="D830" t="s">
        <v>305</v>
      </c>
      <c r="E830" t="s">
        <v>309</v>
      </c>
      <c r="F830" t="s">
        <v>1146</v>
      </c>
      <c r="G830" t="s">
        <v>31</v>
      </c>
    </row>
    <row r="831" spans="1:7" x14ac:dyDescent="0.3">
      <c r="A831" t="s">
        <v>294</v>
      </c>
      <c r="B831" s="5">
        <v>41651</v>
      </c>
      <c r="C831">
        <v>-146.54</v>
      </c>
      <c r="D831" t="s">
        <v>305</v>
      </c>
      <c r="E831" t="s">
        <v>336</v>
      </c>
      <c r="G831" t="s">
        <v>337</v>
      </c>
    </row>
    <row r="832" spans="1:7" x14ac:dyDescent="0.3">
      <c r="A832" t="s">
        <v>294</v>
      </c>
      <c r="B832" s="5">
        <v>41662</v>
      </c>
      <c r="C832">
        <v>146.54</v>
      </c>
      <c r="D832" t="s">
        <v>305</v>
      </c>
      <c r="E832" t="s">
        <v>390</v>
      </c>
      <c r="F832" t="s">
        <v>1146</v>
      </c>
      <c r="G832" t="s">
        <v>24</v>
      </c>
    </row>
    <row r="833" spans="1:7" x14ac:dyDescent="0.3">
      <c r="A833" t="s">
        <v>294</v>
      </c>
      <c r="B833" s="5">
        <v>41682</v>
      </c>
      <c r="C833">
        <v>-146.74</v>
      </c>
      <c r="D833" t="s">
        <v>307</v>
      </c>
      <c r="E833" t="s">
        <v>336</v>
      </c>
      <c r="F833" t="s">
        <v>601</v>
      </c>
      <c r="G833" t="s">
        <v>337</v>
      </c>
    </row>
    <row r="834" spans="1:7" x14ac:dyDescent="0.3">
      <c r="A834" t="s">
        <v>294</v>
      </c>
      <c r="B834" s="5">
        <v>41694</v>
      </c>
      <c r="C834">
        <v>146.54</v>
      </c>
      <c r="D834" t="s">
        <v>307</v>
      </c>
      <c r="E834" t="s">
        <v>397</v>
      </c>
      <c r="F834" t="s">
        <v>388</v>
      </c>
      <c r="G834" t="s">
        <v>24</v>
      </c>
    </row>
    <row r="835" spans="1:7" x14ac:dyDescent="0.3">
      <c r="A835" t="s">
        <v>294</v>
      </c>
      <c r="B835" s="5">
        <v>41695</v>
      </c>
      <c r="C835">
        <v>-15.84</v>
      </c>
      <c r="D835" t="s">
        <v>307</v>
      </c>
      <c r="E835" t="s">
        <v>683</v>
      </c>
      <c r="F835" t="s">
        <v>684</v>
      </c>
      <c r="G835" t="s">
        <v>652</v>
      </c>
    </row>
    <row r="836" spans="1:7" x14ac:dyDescent="0.3">
      <c r="A836" t="s">
        <v>294</v>
      </c>
      <c r="B836" s="5">
        <v>41695</v>
      </c>
      <c r="C836">
        <v>-16.170000000000002</v>
      </c>
      <c r="D836" t="s">
        <v>307</v>
      </c>
      <c r="E836" t="s">
        <v>683</v>
      </c>
      <c r="F836" t="s">
        <v>685</v>
      </c>
      <c r="G836" t="s">
        <v>626</v>
      </c>
    </row>
    <row r="837" spans="1:7" x14ac:dyDescent="0.3">
      <c r="A837" t="s">
        <v>294</v>
      </c>
      <c r="B837" s="5">
        <v>41695</v>
      </c>
      <c r="C837">
        <v>-16.399999999999999</v>
      </c>
      <c r="D837" t="s">
        <v>307</v>
      </c>
      <c r="E837" t="s">
        <v>431</v>
      </c>
      <c r="F837" t="s">
        <v>685</v>
      </c>
      <c r="G837" t="s">
        <v>626</v>
      </c>
    </row>
    <row r="838" spans="1:7" x14ac:dyDescent="0.3">
      <c r="A838" t="s">
        <v>294</v>
      </c>
      <c r="B838" s="5">
        <v>41695</v>
      </c>
      <c r="C838">
        <v>-125.97</v>
      </c>
      <c r="D838" t="s">
        <v>307</v>
      </c>
      <c r="E838" t="s">
        <v>431</v>
      </c>
      <c r="F838" t="s">
        <v>686</v>
      </c>
      <c r="G838" t="s">
        <v>652</v>
      </c>
    </row>
    <row r="839" spans="1:7" x14ac:dyDescent="0.3">
      <c r="A839" t="s">
        <v>294</v>
      </c>
      <c r="B839" s="5">
        <v>41696</v>
      </c>
      <c r="C839">
        <v>0</v>
      </c>
      <c r="E839" t="s">
        <v>309</v>
      </c>
      <c r="F839" t="s">
        <v>601</v>
      </c>
      <c r="G839" t="s">
        <v>31</v>
      </c>
    </row>
    <row r="840" spans="1:7" x14ac:dyDescent="0.3">
      <c r="A840" t="s">
        <v>294</v>
      </c>
      <c r="B840" s="5">
        <v>41710</v>
      </c>
      <c r="C840">
        <v>-146.69999999999999</v>
      </c>
      <c r="D840" t="s">
        <v>307</v>
      </c>
      <c r="E840" t="s">
        <v>336</v>
      </c>
      <c r="G840" t="s">
        <v>337</v>
      </c>
    </row>
    <row r="841" spans="1:7" x14ac:dyDescent="0.3">
      <c r="A841" t="s">
        <v>295</v>
      </c>
      <c r="B841" s="5">
        <v>41275</v>
      </c>
      <c r="C841">
        <v>-30</v>
      </c>
      <c r="D841" t="s">
        <v>305</v>
      </c>
      <c r="E841" t="s">
        <v>702</v>
      </c>
      <c r="G841" t="s">
        <v>16</v>
      </c>
    </row>
    <row r="842" spans="1:7" x14ac:dyDescent="0.3">
      <c r="A842" t="s">
        <v>295</v>
      </c>
      <c r="B842" s="5">
        <v>41299</v>
      </c>
      <c r="C842">
        <v>30</v>
      </c>
      <c r="D842" t="s">
        <v>305</v>
      </c>
      <c r="E842" t="s">
        <v>751</v>
      </c>
      <c r="F842" t="s">
        <v>752</v>
      </c>
      <c r="G842" t="s">
        <v>9</v>
      </c>
    </row>
    <row r="843" spans="1:7" x14ac:dyDescent="0.3">
      <c r="A843" t="s">
        <v>295</v>
      </c>
      <c r="B843" s="5">
        <v>41369</v>
      </c>
      <c r="C843">
        <v>-27.88</v>
      </c>
      <c r="D843" t="s">
        <v>305</v>
      </c>
      <c r="E843" t="s">
        <v>435</v>
      </c>
      <c r="F843" t="s">
        <v>996</v>
      </c>
      <c r="G843" t="s">
        <v>343</v>
      </c>
    </row>
    <row r="844" spans="1:7" x14ac:dyDescent="0.3">
      <c r="A844" t="s">
        <v>295</v>
      </c>
      <c r="B844" s="5">
        <v>41418</v>
      </c>
      <c r="C844">
        <v>27.88</v>
      </c>
      <c r="D844" t="s">
        <v>305</v>
      </c>
      <c r="E844" t="s">
        <v>751</v>
      </c>
      <c r="G844" t="s">
        <v>9</v>
      </c>
    </row>
    <row r="845" spans="1:7" x14ac:dyDescent="0.3">
      <c r="A845" t="s">
        <v>295</v>
      </c>
      <c r="B845" s="5">
        <v>41420</v>
      </c>
      <c r="C845">
        <v>171.86</v>
      </c>
      <c r="D845" t="s">
        <v>305</v>
      </c>
      <c r="E845" t="s">
        <v>1147</v>
      </c>
      <c r="F845" t="s">
        <v>436</v>
      </c>
      <c r="G845" t="s">
        <v>14</v>
      </c>
    </row>
    <row r="846" spans="1:7" x14ac:dyDescent="0.3">
      <c r="A846" t="s">
        <v>295</v>
      </c>
      <c r="B846" s="5">
        <v>41515</v>
      </c>
      <c r="C846">
        <v>-30</v>
      </c>
      <c r="D846" t="s">
        <v>305</v>
      </c>
      <c r="E846" t="s">
        <v>1148</v>
      </c>
      <c r="G846" t="s">
        <v>334</v>
      </c>
    </row>
    <row r="847" spans="1:7" x14ac:dyDescent="0.3">
      <c r="A847" t="s">
        <v>295</v>
      </c>
      <c r="B847" s="5">
        <v>41558</v>
      </c>
      <c r="C847">
        <v>-141.86000000000001</v>
      </c>
      <c r="D847" t="s">
        <v>305</v>
      </c>
      <c r="E847" t="s">
        <v>866</v>
      </c>
      <c r="F847" t="s">
        <v>867</v>
      </c>
      <c r="G847" t="s">
        <v>9</v>
      </c>
    </row>
    <row r="848" spans="1:7" x14ac:dyDescent="0.3">
      <c r="A848" t="s">
        <v>295</v>
      </c>
      <c r="B848" s="5">
        <v>41699</v>
      </c>
      <c r="C848">
        <v>0</v>
      </c>
      <c r="D848" t="s">
        <v>305</v>
      </c>
      <c r="E848" t="s">
        <v>309</v>
      </c>
      <c r="F848" t="s">
        <v>920</v>
      </c>
      <c r="G848" t="s">
        <v>16</v>
      </c>
    </row>
    <row r="849" spans="1:7" x14ac:dyDescent="0.3">
      <c r="A849" t="s">
        <v>296</v>
      </c>
      <c r="B849" s="5">
        <v>41245</v>
      </c>
      <c r="C849" s="4">
        <v>-4948.2</v>
      </c>
      <c r="D849" t="s">
        <v>305</v>
      </c>
      <c r="E849" t="s">
        <v>702</v>
      </c>
      <c r="G849" t="s">
        <v>13</v>
      </c>
    </row>
    <row r="850" spans="1:7" x14ac:dyDescent="0.3">
      <c r="A850" t="s">
        <v>296</v>
      </c>
      <c r="B850" s="5">
        <v>41246</v>
      </c>
      <c r="C850">
        <v>-14.13</v>
      </c>
      <c r="D850" t="s">
        <v>305</v>
      </c>
      <c r="E850" t="s">
        <v>437</v>
      </c>
      <c r="G850" t="s">
        <v>343</v>
      </c>
    </row>
    <row r="851" spans="1:7" x14ac:dyDescent="0.3">
      <c r="A851" t="s">
        <v>296</v>
      </c>
      <c r="B851" s="5">
        <v>41247</v>
      </c>
      <c r="C851">
        <v>25</v>
      </c>
      <c r="D851" t="s">
        <v>305</v>
      </c>
      <c r="E851" t="s">
        <v>438</v>
      </c>
      <c r="G851" t="s">
        <v>14</v>
      </c>
    </row>
    <row r="852" spans="1:7" x14ac:dyDescent="0.3">
      <c r="A852" t="s">
        <v>296</v>
      </c>
      <c r="B852" s="5">
        <v>41247</v>
      </c>
      <c r="C852">
        <v>-10.99</v>
      </c>
      <c r="D852" t="s">
        <v>305</v>
      </c>
      <c r="E852" t="s">
        <v>1149</v>
      </c>
      <c r="G852" t="s">
        <v>334</v>
      </c>
    </row>
    <row r="853" spans="1:7" x14ac:dyDescent="0.3">
      <c r="A853" t="s">
        <v>296</v>
      </c>
      <c r="B853" s="5">
        <v>41247</v>
      </c>
      <c r="C853">
        <v>-43.05</v>
      </c>
      <c r="D853" t="s">
        <v>305</v>
      </c>
      <c r="E853" t="s">
        <v>1150</v>
      </c>
      <c r="G853" t="s">
        <v>417</v>
      </c>
    </row>
    <row r="854" spans="1:7" x14ac:dyDescent="0.3">
      <c r="A854" t="s">
        <v>296</v>
      </c>
      <c r="B854" s="5">
        <v>41248</v>
      </c>
      <c r="C854">
        <v>-14.12</v>
      </c>
      <c r="D854" t="s">
        <v>305</v>
      </c>
      <c r="E854" t="s">
        <v>1151</v>
      </c>
      <c r="G854" t="s">
        <v>343</v>
      </c>
    </row>
    <row r="855" spans="1:7" x14ac:dyDescent="0.3">
      <c r="A855" t="s">
        <v>296</v>
      </c>
      <c r="B855" s="5">
        <v>41248</v>
      </c>
      <c r="C855">
        <v>-55.95</v>
      </c>
      <c r="D855" t="s">
        <v>305</v>
      </c>
      <c r="E855" t="s">
        <v>1151</v>
      </c>
      <c r="G855" t="s">
        <v>343</v>
      </c>
    </row>
    <row r="856" spans="1:7" x14ac:dyDescent="0.3">
      <c r="A856" t="s">
        <v>296</v>
      </c>
      <c r="B856" s="5">
        <v>41248</v>
      </c>
      <c r="C856">
        <v>-10.94</v>
      </c>
      <c r="D856" t="s">
        <v>305</v>
      </c>
      <c r="E856" t="s">
        <v>645</v>
      </c>
      <c r="G856" t="s">
        <v>334</v>
      </c>
    </row>
    <row r="857" spans="1:7" x14ac:dyDescent="0.3">
      <c r="A857" t="s">
        <v>296</v>
      </c>
      <c r="B857" s="5">
        <v>41248</v>
      </c>
      <c r="C857">
        <v>-13.85</v>
      </c>
      <c r="D857" t="s">
        <v>305</v>
      </c>
      <c r="E857" t="s">
        <v>439</v>
      </c>
      <c r="G857" t="s">
        <v>334</v>
      </c>
    </row>
    <row r="858" spans="1:7" x14ac:dyDescent="0.3">
      <c r="A858" t="s">
        <v>296</v>
      </c>
      <c r="B858" s="5">
        <v>41248</v>
      </c>
      <c r="C858">
        <v>-2.69</v>
      </c>
      <c r="D858" t="s">
        <v>305</v>
      </c>
      <c r="E858" t="s">
        <v>1151</v>
      </c>
      <c r="G858" t="s">
        <v>343</v>
      </c>
    </row>
    <row r="859" spans="1:7" x14ac:dyDescent="0.3">
      <c r="A859" t="s">
        <v>296</v>
      </c>
      <c r="B859" s="5">
        <v>41248</v>
      </c>
      <c r="C859">
        <v>-14.64</v>
      </c>
      <c r="D859" t="s">
        <v>305</v>
      </c>
      <c r="E859" t="s">
        <v>440</v>
      </c>
      <c r="G859" t="s">
        <v>441</v>
      </c>
    </row>
    <row r="860" spans="1:7" x14ac:dyDescent="0.3">
      <c r="A860" t="s">
        <v>296</v>
      </c>
      <c r="B860" s="5">
        <v>41249</v>
      </c>
      <c r="C860">
        <v>-6.57</v>
      </c>
      <c r="D860" t="s">
        <v>305</v>
      </c>
      <c r="E860" t="s">
        <v>439</v>
      </c>
      <c r="G860" t="s">
        <v>334</v>
      </c>
    </row>
    <row r="861" spans="1:7" x14ac:dyDescent="0.3">
      <c r="A861" t="s">
        <v>296</v>
      </c>
      <c r="B861" s="5">
        <v>41249</v>
      </c>
      <c r="C861">
        <v>-38</v>
      </c>
      <c r="D861" t="s">
        <v>305</v>
      </c>
      <c r="E861" t="s">
        <v>1152</v>
      </c>
      <c r="G861" t="s">
        <v>317</v>
      </c>
    </row>
    <row r="862" spans="1:7" x14ac:dyDescent="0.3">
      <c r="A862" t="s">
        <v>296</v>
      </c>
      <c r="B862" s="5">
        <v>41250</v>
      </c>
      <c r="C862">
        <v>-43.25</v>
      </c>
      <c r="D862" t="s">
        <v>305</v>
      </c>
      <c r="E862" t="s">
        <v>1153</v>
      </c>
      <c r="F862" t="s">
        <v>996</v>
      </c>
      <c r="G862" t="s">
        <v>637</v>
      </c>
    </row>
    <row r="863" spans="1:7" x14ac:dyDescent="0.3">
      <c r="A863" t="s">
        <v>296</v>
      </c>
      <c r="B863" s="5">
        <v>41250</v>
      </c>
      <c r="C863">
        <v>-7.06</v>
      </c>
      <c r="D863" t="s">
        <v>305</v>
      </c>
      <c r="E863" t="s">
        <v>437</v>
      </c>
      <c r="G863" t="s">
        <v>343</v>
      </c>
    </row>
    <row r="864" spans="1:7" x14ac:dyDescent="0.3">
      <c r="A864" t="s">
        <v>296</v>
      </c>
      <c r="B864" s="5">
        <v>41251</v>
      </c>
      <c r="C864">
        <v>-25.35</v>
      </c>
      <c r="D864" t="s">
        <v>305</v>
      </c>
      <c r="E864" t="s">
        <v>1154</v>
      </c>
      <c r="G864" t="s">
        <v>334</v>
      </c>
    </row>
    <row r="865" spans="1:7" x14ac:dyDescent="0.3">
      <c r="A865" t="s">
        <v>296</v>
      </c>
      <c r="B865" s="5">
        <v>41251</v>
      </c>
      <c r="C865">
        <v>-578.04999999999995</v>
      </c>
      <c r="D865" t="s">
        <v>305</v>
      </c>
      <c r="E865" t="s">
        <v>1155</v>
      </c>
      <c r="F865" t="s">
        <v>996</v>
      </c>
      <c r="G865" t="s">
        <v>646</v>
      </c>
    </row>
    <row r="866" spans="1:7" x14ac:dyDescent="0.3">
      <c r="A866" t="s">
        <v>296</v>
      </c>
      <c r="B866" s="5">
        <v>41252</v>
      </c>
      <c r="C866">
        <v>-163.13</v>
      </c>
      <c r="D866" t="s">
        <v>305</v>
      </c>
      <c r="E866" t="s">
        <v>1156</v>
      </c>
      <c r="F866" t="s">
        <v>1157</v>
      </c>
      <c r="G866" t="s">
        <v>346</v>
      </c>
    </row>
    <row r="867" spans="1:7" x14ac:dyDescent="0.3">
      <c r="A867" t="s">
        <v>296</v>
      </c>
      <c r="B867" s="5">
        <v>41252</v>
      </c>
      <c r="C867">
        <v>-56.15</v>
      </c>
      <c r="D867" t="s">
        <v>305</v>
      </c>
      <c r="E867" t="s">
        <v>442</v>
      </c>
      <c r="G867" t="s">
        <v>343</v>
      </c>
    </row>
    <row r="868" spans="1:7" x14ac:dyDescent="0.3">
      <c r="A868" t="s">
        <v>296</v>
      </c>
      <c r="B868" s="5">
        <v>41252</v>
      </c>
      <c r="C868">
        <v>-82.92</v>
      </c>
      <c r="D868" t="s">
        <v>305</v>
      </c>
      <c r="E868" t="s">
        <v>443</v>
      </c>
      <c r="G868" t="s">
        <v>343</v>
      </c>
    </row>
    <row r="869" spans="1:7" x14ac:dyDescent="0.3">
      <c r="A869" t="s">
        <v>296</v>
      </c>
      <c r="B869" s="5">
        <v>41252</v>
      </c>
      <c r="C869">
        <v>-64.540000000000006</v>
      </c>
      <c r="D869" t="s">
        <v>305</v>
      </c>
      <c r="E869" t="s">
        <v>1158</v>
      </c>
      <c r="G869" t="s">
        <v>343</v>
      </c>
    </row>
    <row r="870" spans="1:7" x14ac:dyDescent="0.3">
      <c r="A870" t="s">
        <v>296</v>
      </c>
      <c r="B870" s="5">
        <v>41252</v>
      </c>
      <c r="C870">
        <v>-34</v>
      </c>
      <c r="D870" t="s">
        <v>305</v>
      </c>
      <c r="E870" t="s">
        <v>1159</v>
      </c>
      <c r="G870" t="s">
        <v>404</v>
      </c>
    </row>
    <row r="871" spans="1:7" x14ac:dyDescent="0.3">
      <c r="A871" t="s">
        <v>296</v>
      </c>
      <c r="B871" s="5">
        <v>41253</v>
      </c>
      <c r="C871">
        <v>-6.54</v>
      </c>
      <c r="D871" t="s">
        <v>305</v>
      </c>
      <c r="E871" t="s">
        <v>437</v>
      </c>
      <c r="G871" t="s">
        <v>343</v>
      </c>
    </row>
    <row r="872" spans="1:7" x14ac:dyDescent="0.3">
      <c r="A872" t="s">
        <v>296</v>
      </c>
      <c r="B872" s="5">
        <v>41253</v>
      </c>
      <c r="C872">
        <v>-11.94</v>
      </c>
      <c r="D872" t="s">
        <v>305</v>
      </c>
      <c r="E872" t="s">
        <v>1160</v>
      </c>
      <c r="G872" t="s">
        <v>371</v>
      </c>
    </row>
    <row r="873" spans="1:7" x14ac:dyDescent="0.3">
      <c r="A873" t="s">
        <v>296</v>
      </c>
      <c r="B873" s="5">
        <v>41253</v>
      </c>
      <c r="C873">
        <v>-12.57</v>
      </c>
      <c r="D873" t="s">
        <v>305</v>
      </c>
      <c r="E873" t="s">
        <v>645</v>
      </c>
      <c r="G873" t="s">
        <v>334</v>
      </c>
    </row>
    <row r="874" spans="1:7" x14ac:dyDescent="0.3">
      <c r="A874" t="s">
        <v>296</v>
      </c>
      <c r="B874" s="5">
        <v>41254</v>
      </c>
      <c r="C874">
        <v>-41.61</v>
      </c>
      <c r="D874" t="s">
        <v>305</v>
      </c>
      <c r="E874" t="s">
        <v>647</v>
      </c>
      <c r="F874" t="s">
        <v>1161</v>
      </c>
      <c r="G874" t="s">
        <v>444</v>
      </c>
    </row>
    <row r="875" spans="1:7" x14ac:dyDescent="0.3">
      <c r="A875" t="s">
        <v>296</v>
      </c>
      <c r="B875" s="5">
        <v>41254</v>
      </c>
      <c r="C875">
        <v>-4</v>
      </c>
      <c r="D875" t="s">
        <v>305</v>
      </c>
      <c r="E875" t="s">
        <v>1162</v>
      </c>
      <c r="G875" t="s">
        <v>441</v>
      </c>
    </row>
    <row r="876" spans="1:7" x14ac:dyDescent="0.3">
      <c r="A876" t="s">
        <v>296</v>
      </c>
      <c r="B876" s="5">
        <v>41254</v>
      </c>
      <c r="C876">
        <v>-8.1999999999999993</v>
      </c>
      <c r="D876" t="s">
        <v>305</v>
      </c>
      <c r="E876" t="s">
        <v>645</v>
      </c>
      <c r="G876" t="s">
        <v>334</v>
      </c>
    </row>
    <row r="877" spans="1:7" x14ac:dyDescent="0.3">
      <c r="A877" t="s">
        <v>296</v>
      </c>
      <c r="B877" s="5">
        <v>41255</v>
      </c>
      <c r="C877">
        <v>-41.3</v>
      </c>
      <c r="D877" t="s">
        <v>305</v>
      </c>
      <c r="E877" t="s">
        <v>1163</v>
      </c>
      <c r="G877" t="s">
        <v>343</v>
      </c>
    </row>
    <row r="878" spans="1:7" x14ac:dyDescent="0.3">
      <c r="A878" t="s">
        <v>296</v>
      </c>
      <c r="B878" s="5">
        <v>41256</v>
      </c>
      <c r="C878">
        <v>-86.68</v>
      </c>
      <c r="D878" t="s">
        <v>305</v>
      </c>
      <c r="E878" t="s">
        <v>1151</v>
      </c>
      <c r="G878" t="s">
        <v>343</v>
      </c>
    </row>
    <row r="879" spans="1:7" x14ac:dyDescent="0.3">
      <c r="A879" t="s">
        <v>296</v>
      </c>
      <c r="B879" s="5">
        <v>41256</v>
      </c>
      <c r="C879">
        <v>-495</v>
      </c>
      <c r="D879" t="s">
        <v>305</v>
      </c>
      <c r="E879" t="s">
        <v>1164</v>
      </c>
      <c r="G879" t="s">
        <v>26</v>
      </c>
    </row>
    <row r="880" spans="1:7" x14ac:dyDescent="0.3">
      <c r="A880" t="s">
        <v>296</v>
      </c>
      <c r="B880" s="5">
        <v>41256</v>
      </c>
      <c r="C880">
        <v>-340</v>
      </c>
      <c r="D880" t="s">
        <v>305</v>
      </c>
      <c r="E880" t="s">
        <v>445</v>
      </c>
      <c r="G880" t="s">
        <v>334</v>
      </c>
    </row>
    <row r="881" spans="1:9" x14ac:dyDescent="0.3">
      <c r="A881" t="s">
        <v>296</v>
      </c>
      <c r="B881" s="5">
        <v>41256</v>
      </c>
      <c r="C881">
        <v>-17.98</v>
      </c>
      <c r="D881" t="s">
        <v>305</v>
      </c>
      <c r="E881" t="s">
        <v>1165</v>
      </c>
      <c r="F881" t="s">
        <v>1166</v>
      </c>
      <c r="G881" t="s">
        <v>20</v>
      </c>
    </row>
    <row r="882" spans="1:9" x14ac:dyDescent="0.3">
      <c r="A882" t="s">
        <v>296</v>
      </c>
      <c r="B882" s="5">
        <v>41257</v>
      </c>
      <c r="C882">
        <v>-37.340000000000003</v>
      </c>
      <c r="D882" t="s">
        <v>305</v>
      </c>
      <c r="E882" t="s">
        <v>1167</v>
      </c>
      <c r="G882" t="s">
        <v>346</v>
      </c>
    </row>
    <row r="883" spans="1:9" x14ac:dyDescent="0.3">
      <c r="A883" t="s">
        <v>296</v>
      </c>
      <c r="B883" s="5">
        <v>41257</v>
      </c>
      <c r="C883">
        <v>-15.77</v>
      </c>
      <c r="D883" t="s">
        <v>305</v>
      </c>
      <c r="E883" t="s">
        <v>439</v>
      </c>
      <c r="G883" t="s">
        <v>334</v>
      </c>
    </row>
    <row r="884" spans="1:9" x14ac:dyDescent="0.3">
      <c r="A884" t="s">
        <v>296</v>
      </c>
      <c r="B884" s="5">
        <v>41257</v>
      </c>
      <c r="C884">
        <v>-10</v>
      </c>
      <c r="D884" t="s">
        <v>305</v>
      </c>
      <c r="E884" t="s">
        <v>1168</v>
      </c>
      <c r="G884" t="s">
        <v>17</v>
      </c>
    </row>
    <row r="885" spans="1:9" x14ac:dyDescent="0.3">
      <c r="A885" t="s">
        <v>296</v>
      </c>
      <c r="B885" s="5">
        <v>41257</v>
      </c>
      <c r="C885">
        <v>-3.45</v>
      </c>
      <c r="D885" t="s">
        <v>305</v>
      </c>
      <c r="E885" t="s">
        <v>1169</v>
      </c>
      <c r="G885" t="s">
        <v>441</v>
      </c>
    </row>
    <row r="886" spans="1:9" x14ac:dyDescent="0.3">
      <c r="A886" t="s">
        <v>296</v>
      </c>
      <c r="B886" s="5">
        <v>41258</v>
      </c>
      <c r="C886">
        <v>25</v>
      </c>
      <c r="D886" t="s">
        <v>305</v>
      </c>
      <c r="E886" t="s">
        <v>438</v>
      </c>
      <c r="G886" t="s">
        <v>14</v>
      </c>
    </row>
    <row r="887" spans="1:9" x14ac:dyDescent="0.3">
      <c r="A887" t="s">
        <v>296</v>
      </c>
      <c r="B887" s="5">
        <v>41258</v>
      </c>
      <c r="C887">
        <v>-63.22</v>
      </c>
      <c r="D887" t="s">
        <v>305</v>
      </c>
      <c r="E887" t="s">
        <v>433</v>
      </c>
      <c r="G887" t="s">
        <v>343</v>
      </c>
    </row>
    <row r="888" spans="1:9" x14ac:dyDescent="0.3">
      <c r="A888" t="s">
        <v>296</v>
      </c>
      <c r="B888" s="5">
        <v>41259</v>
      </c>
      <c r="C888">
        <v>-8.75</v>
      </c>
      <c r="D888" t="s">
        <v>305</v>
      </c>
      <c r="E888" t="s">
        <v>1170</v>
      </c>
      <c r="G888" t="s">
        <v>73</v>
      </c>
    </row>
    <row r="889" spans="1:9" x14ac:dyDescent="0.3">
      <c r="A889" t="s">
        <v>296</v>
      </c>
      <c r="B889" s="5">
        <v>41259</v>
      </c>
      <c r="C889">
        <v>-39.42</v>
      </c>
      <c r="D889" t="s">
        <v>305</v>
      </c>
      <c r="E889" t="s">
        <v>648</v>
      </c>
      <c r="G889" t="s">
        <v>73</v>
      </c>
    </row>
    <row r="890" spans="1:9" x14ac:dyDescent="0.3">
      <c r="A890" t="s">
        <v>296</v>
      </c>
      <c r="B890" s="5">
        <v>41259</v>
      </c>
      <c r="C890">
        <v>-19.71</v>
      </c>
      <c r="D890" t="s">
        <v>305</v>
      </c>
      <c r="E890" t="s">
        <v>1171</v>
      </c>
      <c r="F890" t="s">
        <v>1172</v>
      </c>
      <c r="G890" t="s">
        <v>20</v>
      </c>
    </row>
    <row r="891" spans="1:9" x14ac:dyDescent="0.3">
      <c r="A891" t="s">
        <v>296</v>
      </c>
      <c r="B891" s="5">
        <v>41259</v>
      </c>
      <c r="C891">
        <v>-100</v>
      </c>
      <c r="D891" t="s">
        <v>305</v>
      </c>
      <c r="E891" t="s">
        <v>1171</v>
      </c>
      <c r="F891" t="s">
        <v>1173</v>
      </c>
      <c r="G891" t="s">
        <v>20</v>
      </c>
    </row>
    <row r="892" spans="1:9" x14ac:dyDescent="0.3">
      <c r="A892" t="s">
        <v>296</v>
      </c>
      <c r="B892" s="5">
        <v>41259</v>
      </c>
      <c r="C892">
        <v>-31.68</v>
      </c>
      <c r="D892" t="s">
        <v>305</v>
      </c>
      <c r="E892" t="s">
        <v>446</v>
      </c>
      <c r="F892" t="s">
        <v>1174</v>
      </c>
      <c r="G892" t="s">
        <v>20</v>
      </c>
    </row>
    <row r="893" spans="1:9" x14ac:dyDescent="0.3">
      <c r="A893" t="s">
        <v>296</v>
      </c>
      <c r="B893" s="5">
        <v>41259</v>
      </c>
      <c r="C893">
        <v>-256.24</v>
      </c>
      <c r="D893" t="s">
        <v>305</v>
      </c>
      <c r="E893" t="s">
        <v>446</v>
      </c>
      <c r="F893" t="s">
        <v>996</v>
      </c>
      <c r="G893" t="s">
        <v>20</v>
      </c>
      <c r="I893" t="s">
        <v>272</v>
      </c>
    </row>
    <row r="894" spans="1:9" x14ac:dyDescent="0.3">
      <c r="A894" t="s">
        <v>296</v>
      </c>
      <c r="B894" s="5">
        <v>41259</v>
      </c>
      <c r="C894">
        <v>-21.79</v>
      </c>
      <c r="D894" t="s">
        <v>305</v>
      </c>
      <c r="E894" t="s">
        <v>446</v>
      </c>
      <c r="F894" t="s">
        <v>996</v>
      </c>
      <c r="G894" t="s">
        <v>346</v>
      </c>
      <c r="I894" t="s">
        <v>272</v>
      </c>
    </row>
    <row r="895" spans="1:9" x14ac:dyDescent="0.3">
      <c r="A895" t="s">
        <v>296</v>
      </c>
      <c r="B895" s="5">
        <v>41259</v>
      </c>
      <c r="C895">
        <v>-30.62</v>
      </c>
      <c r="D895" t="s">
        <v>305</v>
      </c>
      <c r="E895" t="s">
        <v>1175</v>
      </c>
      <c r="G895" t="s">
        <v>334</v>
      </c>
    </row>
    <row r="896" spans="1:9" x14ac:dyDescent="0.3">
      <c r="A896" t="s">
        <v>296</v>
      </c>
      <c r="B896" s="5">
        <v>41260</v>
      </c>
      <c r="C896">
        <v>-19</v>
      </c>
      <c r="D896" t="s">
        <v>305</v>
      </c>
      <c r="E896" t="s">
        <v>1171</v>
      </c>
      <c r="G896" t="s">
        <v>26</v>
      </c>
    </row>
    <row r="897" spans="1:9" x14ac:dyDescent="0.3">
      <c r="A897" t="s">
        <v>296</v>
      </c>
      <c r="B897" s="5">
        <v>41260</v>
      </c>
      <c r="C897">
        <v>-300.5</v>
      </c>
      <c r="D897" t="s">
        <v>305</v>
      </c>
      <c r="E897" t="s">
        <v>1176</v>
      </c>
      <c r="F897" t="s">
        <v>1177</v>
      </c>
      <c r="G897" t="s">
        <v>342</v>
      </c>
    </row>
    <row r="898" spans="1:9" x14ac:dyDescent="0.3">
      <c r="A898" t="s">
        <v>296</v>
      </c>
      <c r="B898" s="5">
        <v>41260</v>
      </c>
      <c r="C898">
        <v>-23.03</v>
      </c>
      <c r="D898" t="s">
        <v>305</v>
      </c>
      <c r="E898" t="s">
        <v>437</v>
      </c>
      <c r="G898" t="s">
        <v>343</v>
      </c>
    </row>
    <row r="899" spans="1:9" x14ac:dyDescent="0.3">
      <c r="A899" t="s">
        <v>296</v>
      </c>
      <c r="B899" s="5">
        <v>41260</v>
      </c>
      <c r="C899">
        <v>-47.2</v>
      </c>
      <c r="D899" t="s">
        <v>305</v>
      </c>
      <c r="E899" t="s">
        <v>1178</v>
      </c>
      <c r="F899" t="s">
        <v>1179</v>
      </c>
      <c r="G899" t="s">
        <v>20</v>
      </c>
    </row>
    <row r="900" spans="1:9" x14ac:dyDescent="0.3">
      <c r="A900" t="s">
        <v>296</v>
      </c>
      <c r="B900" s="5">
        <v>41261</v>
      </c>
      <c r="C900">
        <v>-202.58</v>
      </c>
      <c r="D900" t="s">
        <v>305</v>
      </c>
      <c r="E900" t="s">
        <v>647</v>
      </c>
      <c r="F900" t="s">
        <v>1180</v>
      </c>
      <c r="G900" t="s">
        <v>444</v>
      </c>
      <c r="I900" t="s">
        <v>272</v>
      </c>
    </row>
    <row r="901" spans="1:9" x14ac:dyDescent="0.3">
      <c r="A901" t="s">
        <v>296</v>
      </c>
      <c r="B901" s="5">
        <v>41261</v>
      </c>
      <c r="C901">
        <v>-71.180000000000007</v>
      </c>
      <c r="D901" t="s">
        <v>305</v>
      </c>
      <c r="E901" t="s">
        <v>647</v>
      </c>
      <c r="F901" t="s">
        <v>1181</v>
      </c>
      <c r="G901" t="s">
        <v>444</v>
      </c>
      <c r="I901" t="s">
        <v>272</v>
      </c>
    </row>
    <row r="902" spans="1:9" x14ac:dyDescent="0.3">
      <c r="A902" t="s">
        <v>296</v>
      </c>
      <c r="B902" s="5">
        <v>41261</v>
      </c>
      <c r="C902">
        <v>-35.04</v>
      </c>
      <c r="D902" t="s">
        <v>305</v>
      </c>
      <c r="E902" t="s">
        <v>647</v>
      </c>
      <c r="F902" t="s">
        <v>1182</v>
      </c>
      <c r="G902" t="s">
        <v>444</v>
      </c>
      <c r="I902" t="s">
        <v>272</v>
      </c>
    </row>
    <row r="903" spans="1:9" x14ac:dyDescent="0.3">
      <c r="A903" t="s">
        <v>296</v>
      </c>
      <c r="B903" s="5">
        <v>41261</v>
      </c>
      <c r="C903">
        <v>-5.35</v>
      </c>
      <c r="D903" t="s">
        <v>305</v>
      </c>
      <c r="E903" t="s">
        <v>647</v>
      </c>
      <c r="F903" t="s">
        <v>1183</v>
      </c>
      <c r="G903" t="s">
        <v>20</v>
      </c>
      <c r="I903" t="s">
        <v>272</v>
      </c>
    </row>
    <row r="904" spans="1:9" x14ac:dyDescent="0.3">
      <c r="A904" t="s">
        <v>296</v>
      </c>
      <c r="B904" s="5">
        <v>41261</v>
      </c>
      <c r="C904">
        <v>-3.82</v>
      </c>
      <c r="D904" t="s">
        <v>305</v>
      </c>
      <c r="E904" t="s">
        <v>647</v>
      </c>
      <c r="F904" t="s">
        <v>1184</v>
      </c>
      <c r="G904" t="s">
        <v>20</v>
      </c>
      <c r="I904" t="s">
        <v>272</v>
      </c>
    </row>
    <row r="905" spans="1:9" x14ac:dyDescent="0.3">
      <c r="A905" t="s">
        <v>296</v>
      </c>
      <c r="B905" s="5">
        <v>41261</v>
      </c>
      <c r="C905">
        <v>-87.6</v>
      </c>
      <c r="D905" t="s">
        <v>305</v>
      </c>
      <c r="E905" t="s">
        <v>647</v>
      </c>
      <c r="F905" t="s">
        <v>1185</v>
      </c>
      <c r="G905" t="s">
        <v>20</v>
      </c>
      <c r="I905" t="s">
        <v>272</v>
      </c>
    </row>
    <row r="906" spans="1:9" x14ac:dyDescent="0.3">
      <c r="A906" t="s">
        <v>296</v>
      </c>
      <c r="B906" s="5">
        <v>41262</v>
      </c>
      <c r="C906">
        <v>-10.18</v>
      </c>
      <c r="D906" t="s">
        <v>305</v>
      </c>
      <c r="E906" t="s">
        <v>1186</v>
      </c>
      <c r="G906" t="s">
        <v>334</v>
      </c>
    </row>
    <row r="907" spans="1:9" x14ac:dyDescent="0.3">
      <c r="A907" t="s">
        <v>296</v>
      </c>
      <c r="B907" s="5">
        <v>41262</v>
      </c>
      <c r="C907">
        <v>-10.48</v>
      </c>
      <c r="D907" t="s">
        <v>305</v>
      </c>
      <c r="E907" t="s">
        <v>1187</v>
      </c>
      <c r="G907" t="s">
        <v>361</v>
      </c>
    </row>
    <row r="908" spans="1:9" x14ac:dyDescent="0.3">
      <c r="A908" t="s">
        <v>296</v>
      </c>
      <c r="B908" s="5">
        <v>41262</v>
      </c>
      <c r="C908">
        <v>-7.61</v>
      </c>
      <c r="D908" t="s">
        <v>305</v>
      </c>
      <c r="E908" t="s">
        <v>439</v>
      </c>
      <c r="G908" t="s">
        <v>334</v>
      </c>
    </row>
    <row r="909" spans="1:9" x14ac:dyDescent="0.3">
      <c r="A909" t="s">
        <v>296</v>
      </c>
      <c r="B909" s="5">
        <v>41262</v>
      </c>
      <c r="C909">
        <v>-30.07</v>
      </c>
      <c r="D909" t="s">
        <v>305</v>
      </c>
      <c r="E909" t="s">
        <v>1188</v>
      </c>
      <c r="G909" t="s">
        <v>334</v>
      </c>
    </row>
    <row r="910" spans="1:9" x14ac:dyDescent="0.3">
      <c r="A910" t="s">
        <v>296</v>
      </c>
      <c r="B910" s="5">
        <v>41262</v>
      </c>
      <c r="C910">
        <v>-65.66</v>
      </c>
      <c r="D910" t="s">
        <v>305</v>
      </c>
      <c r="E910" t="s">
        <v>446</v>
      </c>
      <c r="F910" t="s">
        <v>996</v>
      </c>
      <c r="G910" t="s">
        <v>346</v>
      </c>
    </row>
    <row r="911" spans="1:9" x14ac:dyDescent="0.3">
      <c r="A911" t="s">
        <v>296</v>
      </c>
      <c r="B911" s="5">
        <v>41262</v>
      </c>
      <c r="C911">
        <v>-4.29</v>
      </c>
      <c r="D911" t="s">
        <v>305</v>
      </c>
      <c r="E911" t="s">
        <v>437</v>
      </c>
      <c r="G911" t="s">
        <v>343</v>
      </c>
    </row>
    <row r="912" spans="1:9" x14ac:dyDescent="0.3">
      <c r="A912" t="s">
        <v>296</v>
      </c>
      <c r="B912" s="5">
        <v>41263</v>
      </c>
      <c r="C912">
        <v>-155.63999999999999</v>
      </c>
      <c r="D912" t="s">
        <v>305</v>
      </c>
      <c r="E912" t="s">
        <v>1151</v>
      </c>
      <c r="G912" t="s">
        <v>343</v>
      </c>
    </row>
    <row r="913" spans="1:7" x14ac:dyDescent="0.3">
      <c r="A913" t="s">
        <v>296</v>
      </c>
      <c r="B913" s="5">
        <v>41263</v>
      </c>
      <c r="C913">
        <v>-167.31</v>
      </c>
      <c r="D913" t="s">
        <v>305</v>
      </c>
      <c r="E913" t="s">
        <v>442</v>
      </c>
      <c r="G913" t="s">
        <v>343</v>
      </c>
    </row>
    <row r="914" spans="1:7" x14ac:dyDescent="0.3">
      <c r="A914" t="s">
        <v>296</v>
      </c>
      <c r="B914" s="5">
        <v>41263</v>
      </c>
      <c r="C914">
        <v>-19.21</v>
      </c>
      <c r="D914" t="s">
        <v>305</v>
      </c>
      <c r="E914" t="s">
        <v>1189</v>
      </c>
      <c r="G914" t="s">
        <v>343</v>
      </c>
    </row>
    <row r="915" spans="1:7" x14ac:dyDescent="0.3">
      <c r="A915" t="s">
        <v>296</v>
      </c>
      <c r="B915" s="5">
        <v>41263</v>
      </c>
      <c r="C915">
        <v>-45.23</v>
      </c>
      <c r="D915" t="s">
        <v>305</v>
      </c>
      <c r="E915" t="s">
        <v>443</v>
      </c>
      <c r="G915" t="s">
        <v>343</v>
      </c>
    </row>
    <row r="916" spans="1:7" x14ac:dyDescent="0.3">
      <c r="A916" t="s">
        <v>296</v>
      </c>
      <c r="B916" s="5">
        <v>41263</v>
      </c>
      <c r="C916">
        <v>-8.6</v>
      </c>
      <c r="D916" t="s">
        <v>305</v>
      </c>
      <c r="E916" t="s">
        <v>439</v>
      </c>
      <c r="G916" t="s">
        <v>334</v>
      </c>
    </row>
    <row r="917" spans="1:7" x14ac:dyDescent="0.3">
      <c r="A917" t="s">
        <v>296</v>
      </c>
      <c r="B917" s="5">
        <v>41264</v>
      </c>
      <c r="C917">
        <v>-971.64</v>
      </c>
      <c r="D917" t="s">
        <v>305</v>
      </c>
      <c r="E917" t="s">
        <v>406</v>
      </c>
      <c r="F917" t="s">
        <v>1190</v>
      </c>
      <c r="G917" t="s">
        <v>342</v>
      </c>
    </row>
    <row r="918" spans="1:7" x14ac:dyDescent="0.3">
      <c r="A918" t="s">
        <v>296</v>
      </c>
      <c r="B918" s="5">
        <v>41264</v>
      </c>
      <c r="C918">
        <v>-21.94</v>
      </c>
      <c r="D918" t="s">
        <v>305</v>
      </c>
      <c r="E918" t="s">
        <v>1153</v>
      </c>
      <c r="F918" t="s">
        <v>996</v>
      </c>
      <c r="G918" t="s">
        <v>20</v>
      </c>
    </row>
    <row r="919" spans="1:7" x14ac:dyDescent="0.3">
      <c r="A919" t="s">
        <v>296</v>
      </c>
      <c r="B919" s="5">
        <v>41264</v>
      </c>
      <c r="C919">
        <v>-88.18</v>
      </c>
      <c r="D919" t="s">
        <v>305</v>
      </c>
      <c r="E919" t="s">
        <v>1153</v>
      </c>
      <c r="F919" t="s">
        <v>996</v>
      </c>
      <c r="G919" t="s">
        <v>20</v>
      </c>
    </row>
    <row r="920" spans="1:7" x14ac:dyDescent="0.3">
      <c r="A920" t="s">
        <v>296</v>
      </c>
      <c r="B920" s="5">
        <v>41264</v>
      </c>
      <c r="C920">
        <v>-3</v>
      </c>
      <c r="D920" t="s">
        <v>305</v>
      </c>
      <c r="E920" t="s">
        <v>435</v>
      </c>
      <c r="G920" t="s">
        <v>343</v>
      </c>
    </row>
    <row r="921" spans="1:7" x14ac:dyDescent="0.3">
      <c r="A921" t="s">
        <v>296</v>
      </c>
      <c r="B921" s="5">
        <v>41264</v>
      </c>
      <c r="C921">
        <v>-18.55</v>
      </c>
      <c r="D921" t="s">
        <v>305</v>
      </c>
      <c r="E921" t="s">
        <v>433</v>
      </c>
      <c r="G921" t="s">
        <v>343</v>
      </c>
    </row>
    <row r="922" spans="1:7" x14ac:dyDescent="0.3">
      <c r="A922" t="s">
        <v>296</v>
      </c>
      <c r="B922" s="5">
        <v>41264</v>
      </c>
      <c r="C922">
        <v>-7.98</v>
      </c>
      <c r="D922" t="s">
        <v>305</v>
      </c>
      <c r="E922" t="s">
        <v>447</v>
      </c>
      <c r="G922" t="s">
        <v>334</v>
      </c>
    </row>
    <row r="923" spans="1:7" x14ac:dyDescent="0.3">
      <c r="A923" t="s">
        <v>296</v>
      </c>
      <c r="B923" s="5">
        <v>41264</v>
      </c>
      <c r="C923">
        <v>-10.4</v>
      </c>
      <c r="D923" t="s">
        <v>305</v>
      </c>
      <c r="E923" t="s">
        <v>1191</v>
      </c>
      <c r="F923" t="s">
        <v>1192</v>
      </c>
      <c r="G923" t="s">
        <v>20</v>
      </c>
    </row>
    <row r="924" spans="1:7" x14ac:dyDescent="0.3">
      <c r="A924" t="s">
        <v>296</v>
      </c>
      <c r="B924" s="5">
        <v>41265</v>
      </c>
      <c r="C924">
        <v>25</v>
      </c>
      <c r="D924" t="s">
        <v>305</v>
      </c>
      <c r="E924" t="s">
        <v>438</v>
      </c>
      <c r="G924" t="s">
        <v>14</v>
      </c>
    </row>
    <row r="925" spans="1:7" x14ac:dyDescent="0.3">
      <c r="A925" t="s">
        <v>296</v>
      </c>
      <c r="B925" s="5">
        <v>41265</v>
      </c>
      <c r="C925">
        <v>-23.2</v>
      </c>
      <c r="D925" t="s">
        <v>305</v>
      </c>
      <c r="E925" t="s">
        <v>433</v>
      </c>
      <c r="G925" t="s">
        <v>343</v>
      </c>
    </row>
    <row r="926" spans="1:7" x14ac:dyDescent="0.3">
      <c r="A926" t="s">
        <v>296</v>
      </c>
      <c r="B926" s="5">
        <v>41265</v>
      </c>
      <c r="C926">
        <v>-28.03</v>
      </c>
      <c r="D926" t="s">
        <v>305</v>
      </c>
      <c r="E926" t="s">
        <v>435</v>
      </c>
      <c r="G926" t="s">
        <v>343</v>
      </c>
    </row>
    <row r="927" spans="1:7" x14ac:dyDescent="0.3">
      <c r="A927" t="s">
        <v>296</v>
      </c>
      <c r="B927" s="5">
        <v>41265</v>
      </c>
      <c r="C927">
        <v>-8.75</v>
      </c>
      <c r="D927" t="s">
        <v>305</v>
      </c>
      <c r="E927" t="s">
        <v>1193</v>
      </c>
      <c r="G927" t="s">
        <v>20</v>
      </c>
    </row>
    <row r="928" spans="1:7" x14ac:dyDescent="0.3">
      <c r="A928" t="s">
        <v>296</v>
      </c>
      <c r="B928" s="5">
        <v>41265</v>
      </c>
      <c r="C928">
        <v>-30</v>
      </c>
      <c r="D928" t="s">
        <v>305</v>
      </c>
      <c r="E928" t="s">
        <v>1194</v>
      </c>
      <c r="G928" t="s">
        <v>20</v>
      </c>
    </row>
    <row r="929" spans="1:9" x14ac:dyDescent="0.3">
      <c r="A929" t="s">
        <v>296</v>
      </c>
      <c r="B929" s="5">
        <v>41265</v>
      </c>
      <c r="C929">
        <v>-10.54</v>
      </c>
      <c r="D929" t="s">
        <v>305</v>
      </c>
      <c r="E929" t="s">
        <v>1195</v>
      </c>
      <c r="G929" t="s">
        <v>334</v>
      </c>
    </row>
    <row r="930" spans="1:9" x14ac:dyDescent="0.3">
      <c r="A930" t="s">
        <v>296</v>
      </c>
      <c r="B930" s="5">
        <v>41266</v>
      </c>
      <c r="C930">
        <v>-58.6</v>
      </c>
      <c r="D930" t="s">
        <v>305</v>
      </c>
      <c r="E930" t="s">
        <v>1196</v>
      </c>
      <c r="G930" t="s">
        <v>649</v>
      </c>
    </row>
    <row r="931" spans="1:9" x14ac:dyDescent="0.3">
      <c r="A931" t="s">
        <v>296</v>
      </c>
      <c r="B931" s="5">
        <v>41266</v>
      </c>
      <c r="C931">
        <v>-47.49</v>
      </c>
      <c r="D931" t="s">
        <v>305</v>
      </c>
      <c r="E931" t="s">
        <v>443</v>
      </c>
      <c r="G931" t="s">
        <v>343</v>
      </c>
    </row>
    <row r="932" spans="1:9" x14ac:dyDescent="0.3">
      <c r="A932" t="s">
        <v>296</v>
      </c>
      <c r="B932" s="5">
        <v>41266</v>
      </c>
      <c r="C932">
        <v>-3.29</v>
      </c>
      <c r="D932" t="s">
        <v>305</v>
      </c>
      <c r="E932" t="s">
        <v>446</v>
      </c>
      <c r="F932" t="s">
        <v>1197</v>
      </c>
      <c r="G932" t="s">
        <v>346</v>
      </c>
      <c r="I932" t="s">
        <v>272</v>
      </c>
    </row>
    <row r="933" spans="1:9" x14ac:dyDescent="0.3">
      <c r="A933" t="s">
        <v>296</v>
      </c>
      <c r="B933" s="5">
        <v>41266</v>
      </c>
      <c r="C933">
        <v>-29.55</v>
      </c>
      <c r="D933" t="s">
        <v>305</v>
      </c>
      <c r="E933" t="s">
        <v>446</v>
      </c>
      <c r="F933" t="s">
        <v>996</v>
      </c>
      <c r="G933" t="s">
        <v>20</v>
      </c>
      <c r="I933" t="s">
        <v>272</v>
      </c>
    </row>
    <row r="934" spans="1:9" x14ac:dyDescent="0.3">
      <c r="A934" t="s">
        <v>296</v>
      </c>
      <c r="B934" s="5">
        <v>41266</v>
      </c>
      <c r="C934">
        <v>-18.29</v>
      </c>
      <c r="D934" t="s">
        <v>305</v>
      </c>
      <c r="E934" t="s">
        <v>1198</v>
      </c>
      <c r="F934" t="s">
        <v>1199</v>
      </c>
      <c r="G934" t="s">
        <v>334</v>
      </c>
    </row>
    <row r="935" spans="1:9" x14ac:dyDescent="0.3">
      <c r="A935" t="s">
        <v>296</v>
      </c>
      <c r="B935" s="5">
        <v>41266</v>
      </c>
      <c r="C935">
        <v>-6.56</v>
      </c>
      <c r="D935" t="s">
        <v>305</v>
      </c>
      <c r="E935" t="s">
        <v>448</v>
      </c>
      <c r="G935" t="s">
        <v>343</v>
      </c>
    </row>
    <row r="936" spans="1:9" x14ac:dyDescent="0.3">
      <c r="A936" t="s">
        <v>296</v>
      </c>
      <c r="B936" s="5">
        <v>41267</v>
      </c>
      <c r="C936">
        <v>-34.92</v>
      </c>
      <c r="D936" t="s">
        <v>305</v>
      </c>
      <c r="E936" t="s">
        <v>1200</v>
      </c>
      <c r="G936" t="s">
        <v>360</v>
      </c>
    </row>
    <row r="937" spans="1:9" x14ac:dyDescent="0.3">
      <c r="A937" t="s">
        <v>296</v>
      </c>
      <c r="B937" s="5">
        <v>41267</v>
      </c>
      <c r="C937">
        <v>-76.64</v>
      </c>
      <c r="D937" t="s">
        <v>305</v>
      </c>
      <c r="E937" t="s">
        <v>1200</v>
      </c>
      <c r="F937" t="s">
        <v>1201</v>
      </c>
      <c r="G937" t="s">
        <v>360</v>
      </c>
    </row>
    <row r="938" spans="1:9" x14ac:dyDescent="0.3">
      <c r="A938" t="s">
        <v>296</v>
      </c>
      <c r="B938" s="5">
        <v>41267</v>
      </c>
      <c r="C938">
        <v>-7.1</v>
      </c>
      <c r="D938" t="s">
        <v>305</v>
      </c>
      <c r="E938" t="s">
        <v>1200</v>
      </c>
      <c r="G938" t="s">
        <v>334</v>
      </c>
    </row>
    <row r="939" spans="1:9" x14ac:dyDescent="0.3">
      <c r="A939" t="s">
        <v>296</v>
      </c>
      <c r="B939" s="5">
        <v>41267</v>
      </c>
      <c r="C939">
        <v>-32.840000000000003</v>
      </c>
      <c r="D939" t="s">
        <v>305</v>
      </c>
      <c r="E939" t="s">
        <v>1196</v>
      </c>
      <c r="F939" t="s">
        <v>1202</v>
      </c>
      <c r="G939" t="s">
        <v>342</v>
      </c>
    </row>
    <row r="940" spans="1:9" x14ac:dyDescent="0.3">
      <c r="A940" t="s">
        <v>296</v>
      </c>
      <c r="B940" s="5">
        <v>41269</v>
      </c>
      <c r="C940">
        <v>-4.29</v>
      </c>
      <c r="D940" t="s">
        <v>305</v>
      </c>
      <c r="E940" t="s">
        <v>437</v>
      </c>
      <c r="G940" t="s">
        <v>343</v>
      </c>
    </row>
    <row r="941" spans="1:9" x14ac:dyDescent="0.3">
      <c r="A941" t="s">
        <v>296</v>
      </c>
      <c r="B941" s="5">
        <v>41270</v>
      </c>
      <c r="C941">
        <v>-13.66</v>
      </c>
      <c r="D941" t="s">
        <v>305</v>
      </c>
      <c r="E941" t="s">
        <v>433</v>
      </c>
      <c r="G941" t="s">
        <v>343</v>
      </c>
    </row>
    <row r="942" spans="1:9" x14ac:dyDescent="0.3">
      <c r="A942" t="s">
        <v>296</v>
      </c>
      <c r="B942" s="5">
        <v>41270</v>
      </c>
      <c r="C942">
        <v>-49.82</v>
      </c>
      <c r="D942" t="s">
        <v>305</v>
      </c>
      <c r="E942" t="s">
        <v>1203</v>
      </c>
      <c r="G942" t="s">
        <v>69</v>
      </c>
    </row>
    <row r="943" spans="1:9" x14ac:dyDescent="0.3">
      <c r="A943" t="s">
        <v>296</v>
      </c>
      <c r="B943" s="5">
        <v>41270</v>
      </c>
      <c r="C943">
        <v>-5.89</v>
      </c>
      <c r="D943" t="s">
        <v>305</v>
      </c>
      <c r="E943" t="s">
        <v>1204</v>
      </c>
      <c r="G943" t="s">
        <v>334</v>
      </c>
    </row>
    <row r="944" spans="1:9" x14ac:dyDescent="0.3">
      <c r="A944" t="s">
        <v>296</v>
      </c>
      <c r="B944" s="5">
        <v>41271</v>
      </c>
      <c r="C944">
        <v>-17.73</v>
      </c>
      <c r="D944" t="s">
        <v>305</v>
      </c>
      <c r="E944" t="s">
        <v>1205</v>
      </c>
      <c r="G944" t="s">
        <v>334</v>
      </c>
    </row>
    <row r="945" spans="1:7" x14ac:dyDescent="0.3">
      <c r="A945" t="s">
        <v>296</v>
      </c>
      <c r="B945" s="5">
        <v>41271</v>
      </c>
      <c r="C945">
        <v>-64.900000000000006</v>
      </c>
      <c r="D945" t="s">
        <v>305</v>
      </c>
      <c r="E945" t="s">
        <v>1206</v>
      </c>
      <c r="G945" t="s">
        <v>334</v>
      </c>
    </row>
    <row r="946" spans="1:7" x14ac:dyDescent="0.3">
      <c r="A946" t="s">
        <v>296</v>
      </c>
      <c r="B946" s="5">
        <v>41272</v>
      </c>
      <c r="C946">
        <v>-16.920000000000002</v>
      </c>
      <c r="D946" t="s">
        <v>305</v>
      </c>
      <c r="E946" t="s">
        <v>1207</v>
      </c>
      <c r="G946" t="s">
        <v>334</v>
      </c>
    </row>
    <row r="947" spans="1:7" x14ac:dyDescent="0.3">
      <c r="A947" t="s">
        <v>296</v>
      </c>
      <c r="B947" s="5">
        <v>41272</v>
      </c>
      <c r="C947">
        <v>-2.29</v>
      </c>
      <c r="D947" t="s">
        <v>305</v>
      </c>
      <c r="E947" t="s">
        <v>1187</v>
      </c>
      <c r="F947" t="s">
        <v>1208</v>
      </c>
      <c r="G947" t="s">
        <v>20</v>
      </c>
    </row>
    <row r="948" spans="1:7" x14ac:dyDescent="0.3">
      <c r="A948" t="s">
        <v>296</v>
      </c>
      <c r="B948" s="5">
        <v>41273</v>
      </c>
      <c r="C948">
        <v>-54.21</v>
      </c>
      <c r="D948" t="s">
        <v>305</v>
      </c>
      <c r="E948" t="s">
        <v>1151</v>
      </c>
      <c r="G948" t="s">
        <v>343</v>
      </c>
    </row>
    <row r="949" spans="1:7" x14ac:dyDescent="0.3">
      <c r="A949" t="s">
        <v>296</v>
      </c>
      <c r="B949" s="5">
        <v>41273</v>
      </c>
      <c r="C949">
        <v>-19</v>
      </c>
      <c r="D949" t="s">
        <v>305</v>
      </c>
      <c r="E949" t="s">
        <v>1209</v>
      </c>
      <c r="G949" t="s">
        <v>17</v>
      </c>
    </row>
    <row r="950" spans="1:7" x14ac:dyDescent="0.3">
      <c r="A950" t="s">
        <v>296</v>
      </c>
      <c r="B950" s="5">
        <v>41274</v>
      </c>
      <c r="C950">
        <v>-44.49</v>
      </c>
      <c r="D950" t="s">
        <v>305</v>
      </c>
      <c r="E950" t="s">
        <v>1210</v>
      </c>
      <c r="G950" t="s">
        <v>334</v>
      </c>
    </row>
    <row r="951" spans="1:7" x14ac:dyDescent="0.3">
      <c r="A951" t="s">
        <v>296</v>
      </c>
      <c r="B951" s="5">
        <v>41274</v>
      </c>
      <c r="C951">
        <v>-78.69</v>
      </c>
      <c r="D951" t="s">
        <v>305</v>
      </c>
      <c r="E951" t="s">
        <v>442</v>
      </c>
      <c r="G951" t="s">
        <v>343</v>
      </c>
    </row>
    <row r="952" spans="1:7" x14ac:dyDescent="0.3">
      <c r="A952" t="s">
        <v>296</v>
      </c>
      <c r="B952" s="5">
        <v>41274</v>
      </c>
      <c r="C952">
        <v>-500</v>
      </c>
      <c r="D952" t="s">
        <v>305</v>
      </c>
      <c r="E952" t="s">
        <v>1211</v>
      </c>
      <c r="G952" t="s">
        <v>621</v>
      </c>
    </row>
    <row r="953" spans="1:7" x14ac:dyDescent="0.3">
      <c r="A953" t="s">
        <v>296</v>
      </c>
      <c r="B953" s="5">
        <v>41274</v>
      </c>
      <c r="C953">
        <v>-3.45</v>
      </c>
      <c r="D953" t="s">
        <v>305</v>
      </c>
      <c r="E953" t="s">
        <v>449</v>
      </c>
      <c r="G953" t="s">
        <v>17</v>
      </c>
    </row>
    <row r="954" spans="1:7" x14ac:dyDescent="0.3">
      <c r="A954" t="s">
        <v>296</v>
      </c>
      <c r="B954" s="5">
        <v>41274</v>
      </c>
      <c r="C954">
        <v>-18.7</v>
      </c>
      <c r="D954" t="s">
        <v>305</v>
      </c>
      <c r="E954" t="s">
        <v>1212</v>
      </c>
      <c r="G954" t="s">
        <v>334</v>
      </c>
    </row>
    <row r="955" spans="1:7" x14ac:dyDescent="0.3">
      <c r="A955" t="s">
        <v>296</v>
      </c>
      <c r="B955" s="5">
        <v>41274</v>
      </c>
      <c r="C955">
        <v>-2.62</v>
      </c>
      <c r="D955" t="s">
        <v>305</v>
      </c>
      <c r="E955" t="s">
        <v>1212</v>
      </c>
      <c r="G955" t="s">
        <v>334</v>
      </c>
    </row>
    <row r="956" spans="1:7" x14ac:dyDescent="0.3">
      <c r="A956" t="s">
        <v>296</v>
      </c>
      <c r="B956" s="5">
        <v>41274</v>
      </c>
      <c r="C956">
        <v>-500</v>
      </c>
      <c r="D956" t="s">
        <v>305</v>
      </c>
      <c r="E956" t="s">
        <v>1213</v>
      </c>
      <c r="G956" t="s">
        <v>621</v>
      </c>
    </row>
    <row r="957" spans="1:7" x14ac:dyDescent="0.3">
      <c r="A957" t="s">
        <v>296</v>
      </c>
      <c r="B957" s="5">
        <v>41274</v>
      </c>
      <c r="C957">
        <v>-500</v>
      </c>
      <c r="D957" t="s">
        <v>305</v>
      </c>
      <c r="E957" t="s">
        <v>450</v>
      </c>
      <c r="G957" t="s">
        <v>621</v>
      </c>
    </row>
    <row r="958" spans="1:7" x14ac:dyDescent="0.3">
      <c r="A958" t="s">
        <v>296</v>
      </c>
      <c r="B958" s="5">
        <v>41274</v>
      </c>
      <c r="C958">
        <v>-500</v>
      </c>
      <c r="D958" t="s">
        <v>305</v>
      </c>
      <c r="E958" t="s">
        <v>1214</v>
      </c>
      <c r="G958" t="s">
        <v>621</v>
      </c>
    </row>
    <row r="959" spans="1:7" x14ac:dyDescent="0.3">
      <c r="A959" t="s">
        <v>296</v>
      </c>
      <c r="B959" s="5">
        <v>41274</v>
      </c>
      <c r="C959">
        <v>-16</v>
      </c>
      <c r="D959" t="s">
        <v>305</v>
      </c>
      <c r="E959" t="s">
        <v>1215</v>
      </c>
      <c r="G959" t="s">
        <v>17</v>
      </c>
    </row>
    <row r="960" spans="1:7" x14ac:dyDescent="0.3">
      <c r="A960" t="s">
        <v>296</v>
      </c>
      <c r="B960" s="5">
        <v>41274</v>
      </c>
      <c r="C960">
        <v>-500</v>
      </c>
      <c r="D960" t="s">
        <v>305</v>
      </c>
      <c r="E960" t="s">
        <v>1216</v>
      </c>
      <c r="G960" t="s">
        <v>621</v>
      </c>
    </row>
    <row r="961" spans="1:9" x14ac:dyDescent="0.3">
      <c r="A961" t="s">
        <v>296</v>
      </c>
      <c r="B961" s="5">
        <v>41274</v>
      </c>
      <c r="C961">
        <v>-43.79</v>
      </c>
      <c r="D961" t="s">
        <v>305</v>
      </c>
      <c r="E961" t="s">
        <v>451</v>
      </c>
      <c r="F961" t="s">
        <v>1217</v>
      </c>
      <c r="G961" t="s">
        <v>360</v>
      </c>
    </row>
    <row r="962" spans="1:9" x14ac:dyDescent="0.3">
      <c r="A962" t="s">
        <v>296</v>
      </c>
      <c r="B962" s="5">
        <v>41274</v>
      </c>
      <c r="C962">
        <v>-14.22</v>
      </c>
      <c r="D962" t="s">
        <v>305</v>
      </c>
      <c r="E962" t="s">
        <v>1218</v>
      </c>
      <c r="G962" t="s">
        <v>650</v>
      </c>
    </row>
    <row r="963" spans="1:9" x14ac:dyDescent="0.3">
      <c r="A963" t="s">
        <v>296</v>
      </c>
      <c r="B963" s="5">
        <v>41274</v>
      </c>
      <c r="C963">
        <v>-500</v>
      </c>
      <c r="D963" t="s">
        <v>305</v>
      </c>
      <c r="E963" t="s">
        <v>1219</v>
      </c>
      <c r="G963" t="s">
        <v>56</v>
      </c>
    </row>
    <row r="964" spans="1:9" x14ac:dyDescent="0.3">
      <c r="A964" t="s">
        <v>296</v>
      </c>
      <c r="B964" s="5">
        <v>41275</v>
      </c>
      <c r="C964">
        <v>-7.65</v>
      </c>
      <c r="D964" t="s">
        <v>305</v>
      </c>
      <c r="E964" t="s">
        <v>451</v>
      </c>
      <c r="F964" t="s">
        <v>1220</v>
      </c>
      <c r="G964" t="s">
        <v>360</v>
      </c>
    </row>
    <row r="965" spans="1:9" x14ac:dyDescent="0.3">
      <c r="A965" t="s">
        <v>296</v>
      </c>
      <c r="B965" s="5">
        <v>41276</v>
      </c>
      <c r="C965">
        <v>-18.600000000000001</v>
      </c>
      <c r="D965" t="s">
        <v>305</v>
      </c>
      <c r="E965" t="s">
        <v>452</v>
      </c>
      <c r="G965" t="s">
        <v>453</v>
      </c>
      <c r="I965" t="s">
        <v>272</v>
      </c>
    </row>
    <row r="966" spans="1:9" x14ac:dyDescent="0.3">
      <c r="A966" t="s">
        <v>296</v>
      </c>
      <c r="B966" s="5">
        <v>41276</v>
      </c>
      <c r="C966">
        <v>-58.33</v>
      </c>
      <c r="D966" t="s">
        <v>305</v>
      </c>
      <c r="E966" t="s">
        <v>452</v>
      </c>
      <c r="G966" t="s">
        <v>454</v>
      </c>
      <c r="I966" t="s">
        <v>272</v>
      </c>
    </row>
    <row r="967" spans="1:9" x14ac:dyDescent="0.3">
      <c r="A967" t="s">
        <v>296</v>
      </c>
      <c r="B967" s="5">
        <v>41276</v>
      </c>
      <c r="C967">
        <v>-45.89</v>
      </c>
      <c r="D967" t="s">
        <v>305</v>
      </c>
      <c r="E967" t="s">
        <v>452</v>
      </c>
      <c r="G967" t="s">
        <v>455</v>
      </c>
      <c r="I967" t="s">
        <v>272</v>
      </c>
    </row>
    <row r="968" spans="1:9" x14ac:dyDescent="0.3">
      <c r="A968" t="s">
        <v>296</v>
      </c>
      <c r="B968" s="5">
        <v>41276</v>
      </c>
      <c r="C968">
        <v>-12.15</v>
      </c>
      <c r="D968" t="s">
        <v>305</v>
      </c>
      <c r="E968" t="s">
        <v>1221</v>
      </c>
      <c r="G968" t="s">
        <v>444</v>
      </c>
    </row>
    <row r="969" spans="1:9" x14ac:dyDescent="0.3">
      <c r="A969" t="s">
        <v>296</v>
      </c>
      <c r="B969" s="5">
        <v>41276</v>
      </c>
      <c r="C969">
        <v>-47</v>
      </c>
      <c r="D969" t="s">
        <v>305</v>
      </c>
      <c r="E969" t="s">
        <v>1222</v>
      </c>
      <c r="F969" t="s">
        <v>996</v>
      </c>
      <c r="G969" t="s">
        <v>651</v>
      </c>
    </row>
    <row r="970" spans="1:9" x14ac:dyDescent="0.3">
      <c r="A970" t="s">
        <v>296</v>
      </c>
      <c r="B970" s="5">
        <v>41276</v>
      </c>
      <c r="C970">
        <v>-36</v>
      </c>
      <c r="D970" t="s">
        <v>305</v>
      </c>
      <c r="E970" t="s">
        <v>1152</v>
      </c>
      <c r="G970" t="s">
        <v>317</v>
      </c>
    </row>
    <row r="971" spans="1:9" x14ac:dyDescent="0.3">
      <c r="A971" t="s">
        <v>296</v>
      </c>
      <c r="B971" s="5">
        <v>41276</v>
      </c>
      <c r="C971">
        <v>-2.13</v>
      </c>
      <c r="D971" t="s">
        <v>305</v>
      </c>
      <c r="E971" t="s">
        <v>437</v>
      </c>
      <c r="G971" t="s">
        <v>343</v>
      </c>
    </row>
    <row r="972" spans="1:9" x14ac:dyDescent="0.3">
      <c r="A972" t="s">
        <v>296</v>
      </c>
      <c r="B972" s="5">
        <v>41277</v>
      </c>
      <c r="C972" s="4">
        <v>4948.2</v>
      </c>
      <c r="D972" t="s">
        <v>305</v>
      </c>
      <c r="E972" t="s">
        <v>322</v>
      </c>
      <c r="F972" t="s">
        <v>607</v>
      </c>
      <c r="G972" t="s">
        <v>9</v>
      </c>
    </row>
    <row r="973" spans="1:9" x14ac:dyDescent="0.3">
      <c r="A973" t="s">
        <v>296</v>
      </c>
      <c r="B973" s="5">
        <v>41277</v>
      </c>
      <c r="C973">
        <v>-12.2</v>
      </c>
      <c r="D973" t="s">
        <v>305</v>
      </c>
      <c r="E973" t="s">
        <v>440</v>
      </c>
      <c r="G973" t="s">
        <v>441</v>
      </c>
    </row>
    <row r="974" spans="1:9" x14ac:dyDescent="0.3">
      <c r="A974" t="s">
        <v>296</v>
      </c>
      <c r="B974" s="5">
        <v>41278</v>
      </c>
      <c r="C974">
        <v>25</v>
      </c>
      <c r="D974" t="s">
        <v>305</v>
      </c>
      <c r="E974" t="s">
        <v>438</v>
      </c>
      <c r="F974" t="s">
        <v>1223</v>
      </c>
      <c r="G974" t="s">
        <v>14</v>
      </c>
    </row>
    <row r="975" spans="1:9" x14ac:dyDescent="0.3">
      <c r="A975" t="s">
        <v>296</v>
      </c>
      <c r="B975" s="5">
        <v>41278</v>
      </c>
      <c r="C975">
        <v>25</v>
      </c>
      <c r="D975" t="s">
        <v>305</v>
      </c>
      <c r="E975" t="s">
        <v>438</v>
      </c>
      <c r="G975" t="s">
        <v>14</v>
      </c>
    </row>
    <row r="976" spans="1:9" x14ac:dyDescent="0.3">
      <c r="A976" t="s">
        <v>296</v>
      </c>
      <c r="B976" s="5">
        <v>41278</v>
      </c>
      <c r="C976">
        <v>-61.62</v>
      </c>
      <c r="D976" t="s">
        <v>305</v>
      </c>
      <c r="E976" t="s">
        <v>1151</v>
      </c>
      <c r="G976" t="s">
        <v>343</v>
      </c>
    </row>
    <row r="977" spans="1:9" x14ac:dyDescent="0.3">
      <c r="A977" t="s">
        <v>296</v>
      </c>
      <c r="B977" s="5">
        <v>41278</v>
      </c>
      <c r="C977">
        <v>-4.38</v>
      </c>
      <c r="D977" t="s">
        <v>305</v>
      </c>
      <c r="E977" t="s">
        <v>1151</v>
      </c>
      <c r="G977" t="s">
        <v>343</v>
      </c>
    </row>
    <row r="978" spans="1:9" x14ac:dyDescent="0.3">
      <c r="A978" t="s">
        <v>296</v>
      </c>
      <c r="B978" s="5">
        <v>41279</v>
      </c>
      <c r="C978">
        <v>-43.23</v>
      </c>
      <c r="D978" t="s">
        <v>305</v>
      </c>
      <c r="E978" t="s">
        <v>1224</v>
      </c>
      <c r="G978" t="s">
        <v>334</v>
      </c>
    </row>
    <row r="979" spans="1:9" x14ac:dyDescent="0.3">
      <c r="A979" t="s">
        <v>296</v>
      </c>
      <c r="B979" s="5">
        <v>41279</v>
      </c>
      <c r="C979">
        <v>-12.59</v>
      </c>
      <c r="D979" t="s">
        <v>305</v>
      </c>
      <c r="E979" t="s">
        <v>1225</v>
      </c>
      <c r="F979" t="s">
        <v>1226</v>
      </c>
      <c r="G979" t="s">
        <v>1227</v>
      </c>
      <c r="I979" t="s">
        <v>272</v>
      </c>
    </row>
    <row r="980" spans="1:9" x14ac:dyDescent="0.3">
      <c r="A980" t="s">
        <v>296</v>
      </c>
      <c r="B980" s="5">
        <v>41279</v>
      </c>
      <c r="C980">
        <v>-3.47</v>
      </c>
      <c r="D980" t="s">
        <v>305</v>
      </c>
      <c r="E980" t="s">
        <v>1225</v>
      </c>
      <c r="F980" t="s">
        <v>1228</v>
      </c>
      <c r="G980" t="s">
        <v>1229</v>
      </c>
      <c r="I980" t="s">
        <v>272</v>
      </c>
    </row>
    <row r="981" spans="1:9" x14ac:dyDescent="0.3">
      <c r="A981" t="s">
        <v>296</v>
      </c>
      <c r="B981" s="5">
        <v>41279</v>
      </c>
      <c r="C981">
        <v>-9.19</v>
      </c>
      <c r="D981" t="s">
        <v>305</v>
      </c>
      <c r="E981" t="s">
        <v>1230</v>
      </c>
      <c r="F981" t="s">
        <v>1231</v>
      </c>
      <c r="G981" t="s">
        <v>650</v>
      </c>
    </row>
    <row r="982" spans="1:9" x14ac:dyDescent="0.3">
      <c r="A982" t="s">
        <v>296</v>
      </c>
      <c r="B982" s="5">
        <v>41280</v>
      </c>
      <c r="C982">
        <v>32.840000000000003</v>
      </c>
      <c r="D982" t="s">
        <v>305</v>
      </c>
      <c r="E982" t="s">
        <v>1232</v>
      </c>
      <c r="F982" t="s">
        <v>1233</v>
      </c>
      <c r="G982" t="s">
        <v>342</v>
      </c>
    </row>
    <row r="983" spans="1:9" x14ac:dyDescent="0.3">
      <c r="A983" t="s">
        <v>296</v>
      </c>
      <c r="B983" s="5">
        <v>41280</v>
      </c>
      <c r="C983" s="4">
        <v>-2245</v>
      </c>
      <c r="D983" t="s">
        <v>305</v>
      </c>
      <c r="E983" t="s">
        <v>456</v>
      </c>
      <c r="G983" t="s">
        <v>427</v>
      </c>
    </row>
    <row r="984" spans="1:9" x14ac:dyDescent="0.3">
      <c r="A984" t="s">
        <v>296</v>
      </c>
      <c r="B984" s="5">
        <v>41280</v>
      </c>
      <c r="C984">
        <v>-46.06</v>
      </c>
      <c r="D984" t="s">
        <v>305</v>
      </c>
      <c r="E984" t="s">
        <v>1151</v>
      </c>
      <c r="G984" t="s">
        <v>343</v>
      </c>
    </row>
    <row r="985" spans="1:9" x14ac:dyDescent="0.3">
      <c r="A985" t="s">
        <v>296</v>
      </c>
      <c r="B985" s="5">
        <v>41280</v>
      </c>
      <c r="C985">
        <v>-43.8</v>
      </c>
      <c r="D985" t="s">
        <v>305</v>
      </c>
      <c r="E985">
        <v>76</v>
      </c>
      <c r="G985" t="s">
        <v>417</v>
      </c>
    </row>
    <row r="986" spans="1:9" x14ac:dyDescent="0.3">
      <c r="A986" t="s">
        <v>296</v>
      </c>
      <c r="B986" s="5">
        <v>41280</v>
      </c>
      <c r="C986">
        <v>-15.99</v>
      </c>
      <c r="D986" t="s">
        <v>305</v>
      </c>
      <c r="E986" t="s">
        <v>1151</v>
      </c>
      <c r="G986" t="s">
        <v>343</v>
      </c>
    </row>
    <row r="987" spans="1:9" x14ac:dyDescent="0.3">
      <c r="A987" t="s">
        <v>296</v>
      </c>
      <c r="B987" s="5">
        <v>41280</v>
      </c>
      <c r="C987">
        <v>-4.41</v>
      </c>
      <c r="D987" t="s">
        <v>305</v>
      </c>
      <c r="E987" t="s">
        <v>1234</v>
      </c>
      <c r="G987" t="s">
        <v>457</v>
      </c>
    </row>
    <row r="988" spans="1:9" x14ac:dyDescent="0.3">
      <c r="A988" t="s">
        <v>296</v>
      </c>
      <c r="B988" s="5">
        <v>41280</v>
      </c>
      <c r="C988">
        <v>-1.08</v>
      </c>
      <c r="D988" t="s">
        <v>305</v>
      </c>
      <c r="E988" t="s">
        <v>1235</v>
      </c>
      <c r="F988" t="s">
        <v>1236</v>
      </c>
      <c r="G988" t="s">
        <v>342</v>
      </c>
    </row>
    <row r="989" spans="1:9" x14ac:dyDescent="0.3">
      <c r="A989" t="s">
        <v>296</v>
      </c>
      <c r="B989" s="5">
        <v>41281</v>
      </c>
      <c r="C989">
        <v>-9.5500000000000007</v>
      </c>
      <c r="D989" t="s">
        <v>305</v>
      </c>
      <c r="E989" t="s">
        <v>437</v>
      </c>
      <c r="G989" t="s">
        <v>343</v>
      </c>
    </row>
    <row r="990" spans="1:9" x14ac:dyDescent="0.3">
      <c r="A990" t="s">
        <v>296</v>
      </c>
      <c r="B990" s="5">
        <v>41282</v>
      </c>
      <c r="C990">
        <v>25</v>
      </c>
      <c r="D990" t="s">
        <v>305</v>
      </c>
      <c r="E990" t="s">
        <v>438</v>
      </c>
      <c r="G990" t="s">
        <v>14</v>
      </c>
    </row>
    <row r="991" spans="1:9" x14ac:dyDescent="0.3">
      <c r="A991" t="s">
        <v>296</v>
      </c>
      <c r="B991" s="5">
        <v>41282</v>
      </c>
      <c r="C991">
        <v>-31.38</v>
      </c>
      <c r="D991" t="s">
        <v>305</v>
      </c>
      <c r="E991" t="s">
        <v>1237</v>
      </c>
      <c r="G991" t="s">
        <v>334</v>
      </c>
    </row>
    <row r="992" spans="1:9" x14ac:dyDescent="0.3">
      <c r="A992" t="s">
        <v>296</v>
      </c>
      <c r="B992" s="5">
        <v>41283</v>
      </c>
      <c r="C992">
        <v>-45.95</v>
      </c>
      <c r="D992" t="s">
        <v>305</v>
      </c>
      <c r="E992" t="s">
        <v>1238</v>
      </c>
      <c r="G992" t="s">
        <v>73</v>
      </c>
    </row>
    <row r="993" spans="1:9" x14ac:dyDescent="0.3">
      <c r="A993" t="s">
        <v>296</v>
      </c>
      <c r="B993" s="5">
        <v>41283</v>
      </c>
      <c r="C993">
        <v>-10.08</v>
      </c>
      <c r="D993" t="s">
        <v>305</v>
      </c>
      <c r="E993" t="s">
        <v>437</v>
      </c>
      <c r="G993" t="s">
        <v>343</v>
      </c>
    </row>
    <row r="994" spans="1:9" x14ac:dyDescent="0.3">
      <c r="A994" t="s">
        <v>296</v>
      </c>
      <c r="B994" s="5">
        <v>41285</v>
      </c>
      <c r="C994">
        <v>-104.03</v>
      </c>
      <c r="D994" t="s">
        <v>305</v>
      </c>
      <c r="E994" t="s">
        <v>1153</v>
      </c>
      <c r="F994" t="s">
        <v>1239</v>
      </c>
      <c r="G994" t="s">
        <v>650</v>
      </c>
    </row>
    <row r="995" spans="1:9" x14ac:dyDescent="0.3">
      <c r="A995" t="s">
        <v>296</v>
      </c>
      <c r="B995" s="5">
        <v>41285</v>
      </c>
      <c r="C995">
        <v>-78.739999999999995</v>
      </c>
      <c r="D995" t="s">
        <v>305</v>
      </c>
      <c r="E995" t="s">
        <v>451</v>
      </c>
      <c r="G995" t="s">
        <v>360</v>
      </c>
    </row>
    <row r="996" spans="1:9" x14ac:dyDescent="0.3">
      <c r="A996" t="s">
        <v>296</v>
      </c>
      <c r="B996" s="5">
        <v>41285</v>
      </c>
      <c r="C996">
        <v>-58.02</v>
      </c>
      <c r="D996" t="s">
        <v>305</v>
      </c>
      <c r="E996" t="s">
        <v>1063</v>
      </c>
      <c r="G996" t="s">
        <v>417</v>
      </c>
    </row>
    <row r="997" spans="1:9" x14ac:dyDescent="0.3">
      <c r="A997" t="s">
        <v>296</v>
      </c>
      <c r="B997" s="5">
        <v>41285</v>
      </c>
      <c r="C997">
        <v>-50.32</v>
      </c>
      <c r="D997" t="s">
        <v>305</v>
      </c>
      <c r="E997" t="s">
        <v>1151</v>
      </c>
      <c r="G997" t="s">
        <v>343</v>
      </c>
    </row>
    <row r="998" spans="1:9" x14ac:dyDescent="0.3">
      <c r="A998" t="s">
        <v>296</v>
      </c>
      <c r="B998" s="5">
        <v>41285</v>
      </c>
      <c r="C998">
        <v>-13.09</v>
      </c>
      <c r="D998" t="s">
        <v>305</v>
      </c>
      <c r="E998" t="s">
        <v>1240</v>
      </c>
      <c r="G998" t="s">
        <v>334</v>
      </c>
    </row>
    <row r="999" spans="1:9" x14ac:dyDescent="0.3">
      <c r="A999" t="s">
        <v>296</v>
      </c>
      <c r="B999" s="5">
        <v>41285</v>
      </c>
      <c r="C999">
        <v>-9.5</v>
      </c>
      <c r="D999" t="s">
        <v>305</v>
      </c>
      <c r="E999" t="s">
        <v>1209</v>
      </c>
      <c r="G999" t="s">
        <v>17</v>
      </c>
    </row>
    <row r="1000" spans="1:9" x14ac:dyDescent="0.3">
      <c r="A1000" t="s">
        <v>296</v>
      </c>
      <c r="B1000" s="5">
        <v>41285</v>
      </c>
      <c r="C1000">
        <v>-4.37</v>
      </c>
      <c r="D1000" t="s">
        <v>305</v>
      </c>
      <c r="E1000" t="s">
        <v>645</v>
      </c>
      <c r="G1000" t="s">
        <v>334</v>
      </c>
    </row>
    <row r="1001" spans="1:9" x14ac:dyDescent="0.3">
      <c r="A1001" t="s">
        <v>296</v>
      </c>
      <c r="B1001" s="5">
        <v>41286</v>
      </c>
      <c r="C1001">
        <v>-78.7</v>
      </c>
      <c r="D1001" t="s">
        <v>305</v>
      </c>
      <c r="E1001" t="s">
        <v>1241</v>
      </c>
      <c r="G1001" t="s">
        <v>334</v>
      </c>
    </row>
    <row r="1002" spans="1:9" x14ac:dyDescent="0.3">
      <c r="A1002" t="s">
        <v>296</v>
      </c>
      <c r="B1002" s="5">
        <v>41286</v>
      </c>
      <c r="C1002">
        <v>-27.36</v>
      </c>
      <c r="D1002" t="s">
        <v>305</v>
      </c>
      <c r="E1002" t="s">
        <v>372</v>
      </c>
      <c r="G1002" t="s">
        <v>26</v>
      </c>
    </row>
    <row r="1003" spans="1:9" x14ac:dyDescent="0.3">
      <c r="A1003" t="s">
        <v>296</v>
      </c>
      <c r="B1003" s="5">
        <v>41287</v>
      </c>
      <c r="C1003">
        <v>-56.49</v>
      </c>
      <c r="D1003" t="s">
        <v>305</v>
      </c>
      <c r="E1003" t="s">
        <v>1242</v>
      </c>
      <c r="G1003" t="s">
        <v>334</v>
      </c>
    </row>
    <row r="1004" spans="1:9" x14ac:dyDescent="0.3">
      <c r="A1004" t="s">
        <v>296</v>
      </c>
      <c r="B1004" s="5">
        <v>41287</v>
      </c>
      <c r="C1004">
        <v>-4.0199999999999996</v>
      </c>
      <c r="D1004" t="s">
        <v>305</v>
      </c>
      <c r="E1004" t="s">
        <v>1225</v>
      </c>
      <c r="F1004" t="s">
        <v>1243</v>
      </c>
      <c r="G1004" t="s">
        <v>1227</v>
      </c>
      <c r="I1004" t="s">
        <v>272</v>
      </c>
    </row>
    <row r="1005" spans="1:9" x14ac:dyDescent="0.3">
      <c r="A1005" t="s">
        <v>296</v>
      </c>
      <c r="B1005" s="5">
        <v>41287</v>
      </c>
      <c r="C1005">
        <v>-5.9</v>
      </c>
      <c r="D1005" t="s">
        <v>305</v>
      </c>
      <c r="E1005" t="s">
        <v>1225</v>
      </c>
      <c r="F1005" t="s">
        <v>1244</v>
      </c>
      <c r="G1005" t="s">
        <v>1227</v>
      </c>
      <c r="I1005" t="s">
        <v>272</v>
      </c>
    </row>
    <row r="1006" spans="1:9" x14ac:dyDescent="0.3">
      <c r="A1006" t="s">
        <v>296</v>
      </c>
      <c r="B1006" s="5">
        <v>41287</v>
      </c>
      <c r="C1006">
        <v>-7.44</v>
      </c>
      <c r="D1006" t="s">
        <v>305</v>
      </c>
      <c r="E1006" t="s">
        <v>1225</v>
      </c>
      <c r="F1006" t="s">
        <v>1245</v>
      </c>
      <c r="G1006" t="s">
        <v>1229</v>
      </c>
      <c r="I1006" t="s">
        <v>272</v>
      </c>
    </row>
    <row r="1007" spans="1:9" x14ac:dyDescent="0.3">
      <c r="A1007" t="s">
        <v>296</v>
      </c>
      <c r="B1007" s="5">
        <v>41287</v>
      </c>
      <c r="C1007">
        <v>-7.44</v>
      </c>
      <c r="D1007" t="s">
        <v>305</v>
      </c>
      <c r="E1007" t="s">
        <v>1225</v>
      </c>
      <c r="F1007" t="s">
        <v>1246</v>
      </c>
      <c r="G1007" t="s">
        <v>1229</v>
      </c>
      <c r="I1007" t="s">
        <v>272</v>
      </c>
    </row>
    <row r="1008" spans="1:9" x14ac:dyDescent="0.3">
      <c r="A1008" t="s">
        <v>296</v>
      </c>
      <c r="B1008" s="5">
        <v>41287</v>
      </c>
      <c r="C1008">
        <v>-12.56</v>
      </c>
      <c r="D1008" t="s">
        <v>305</v>
      </c>
      <c r="E1008" t="s">
        <v>1225</v>
      </c>
      <c r="G1008" t="s">
        <v>1229</v>
      </c>
      <c r="I1008" t="s">
        <v>272</v>
      </c>
    </row>
    <row r="1009" spans="1:9" x14ac:dyDescent="0.3">
      <c r="A1009" t="s">
        <v>296</v>
      </c>
      <c r="B1009" s="5">
        <v>41287</v>
      </c>
      <c r="C1009">
        <v>-9.33</v>
      </c>
      <c r="D1009" t="s">
        <v>305</v>
      </c>
      <c r="E1009" t="s">
        <v>1225</v>
      </c>
      <c r="F1009" t="s">
        <v>1247</v>
      </c>
      <c r="G1009" t="s">
        <v>1227</v>
      </c>
      <c r="I1009" t="s">
        <v>272</v>
      </c>
    </row>
    <row r="1010" spans="1:9" x14ac:dyDescent="0.3">
      <c r="A1010" t="s">
        <v>296</v>
      </c>
      <c r="B1010" s="5">
        <v>41287</v>
      </c>
      <c r="C1010">
        <v>13.8</v>
      </c>
      <c r="D1010" t="s">
        <v>305</v>
      </c>
      <c r="E1010" t="s">
        <v>1225</v>
      </c>
      <c r="F1010" t="s">
        <v>1248</v>
      </c>
      <c r="G1010" t="s">
        <v>1227</v>
      </c>
      <c r="I1010" t="s">
        <v>272</v>
      </c>
    </row>
    <row r="1011" spans="1:9" x14ac:dyDescent="0.3">
      <c r="A1011" t="s">
        <v>296</v>
      </c>
      <c r="B1011" s="5">
        <v>41287</v>
      </c>
      <c r="C1011">
        <v>-8.75</v>
      </c>
      <c r="D1011" t="s">
        <v>305</v>
      </c>
      <c r="E1011" t="s">
        <v>1249</v>
      </c>
      <c r="F1011" t="s">
        <v>1250</v>
      </c>
      <c r="G1011" t="s">
        <v>17</v>
      </c>
    </row>
    <row r="1012" spans="1:9" x14ac:dyDescent="0.3">
      <c r="A1012" t="s">
        <v>296</v>
      </c>
      <c r="B1012" s="5">
        <v>41287</v>
      </c>
      <c r="C1012">
        <v>-8.25</v>
      </c>
      <c r="D1012" t="s">
        <v>305</v>
      </c>
      <c r="E1012" t="s">
        <v>1251</v>
      </c>
      <c r="G1012" t="s">
        <v>334</v>
      </c>
    </row>
    <row r="1013" spans="1:9" x14ac:dyDescent="0.3">
      <c r="A1013" t="s">
        <v>296</v>
      </c>
      <c r="B1013" s="5">
        <v>41289</v>
      </c>
      <c r="C1013">
        <v>-109.44</v>
      </c>
      <c r="D1013" t="s">
        <v>305</v>
      </c>
      <c r="E1013" t="s">
        <v>442</v>
      </c>
      <c r="G1013" t="s">
        <v>343</v>
      </c>
    </row>
    <row r="1014" spans="1:9" x14ac:dyDescent="0.3">
      <c r="A1014" t="s">
        <v>296</v>
      </c>
      <c r="B1014" s="5">
        <v>41289</v>
      </c>
      <c r="C1014">
        <v>-54.09</v>
      </c>
      <c r="D1014" t="s">
        <v>305</v>
      </c>
      <c r="E1014" t="s">
        <v>1151</v>
      </c>
      <c r="G1014" t="s">
        <v>343</v>
      </c>
    </row>
    <row r="1015" spans="1:9" x14ac:dyDescent="0.3">
      <c r="A1015" t="s">
        <v>296</v>
      </c>
      <c r="B1015" s="5">
        <v>41289</v>
      </c>
      <c r="C1015">
        <v>-0.63</v>
      </c>
      <c r="D1015" t="s">
        <v>305</v>
      </c>
      <c r="E1015" t="s">
        <v>1151</v>
      </c>
      <c r="G1015" t="s">
        <v>343</v>
      </c>
    </row>
    <row r="1016" spans="1:9" x14ac:dyDescent="0.3">
      <c r="A1016" t="s">
        <v>296</v>
      </c>
      <c r="B1016" s="5">
        <v>41290</v>
      </c>
      <c r="C1016">
        <v>-8.83</v>
      </c>
      <c r="D1016" t="s">
        <v>305</v>
      </c>
      <c r="E1016" t="s">
        <v>437</v>
      </c>
      <c r="G1016" t="s">
        <v>343</v>
      </c>
    </row>
    <row r="1017" spans="1:9" x14ac:dyDescent="0.3">
      <c r="A1017" t="s">
        <v>296</v>
      </c>
      <c r="B1017" s="5">
        <v>41290</v>
      </c>
      <c r="C1017">
        <v>-8.75</v>
      </c>
      <c r="D1017" t="s">
        <v>305</v>
      </c>
      <c r="E1017" t="s">
        <v>1170</v>
      </c>
      <c r="G1017" t="s">
        <v>73</v>
      </c>
    </row>
    <row r="1018" spans="1:9" x14ac:dyDescent="0.3">
      <c r="A1018" t="s">
        <v>296</v>
      </c>
      <c r="B1018" s="5">
        <v>41292</v>
      </c>
      <c r="C1018">
        <v>-164.24</v>
      </c>
      <c r="D1018" t="s">
        <v>305</v>
      </c>
      <c r="E1018" t="s">
        <v>336</v>
      </c>
      <c r="F1018" t="s">
        <v>611</v>
      </c>
      <c r="G1018" t="s">
        <v>337</v>
      </c>
      <c r="I1018" t="s">
        <v>272</v>
      </c>
    </row>
    <row r="1019" spans="1:9" x14ac:dyDescent="0.3">
      <c r="A1019" t="s">
        <v>296</v>
      </c>
      <c r="B1019" s="5">
        <v>41292</v>
      </c>
      <c r="C1019">
        <v>-164.24</v>
      </c>
      <c r="D1019" t="s">
        <v>305</v>
      </c>
      <c r="E1019" t="s">
        <v>336</v>
      </c>
      <c r="F1019" t="s">
        <v>1252</v>
      </c>
      <c r="G1019" t="s">
        <v>342</v>
      </c>
      <c r="I1019" t="s">
        <v>272</v>
      </c>
    </row>
    <row r="1020" spans="1:9" x14ac:dyDescent="0.3">
      <c r="A1020" t="s">
        <v>296</v>
      </c>
      <c r="B1020" s="5">
        <v>41292</v>
      </c>
      <c r="C1020">
        <v>-6.3</v>
      </c>
      <c r="D1020" t="s">
        <v>305</v>
      </c>
      <c r="E1020" t="s">
        <v>439</v>
      </c>
      <c r="G1020" t="s">
        <v>334</v>
      </c>
    </row>
    <row r="1021" spans="1:9" x14ac:dyDescent="0.3">
      <c r="A1021" t="s">
        <v>296</v>
      </c>
      <c r="B1021" s="5">
        <v>41292</v>
      </c>
      <c r="C1021">
        <v>-5.46</v>
      </c>
      <c r="D1021" t="s">
        <v>305</v>
      </c>
      <c r="E1021" t="s">
        <v>645</v>
      </c>
      <c r="G1021" t="s">
        <v>334</v>
      </c>
    </row>
    <row r="1022" spans="1:9" x14ac:dyDescent="0.3">
      <c r="A1022" t="s">
        <v>296</v>
      </c>
      <c r="B1022" s="5">
        <v>41293</v>
      </c>
      <c r="C1022">
        <v>-42.54</v>
      </c>
      <c r="D1022" t="s">
        <v>305</v>
      </c>
      <c r="E1022" t="s">
        <v>1253</v>
      </c>
      <c r="G1022" t="s">
        <v>334</v>
      </c>
    </row>
    <row r="1023" spans="1:9" x14ac:dyDescent="0.3">
      <c r="A1023" t="s">
        <v>296</v>
      </c>
      <c r="B1023" s="5">
        <v>41293</v>
      </c>
      <c r="C1023">
        <v>-4.29</v>
      </c>
      <c r="D1023" t="s">
        <v>305</v>
      </c>
      <c r="E1023" t="s">
        <v>437</v>
      </c>
      <c r="G1023" t="s">
        <v>343</v>
      </c>
    </row>
    <row r="1024" spans="1:9" x14ac:dyDescent="0.3">
      <c r="A1024" t="s">
        <v>296</v>
      </c>
      <c r="B1024" s="5">
        <v>41294</v>
      </c>
      <c r="C1024">
        <v>-122.41</v>
      </c>
      <c r="D1024" t="s">
        <v>305</v>
      </c>
      <c r="E1024" t="s">
        <v>1151</v>
      </c>
      <c r="G1024" t="s">
        <v>343</v>
      </c>
    </row>
    <row r="1025" spans="1:7" x14ac:dyDescent="0.3">
      <c r="A1025" t="s">
        <v>296</v>
      </c>
      <c r="B1025" s="5">
        <v>41294</v>
      </c>
      <c r="C1025">
        <v>-11.9</v>
      </c>
      <c r="D1025" t="s">
        <v>305</v>
      </c>
      <c r="E1025" t="s">
        <v>437</v>
      </c>
      <c r="G1025" t="s">
        <v>343</v>
      </c>
    </row>
    <row r="1026" spans="1:7" x14ac:dyDescent="0.3">
      <c r="A1026" t="s">
        <v>296</v>
      </c>
      <c r="B1026" s="5">
        <v>41294</v>
      </c>
      <c r="C1026">
        <v>-3.99</v>
      </c>
      <c r="D1026" t="s">
        <v>305</v>
      </c>
      <c r="E1026" t="s">
        <v>1151</v>
      </c>
      <c r="G1026" t="s">
        <v>343</v>
      </c>
    </row>
    <row r="1027" spans="1:7" x14ac:dyDescent="0.3">
      <c r="A1027" t="s">
        <v>296</v>
      </c>
      <c r="B1027" s="5">
        <v>41295</v>
      </c>
      <c r="C1027">
        <v>-100</v>
      </c>
      <c r="D1027" t="s">
        <v>305</v>
      </c>
      <c r="E1027" t="s">
        <v>1254</v>
      </c>
      <c r="G1027" t="s">
        <v>69</v>
      </c>
    </row>
    <row r="1028" spans="1:7" x14ac:dyDescent="0.3">
      <c r="A1028" t="s">
        <v>296</v>
      </c>
      <c r="B1028" s="5">
        <v>41295</v>
      </c>
      <c r="C1028">
        <v>-10.75</v>
      </c>
      <c r="D1028" t="s">
        <v>305</v>
      </c>
      <c r="E1028" t="s">
        <v>437</v>
      </c>
      <c r="G1028" t="s">
        <v>343</v>
      </c>
    </row>
    <row r="1029" spans="1:7" x14ac:dyDescent="0.3">
      <c r="A1029" t="s">
        <v>296</v>
      </c>
      <c r="B1029" s="5">
        <v>41297</v>
      </c>
      <c r="C1029">
        <v>-182</v>
      </c>
      <c r="D1029" t="s">
        <v>305</v>
      </c>
      <c r="E1029" t="s">
        <v>1255</v>
      </c>
      <c r="G1029" t="s">
        <v>17</v>
      </c>
    </row>
    <row r="1030" spans="1:7" x14ac:dyDescent="0.3">
      <c r="A1030" t="s">
        <v>296</v>
      </c>
      <c r="B1030" s="5">
        <v>41298</v>
      </c>
      <c r="C1030">
        <v>-336.8</v>
      </c>
      <c r="D1030" t="s">
        <v>305</v>
      </c>
      <c r="E1030" t="s">
        <v>1256</v>
      </c>
      <c r="F1030" t="s">
        <v>1002</v>
      </c>
      <c r="G1030" t="s">
        <v>418</v>
      </c>
    </row>
    <row r="1031" spans="1:7" x14ac:dyDescent="0.3">
      <c r="A1031" t="s">
        <v>296</v>
      </c>
      <c r="B1031" s="5">
        <v>41298</v>
      </c>
      <c r="C1031">
        <v>-336.8</v>
      </c>
      <c r="D1031" t="s">
        <v>305</v>
      </c>
      <c r="E1031" t="s">
        <v>1256</v>
      </c>
      <c r="F1031" t="s">
        <v>1002</v>
      </c>
      <c r="G1031" t="s">
        <v>418</v>
      </c>
    </row>
    <row r="1032" spans="1:7" x14ac:dyDescent="0.3">
      <c r="A1032" t="s">
        <v>296</v>
      </c>
      <c r="B1032" s="5">
        <v>41298</v>
      </c>
      <c r="C1032">
        <v>-336.8</v>
      </c>
      <c r="D1032" t="s">
        <v>305</v>
      </c>
      <c r="E1032" t="s">
        <v>1256</v>
      </c>
      <c r="F1032" t="s">
        <v>1002</v>
      </c>
      <c r="G1032" t="s">
        <v>418</v>
      </c>
    </row>
    <row r="1033" spans="1:7" x14ac:dyDescent="0.3">
      <c r="A1033" t="s">
        <v>296</v>
      </c>
      <c r="B1033" s="5">
        <v>41298</v>
      </c>
      <c r="C1033">
        <v>-336.8</v>
      </c>
      <c r="D1033" t="s">
        <v>305</v>
      </c>
      <c r="E1033" t="s">
        <v>1256</v>
      </c>
      <c r="F1033" t="s">
        <v>1002</v>
      </c>
      <c r="G1033" t="s">
        <v>418</v>
      </c>
    </row>
    <row r="1034" spans="1:7" x14ac:dyDescent="0.3">
      <c r="A1034" t="s">
        <v>296</v>
      </c>
      <c r="B1034" s="5">
        <v>41298</v>
      </c>
      <c r="C1034">
        <v>-145.05000000000001</v>
      </c>
      <c r="D1034" t="s">
        <v>305</v>
      </c>
      <c r="E1034" t="s">
        <v>442</v>
      </c>
      <c r="G1034" t="s">
        <v>343</v>
      </c>
    </row>
    <row r="1035" spans="1:7" x14ac:dyDescent="0.3">
      <c r="A1035" t="s">
        <v>296</v>
      </c>
      <c r="B1035" s="5">
        <v>41298</v>
      </c>
      <c r="C1035">
        <v>-36</v>
      </c>
      <c r="D1035" t="s">
        <v>305</v>
      </c>
      <c r="E1035" t="s">
        <v>1152</v>
      </c>
      <c r="G1035" t="s">
        <v>317</v>
      </c>
    </row>
    <row r="1036" spans="1:7" x14ac:dyDescent="0.3">
      <c r="A1036" t="s">
        <v>296</v>
      </c>
      <c r="B1036" s="5">
        <v>41298</v>
      </c>
      <c r="C1036">
        <v>-25.3</v>
      </c>
      <c r="D1036" t="s">
        <v>305</v>
      </c>
      <c r="E1036" t="s">
        <v>435</v>
      </c>
      <c r="G1036" t="s">
        <v>343</v>
      </c>
    </row>
    <row r="1037" spans="1:7" x14ac:dyDescent="0.3">
      <c r="A1037" t="s">
        <v>296</v>
      </c>
      <c r="B1037" s="5">
        <v>41299</v>
      </c>
      <c r="C1037">
        <v>-114</v>
      </c>
      <c r="D1037" t="s">
        <v>305</v>
      </c>
      <c r="E1037" t="s">
        <v>1257</v>
      </c>
      <c r="G1037" t="s">
        <v>359</v>
      </c>
    </row>
    <row r="1038" spans="1:7" x14ac:dyDescent="0.3">
      <c r="A1038" t="s">
        <v>296</v>
      </c>
      <c r="B1038" s="5">
        <v>41299</v>
      </c>
      <c r="C1038">
        <v>-36</v>
      </c>
      <c r="D1038" t="s">
        <v>305</v>
      </c>
      <c r="E1038" t="s">
        <v>1152</v>
      </c>
      <c r="G1038" t="s">
        <v>317</v>
      </c>
    </row>
    <row r="1039" spans="1:7" x14ac:dyDescent="0.3">
      <c r="A1039" t="s">
        <v>296</v>
      </c>
      <c r="B1039" s="5">
        <v>41299</v>
      </c>
      <c r="C1039">
        <v>-15.98</v>
      </c>
      <c r="D1039" t="s">
        <v>305</v>
      </c>
      <c r="E1039" t="s">
        <v>1258</v>
      </c>
      <c r="G1039" t="s">
        <v>334</v>
      </c>
    </row>
    <row r="1040" spans="1:7" x14ac:dyDescent="0.3">
      <c r="A1040" t="s">
        <v>296</v>
      </c>
      <c r="B1040" s="5">
        <v>41299</v>
      </c>
      <c r="C1040">
        <v>-8.0299999999999994</v>
      </c>
      <c r="D1040" t="s">
        <v>305</v>
      </c>
      <c r="E1040" t="s">
        <v>1259</v>
      </c>
      <c r="G1040" t="s">
        <v>334</v>
      </c>
    </row>
    <row r="1041" spans="1:9" x14ac:dyDescent="0.3">
      <c r="A1041" t="s">
        <v>296</v>
      </c>
      <c r="B1041" s="5">
        <v>41299</v>
      </c>
      <c r="C1041">
        <v>-6.71</v>
      </c>
      <c r="D1041" t="s">
        <v>305</v>
      </c>
      <c r="E1041" t="s">
        <v>437</v>
      </c>
      <c r="G1041" t="s">
        <v>343</v>
      </c>
    </row>
    <row r="1042" spans="1:9" x14ac:dyDescent="0.3">
      <c r="A1042" t="s">
        <v>296</v>
      </c>
      <c r="B1042" s="5">
        <v>41300</v>
      </c>
      <c r="C1042">
        <v>-4.93</v>
      </c>
      <c r="D1042" t="s">
        <v>305</v>
      </c>
      <c r="E1042" t="s">
        <v>1260</v>
      </c>
      <c r="F1042" t="s">
        <v>1261</v>
      </c>
      <c r="G1042" t="s">
        <v>458</v>
      </c>
    </row>
    <row r="1043" spans="1:9" x14ac:dyDescent="0.3">
      <c r="A1043" t="s">
        <v>296</v>
      </c>
      <c r="B1043" s="5">
        <v>41301</v>
      </c>
      <c r="C1043">
        <v>25</v>
      </c>
      <c r="D1043" t="s">
        <v>305</v>
      </c>
      <c r="E1043" t="s">
        <v>438</v>
      </c>
      <c r="G1043" t="s">
        <v>14</v>
      </c>
    </row>
    <row r="1044" spans="1:9" x14ac:dyDescent="0.3">
      <c r="A1044" t="s">
        <v>296</v>
      </c>
      <c r="B1044" s="5">
        <v>41301</v>
      </c>
      <c r="C1044">
        <v>64.680000000000007</v>
      </c>
      <c r="D1044" t="s">
        <v>305</v>
      </c>
      <c r="E1044" t="s">
        <v>647</v>
      </c>
      <c r="F1044" t="s">
        <v>1262</v>
      </c>
      <c r="G1044" t="s">
        <v>650</v>
      </c>
    </row>
    <row r="1045" spans="1:9" x14ac:dyDescent="0.3">
      <c r="A1045" t="s">
        <v>296</v>
      </c>
      <c r="B1045" s="5">
        <v>41301</v>
      </c>
      <c r="C1045">
        <v>-34</v>
      </c>
      <c r="D1045" t="s">
        <v>305</v>
      </c>
      <c r="E1045" t="s">
        <v>1159</v>
      </c>
      <c r="G1045" t="s">
        <v>404</v>
      </c>
    </row>
    <row r="1046" spans="1:9" x14ac:dyDescent="0.3">
      <c r="A1046" t="s">
        <v>296</v>
      </c>
      <c r="B1046" s="5">
        <v>41301</v>
      </c>
      <c r="C1046">
        <v>-9.85</v>
      </c>
      <c r="D1046" t="s">
        <v>305</v>
      </c>
      <c r="E1046" t="s">
        <v>647</v>
      </c>
      <c r="F1046" t="s">
        <v>1263</v>
      </c>
      <c r="G1046" t="s">
        <v>359</v>
      </c>
    </row>
    <row r="1047" spans="1:9" x14ac:dyDescent="0.3">
      <c r="A1047" t="s">
        <v>296</v>
      </c>
      <c r="B1047" s="5">
        <v>41302</v>
      </c>
      <c r="C1047">
        <v>-32.82</v>
      </c>
      <c r="D1047" t="s">
        <v>305</v>
      </c>
      <c r="E1047" t="s">
        <v>433</v>
      </c>
      <c r="G1047" t="s">
        <v>343</v>
      </c>
    </row>
    <row r="1048" spans="1:9" x14ac:dyDescent="0.3">
      <c r="A1048" t="s">
        <v>296</v>
      </c>
      <c r="B1048" s="5">
        <v>41304</v>
      </c>
      <c r="C1048">
        <v>-9.69</v>
      </c>
      <c r="D1048" t="s">
        <v>305</v>
      </c>
      <c r="E1048" t="s">
        <v>439</v>
      </c>
      <c r="G1048" t="s">
        <v>334</v>
      </c>
    </row>
    <row r="1049" spans="1:9" x14ac:dyDescent="0.3">
      <c r="A1049" t="s">
        <v>296</v>
      </c>
      <c r="B1049" s="5">
        <v>41306</v>
      </c>
      <c r="C1049">
        <v>-7.98</v>
      </c>
      <c r="D1049" t="s">
        <v>305</v>
      </c>
      <c r="E1049" t="s">
        <v>645</v>
      </c>
      <c r="G1049" t="s">
        <v>334</v>
      </c>
    </row>
    <row r="1050" spans="1:9" x14ac:dyDescent="0.3">
      <c r="A1050" t="s">
        <v>296</v>
      </c>
      <c r="B1050" s="5">
        <v>41307</v>
      </c>
      <c r="C1050">
        <v>-18.600000000000001</v>
      </c>
      <c r="D1050" t="s">
        <v>305</v>
      </c>
      <c r="E1050" t="s">
        <v>452</v>
      </c>
      <c r="G1050" t="s">
        <v>453</v>
      </c>
      <c r="I1050" t="s">
        <v>272</v>
      </c>
    </row>
    <row r="1051" spans="1:9" x14ac:dyDescent="0.3">
      <c r="A1051" t="s">
        <v>296</v>
      </c>
      <c r="B1051" s="5">
        <v>41307</v>
      </c>
      <c r="C1051">
        <v>-58.2</v>
      </c>
      <c r="D1051" t="s">
        <v>305</v>
      </c>
      <c r="E1051" t="s">
        <v>452</v>
      </c>
      <c r="G1051" t="s">
        <v>454</v>
      </c>
      <c r="I1051" t="s">
        <v>272</v>
      </c>
    </row>
    <row r="1052" spans="1:9" x14ac:dyDescent="0.3">
      <c r="A1052" t="s">
        <v>296</v>
      </c>
      <c r="B1052" s="5">
        <v>41307</v>
      </c>
      <c r="C1052">
        <v>-45.9</v>
      </c>
      <c r="D1052" t="s">
        <v>305</v>
      </c>
      <c r="E1052" t="s">
        <v>452</v>
      </c>
      <c r="G1052" t="s">
        <v>455</v>
      </c>
      <c r="I1052" t="s">
        <v>272</v>
      </c>
    </row>
    <row r="1053" spans="1:9" x14ac:dyDescent="0.3">
      <c r="A1053" t="s">
        <v>296</v>
      </c>
      <c r="B1053" s="5">
        <v>41307</v>
      </c>
      <c r="C1053">
        <v>-43.78</v>
      </c>
      <c r="D1053" t="s">
        <v>305</v>
      </c>
      <c r="E1053" t="s">
        <v>1264</v>
      </c>
      <c r="G1053" t="s">
        <v>334</v>
      </c>
    </row>
    <row r="1054" spans="1:9" x14ac:dyDescent="0.3">
      <c r="A1054" t="s">
        <v>296</v>
      </c>
      <c r="B1054" s="5">
        <v>41307</v>
      </c>
      <c r="C1054">
        <v>-32</v>
      </c>
      <c r="D1054" t="s">
        <v>305</v>
      </c>
      <c r="E1054" t="s">
        <v>1265</v>
      </c>
      <c r="G1054" t="s">
        <v>17</v>
      </c>
    </row>
    <row r="1055" spans="1:9" x14ac:dyDescent="0.3">
      <c r="A1055" t="s">
        <v>296</v>
      </c>
      <c r="B1055" s="5">
        <v>41307</v>
      </c>
      <c r="C1055">
        <v>-31.37</v>
      </c>
      <c r="D1055" t="s">
        <v>305</v>
      </c>
      <c r="E1055" t="s">
        <v>1205</v>
      </c>
      <c r="G1055" t="s">
        <v>334</v>
      </c>
    </row>
    <row r="1056" spans="1:9" x14ac:dyDescent="0.3">
      <c r="A1056" t="s">
        <v>296</v>
      </c>
      <c r="B1056" s="5">
        <v>41307</v>
      </c>
      <c r="C1056">
        <v>-27.54</v>
      </c>
      <c r="D1056" t="s">
        <v>305</v>
      </c>
      <c r="E1056" t="s">
        <v>1266</v>
      </c>
      <c r="G1056" t="s">
        <v>334</v>
      </c>
    </row>
    <row r="1057" spans="1:7" x14ac:dyDescent="0.3">
      <c r="A1057" t="s">
        <v>296</v>
      </c>
      <c r="B1057" s="5">
        <v>41308</v>
      </c>
      <c r="C1057">
        <v>-85.48</v>
      </c>
      <c r="D1057" t="s">
        <v>305</v>
      </c>
      <c r="E1057" t="s">
        <v>442</v>
      </c>
      <c r="G1057" t="s">
        <v>343</v>
      </c>
    </row>
    <row r="1058" spans="1:7" x14ac:dyDescent="0.3">
      <c r="A1058" t="s">
        <v>296</v>
      </c>
      <c r="B1058" s="5">
        <v>41308</v>
      </c>
      <c r="C1058">
        <v>-84.67</v>
      </c>
      <c r="D1058" t="s">
        <v>305</v>
      </c>
      <c r="E1058" t="s">
        <v>1151</v>
      </c>
      <c r="G1058" t="s">
        <v>343</v>
      </c>
    </row>
    <row r="1059" spans="1:7" x14ac:dyDescent="0.3">
      <c r="A1059" t="s">
        <v>296</v>
      </c>
      <c r="B1059" s="5">
        <v>41308</v>
      </c>
      <c r="C1059">
        <v>-25.54</v>
      </c>
      <c r="D1059" t="s">
        <v>305</v>
      </c>
      <c r="E1059" t="s">
        <v>442</v>
      </c>
      <c r="G1059" t="s">
        <v>343</v>
      </c>
    </row>
    <row r="1060" spans="1:7" x14ac:dyDescent="0.3">
      <c r="A1060" t="s">
        <v>296</v>
      </c>
      <c r="B1060" s="5">
        <v>41308</v>
      </c>
      <c r="C1060">
        <v>-14.05</v>
      </c>
      <c r="D1060" t="s">
        <v>305</v>
      </c>
      <c r="E1060" t="s">
        <v>1267</v>
      </c>
      <c r="G1060" t="s">
        <v>334</v>
      </c>
    </row>
    <row r="1061" spans="1:7" x14ac:dyDescent="0.3">
      <c r="A1061" t="s">
        <v>296</v>
      </c>
      <c r="B1061" s="5">
        <v>41309</v>
      </c>
      <c r="C1061" s="4">
        <v>9450.8799999999992</v>
      </c>
      <c r="D1061" t="s">
        <v>305</v>
      </c>
      <c r="E1061" t="s">
        <v>322</v>
      </c>
      <c r="F1061" t="s">
        <v>1268</v>
      </c>
      <c r="G1061" t="s">
        <v>9</v>
      </c>
    </row>
    <row r="1062" spans="1:7" x14ac:dyDescent="0.3">
      <c r="A1062" t="s">
        <v>296</v>
      </c>
      <c r="B1062" s="5">
        <v>41309</v>
      </c>
      <c r="C1062">
        <v>-21.12</v>
      </c>
      <c r="D1062" t="s">
        <v>305</v>
      </c>
      <c r="E1062" t="s">
        <v>439</v>
      </c>
      <c r="G1062" t="s">
        <v>334</v>
      </c>
    </row>
    <row r="1063" spans="1:7" x14ac:dyDescent="0.3">
      <c r="A1063" t="s">
        <v>296</v>
      </c>
      <c r="B1063" s="5">
        <v>41309</v>
      </c>
      <c r="C1063">
        <v>-14.23</v>
      </c>
      <c r="D1063" t="s">
        <v>305</v>
      </c>
      <c r="E1063" t="s">
        <v>1269</v>
      </c>
      <c r="G1063" t="s">
        <v>334</v>
      </c>
    </row>
    <row r="1064" spans="1:7" x14ac:dyDescent="0.3">
      <c r="A1064" t="s">
        <v>296</v>
      </c>
      <c r="B1064" s="5">
        <v>41309</v>
      </c>
      <c r="C1064">
        <v>-12</v>
      </c>
      <c r="D1064" t="s">
        <v>305</v>
      </c>
      <c r="E1064" t="s">
        <v>1270</v>
      </c>
      <c r="G1064" t="s">
        <v>458</v>
      </c>
    </row>
    <row r="1065" spans="1:7" x14ac:dyDescent="0.3">
      <c r="A1065" t="s">
        <v>296</v>
      </c>
      <c r="B1065" s="5">
        <v>41309</v>
      </c>
      <c r="C1065">
        <v>-9.3000000000000007</v>
      </c>
      <c r="D1065" t="s">
        <v>305</v>
      </c>
      <c r="E1065" t="s">
        <v>645</v>
      </c>
      <c r="G1065" t="s">
        <v>334</v>
      </c>
    </row>
    <row r="1066" spans="1:7" x14ac:dyDescent="0.3">
      <c r="A1066" t="s">
        <v>296</v>
      </c>
      <c r="B1066" s="5">
        <v>41309</v>
      </c>
      <c r="C1066">
        <v>-3.39</v>
      </c>
      <c r="D1066" t="s">
        <v>305</v>
      </c>
      <c r="E1066" t="s">
        <v>437</v>
      </c>
      <c r="G1066" t="s">
        <v>343</v>
      </c>
    </row>
    <row r="1067" spans="1:7" x14ac:dyDescent="0.3">
      <c r="A1067" t="s">
        <v>296</v>
      </c>
      <c r="B1067" s="5">
        <v>41311</v>
      </c>
      <c r="C1067">
        <v>-90</v>
      </c>
      <c r="D1067" t="s">
        <v>305</v>
      </c>
      <c r="E1067" t="s">
        <v>459</v>
      </c>
      <c r="F1067" t="s">
        <v>1271</v>
      </c>
      <c r="G1067" t="s">
        <v>348</v>
      </c>
    </row>
    <row r="1068" spans="1:7" x14ac:dyDescent="0.3">
      <c r="A1068" t="s">
        <v>296</v>
      </c>
      <c r="B1068" s="5">
        <v>41312</v>
      </c>
      <c r="C1068">
        <v>-12.2</v>
      </c>
      <c r="D1068" t="s">
        <v>305</v>
      </c>
      <c r="E1068" t="s">
        <v>440</v>
      </c>
      <c r="G1068" t="s">
        <v>441</v>
      </c>
    </row>
    <row r="1069" spans="1:7" x14ac:dyDescent="0.3">
      <c r="A1069" t="s">
        <v>296</v>
      </c>
      <c r="B1069" s="5">
        <v>41314</v>
      </c>
      <c r="C1069">
        <v>4.99</v>
      </c>
      <c r="D1069" t="s">
        <v>305</v>
      </c>
      <c r="E1069" t="s">
        <v>442</v>
      </c>
      <c r="F1069" t="s">
        <v>1272</v>
      </c>
      <c r="G1069" t="s">
        <v>614</v>
      </c>
    </row>
    <row r="1070" spans="1:7" x14ac:dyDescent="0.3">
      <c r="A1070" t="s">
        <v>296</v>
      </c>
      <c r="B1070" s="5">
        <v>41314</v>
      </c>
      <c r="C1070">
        <v>-89.79</v>
      </c>
      <c r="D1070" t="s">
        <v>305</v>
      </c>
      <c r="E1070" t="s">
        <v>1273</v>
      </c>
      <c r="G1070" t="s">
        <v>334</v>
      </c>
    </row>
    <row r="1071" spans="1:7" x14ac:dyDescent="0.3">
      <c r="A1071" t="s">
        <v>296</v>
      </c>
      <c r="B1071" s="5">
        <v>41314</v>
      </c>
      <c r="C1071">
        <v>-29.86</v>
      </c>
      <c r="D1071" t="s">
        <v>305</v>
      </c>
      <c r="E1071" t="s">
        <v>448</v>
      </c>
      <c r="G1071" t="s">
        <v>343</v>
      </c>
    </row>
    <row r="1072" spans="1:7" x14ac:dyDescent="0.3">
      <c r="A1072" t="s">
        <v>296</v>
      </c>
      <c r="B1072" s="5">
        <v>41314</v>
      </c>
      <c r="C1072">
        <v>-10.9</v>
      </c>
      <c r="D1072" t="s">
        <v>305</v>
      </c>
      <c r="E1072" t="s">
        <v>446</v>
      </c>
      <c r="F1072" t="s">
        <v>1274</v>
      </c>
      <c r="G1072" t="s">
        <v>20</v>
      </c>
    </row>
    <row r="1073" spans="1:9" x14ac:dyDescent="0.3">
      <c r="A1073" t="s">
        <v>296</v>
      </c>
      <c r="B1073" s="5">
        <v>41314</v>
      </c>
      <c r="C1073">
        <v>-10.11</v>
      </c>
      <c r="D1073" t="s">
        <v>305</v>
      </c>
      <c r="E1073" t="s">
        <v>1165</v>
      </c>
      <c r="G1073" t="s">
        <v>20</v>
      </c>
    </row>
    <row r="1074" spans="1:9" x14ac:dyDescent="0.3">
      <c r="A1074" t="s">
        <v>296</v>
      </c>
      <c r="B1074" s="5">
        <v>41315</v>
      </c>
      <c r="C1074">
        <v>13.13</v>
      </c>
      <c r="D1074" t="s">
        <v>305</v>
      </c>
      <c r="E1074" t="s">
        <v>372</v>
      </c>
      <c r="F1074" t="s">
        <v>1275</v>
      </c>
      <c r="G1074" t="s">
        <v>614</v>
      </c>
    </row>
    <row r="1075" spans="1:9" x14ac:dyDescent="0.3">
      <c r="A1075" t="s">
        <v>296</v>
      </c>
      <c r="B1075" s="5">
        <v>41315</v>
      </c>
      <c r="C1075">
        <v>-21.52</v>
      </c>
      <c r="D1075" t="s">
        <v>305</v>
      </c>
      <c r="E1075" t="s">
        <v>1276</v>
      </c>
      <c r="F1075" t="s">
        <v>1277</v>
      </c>
      <c r="G1075" t="s">
        <v>69</v>
      </c>
    </row>
    <row r="1076" spans="1:9" x14ac:dyDescent="0.3">
      <c r="A1076" t="s">
        <v>296</v>
      </c>
      <c r="B1076" s="5">
        <v>41316</v>
      </c>
      <c r="C1076">
        <v>-77.510000000000005</v>
      </c>
      <c r="D1076" t="s">
        <v>305</v>
      </c>
      <c r="E1076" t="s">
        <v>1151</v>
      </c>
      <c r="G1076" t="s">
        <v>343</v>
      </c>
    </row>
    <row r="1077" spans="1:9" x14ac:dyDescent="0.3">
      <c r="A1077" t="s">
        <v>296</v>
      </c>
      <c r="B1077" s="5">
        <v>41316</v>
      </c>
      <c r="C1077">
        <v>-6.77</v>
      </c>
      <c r="D1077" t="s">
        <v>305</v>
      </c>
      <c r="E1077" t="s">
        <v>437</v>
      </c>
      <c r="G1077" t="s">
        <v>343</v>
      </c>
    </row>
    <row r="1078" spans="1:9" x14ac:dyDescent="0.3">
      <c r="A1078" t="s">
        <v>296</v>
      </c>
      <c r="B1078" s="5">
        <v>41317</v>
      </c>
      <c r="C1078">
        <v>-63.02</v>
      </c>
      <c r="D1078" t="s">
        <v>305</v>
      </c>
      <c r="E1078" t="s">
        <v>442</v>
      </c>
      <c r="G1078" t="s">
        <v>343</v>
      </c>
    </row>
    <row r="1079" spans="1:9" x14ac:dyDescent="0.3">
      <c r="A1079" t="s">
        <v>296</v>
      </c>
      <c r="B1079" s="5">
        <v>41317</v>
      </c>
      <c r="C1079">
        <v>-35.409999999999997</v>
      </c>
      <c r="D1079" t="s">
        <v>305</v>
      </c>
      <c r="E1079" t="s">
        <v>460</v>
      </c>
      <c r="F1079" t="s">
        <v>1278</v>
      </c>
      <c r="G1079" t="s">
        <v>20</v>
      </c>
    </row>
    <row r="1080" spans="1:9" x14ac:dyDescent="0.3">
      <c r="A1080" t="s">
        <v>296</v>
      </c>
      <c r="B1080" s="5">
        <v>41317</v>
      </c>
      <c r="C1080">
        <v>-3.69</v>
      </c>
      <c r="D1080" t="s">
        <v>305</v>
      </c>
      <c r="E1080" t="s">
        <v>437</v>
      </c>
      <c r="G1080" t="s">
        <v>343</v>
      </c>
    </row>
    <row r="1081" spans="1:9" x14ac:dyDescent="0.3">
      <c r="A1081" t="s">
        <v>296</v>
      </c>
      <c r="B1081" s="5">
        <v>41319</v>
      </c>
      <c r="C1081">
        <v>-24.33</v>
      </c>
      <c r="D1081" t="s">
        <v>305</v>
      </c>
      <c r="E1081" t="s">
        <v>442</v>
      </c>
      <c r="G1081" t="s">
        <v>343</v>
      </c>
    </row>
    <row r="1082" spans="1:9" x14ac:dyDescent="0.3">
      <c r="A1082" t="s">
        <v>296</v>
      </c>
      <c r="B1082" s="5">
        <v>41319</v>
      </c>
      <c r="C1082">
        <v>-4.99</v>
      </c>
      <c r="D1082" t="s">
        <v>305</v>
      </c>
      <c r="E1082" t="s">
        <v>442</v>
      </c>
      <c r="G1082" t="s">
        <v>614</v>
      </c>
    </row>
    <row r="1083" spans="1:9" x14ac:dyDescent="0.3">
      <c r="A1083" t="s">
        <v>296</v>
      </c>
      <c r="B1083" s="5">
        <v>41319</v>
      </c>
      <c r="C1083">
        <v>-4.99</v>
      </c>
      <c r="D1083" t="s">
        <v>305</v>
      </c>
      <c r="E1083" t="s">
        <v>433</v>
      </c>
      <c r="G1083" t="s">
        <v>343</v>
      </c>
    </row>
    <row r="1084" spans="1:9" x14ac:dyDescent="0.3">
      <c r="A1084" t="s">
        <v>296</v>
      </c>
      <c r="B1084" s="5">
        <v>41321</v>
      </c>
      <c r="C1084">
        <v>-53.37</v>
      </c>
      <c r="D1084" t="s">
        <v>305</v>
      </c>
      <c r="E1084" t="s">
        <v>443</v>
      </c>
      <c r="G1084" t="s">
        <v>343</v>
      </c>
    </row>
    <row r="1085" spans="1:9" x14ac:dyDescent="0.3">
      <c r="A1085" t="s">
        <v>296</v>
      </c>
      <c r="B1085" s="5">
        <v>41321</v>
      </c>
      <c r="C1085">
        <v>-12</v>
      </c>
      <c r="D1085" t="s">
        <v>305</v>
      </c>
      <c r="E1085" t="s">
        <v>461</v>
      </c>
      <c r="F1085" t="s">
        <v>1279</v>
      </c>
      <c r="G1085" t="s">
        <v>458</v>
      </c>
      <c r="I1085" t="s">
        <v>272</v>
      </c>
    </row>
    <row r="1086" spans="1:9" x14ac:dyDescent="0.3">
      <c r="A1086" t="s">
        <v>296</v>
      </c>
      <c r="B1086" s="5">
        <v>41321</v>
      </c>
      <c r="C1086">
        <v>-9.32</v>
      </c>
      <c r="D1086" t="s">
        <v>305</v>
      </c>
      <c r="E1086" t="s">
        <v>461</v>
      </c>
      <c r="G1086" t="s">
        <v>334</v>
      </c>
      <c r="I1086" t="s">
        <v>272</v>
      </c>
    </row>
    <row r="1087" spans="1:9" x14ac:dyDescent="0.3">
      <c r="A1087" t="s">
        <v>296</v>
      </c>
      <c r="B1087" s="5">
        <v>41321</v>
      </c>
      <c r="C1087">
        <v>-8.75</v>
      </c>
      <c r="D1087" t="s">
        <v>305</v>
      </c>
      <c r="E1087" t="s">
        <v>1170</v>
      </c>
      <c r="G1087" t="s">
        <v>73</v>
      </c>
    </row>
    <row r="1088" spans="1:9" x14ac:dyDescent="0.3">
      <c r="A1088" t="s">
        <v>296</v>
      </c>
      <c r="B1088" s="5">
        <v>41321</v>
      </c>
      <c r="C1088">
        <v>-5.14</v>
      </c>
      <c r="D1088" t="s">
        <v>305</v>
      </c>
      <c r="E1088" t="s">
        <v>462</v>
      </c>
      <c r="G1088" t="s">
        <v>441</v>
      </c>
    </row>
    <row r="1089" spans="1:9" x14ac:dyDescent="0.3">
      <c r="A1089" t="s">
        <v>296</v>
      </c>
      <c r="B1089" s="5">
        <v>41322</v>
      </c>
      <c r="C1089">
        <v>-18.54</v>
      </c>
      <c r="D1089" t="s">
        <v>305</v>
      </c>
      <c r="E1089" t="s">
        <v>446</v>
      </c>
      <c r="F1089" t="s">
        <v>996</v>
      </c>
      <c r="G1089" t="s">
        <v>346</v>
      </c>
      <c r="I1089" t="s">
        <v>272</v>
      </c>
    </row>
    <row r="1090" spans="1:9" x14ac:dyDescent="0.3">
      <c r="A1090" t="s">
        <v>296</v>
      </c>
      <c r="B1090" s="5">
        <v>41322</v>
      </c>
      <c r="C1090">
        <v>-14.22</v>
      </c>
      <c r="D1090" t="s">
        <v>305</v>
      </c>
      <c r="E1090" t="s">
        <v>446</v>
      </c>
      <c r="F1090" t="s">
        <v>1280</v>
      </c>
      <c r="G1090" t="s">
        <v>20</v>
      </c>
      <c r="I1090" t="s">
        <v>272</v>
      </c>
    </row>
    <row r="1091" spans="1:9" x14ac:dyDescent="0.3">
      <c r="A1091" t="s">
        <v>296</v>
      </c>
      <c r="B1091" s="5">
        <v>41322</v>
      </c>
      <c r="C1091">
        <v>-7.65</v>
      </c>
      <c r="D1091" t="s">
        <v>305</v>
      </c>
      <c r="E1091" t="s">
        <v>448</v>
      </c>
      <c r="F1091" t="s">
        <v>1281</v>
      </c>
      <c r="G1091" t="s">
        <v>343</v>
      </c>
    </row>
    <row r="1092" spans="1:9" x14ac:dyDescent="0.3">
      <c r="A1092" t="s">
        <v>296</v>
      </c>
      <c r="B1092" s="5">
        <v>41322</v>
      </c>
      <c r="C1092">
        <v>-44.88</v>
      </c>
      <c r="D1092" t="s">
        <v>305</v>
      </c>
      <c r="E1092" t="s">
        <v>442</v>
      </c>
      <c r="F1092" t="s">
        <v>407</v>
      </c>
      <c r="G1092" t="s">
        <v>343</v>
      </c>
    </row>
    <row r="1093" spans="1:9" x14ac:dyDescent="0.3">
      <c r="A1093" t="s">
        <v>296</v>
      </c>
      <c r="B1093" s="5">
        <v>41323</v>
      </c>
      <c r="C1093">
        <v>-27</v>
      </c>
      <c r="D1093" t="s">
        <v>305</v>
      </c>
      <c r="E1093" t="s">
        <v>463</v>
      </c>
      <c r="F1093" t="s">
        <v>1282</v>
      </c>
      <c r="G1093" t="s">
        <v>458</v>
      </c>
    </row>
    <row r="1094" spans="1:9" x14ac:dyDescent="0.3">
      <c r="A1094" t="s">
        <v>296</v>
      </c>
      <c r="B1094" s="5">
        <v>41323</v>
      </c>
      <c r="C1094">
        <v>-47.01</v>
      </c>
      <c r="D1094" t="s">
        <v>305</v>
      </c>
      <c r="E1094" t="s">
        <v>1150</v>
      </c>
      <c r="F1094" t="s">
        <v>1040</v>
      </c>
      <c r="G1094" t="s">
        <v>417</v>
      </c>
    </row>
    <row r="1095" spans="1:9" x14ac:dyDescent="0.3">
      <c r="A1095" t="s">
        <v>296</v>
      </c>
      <c r="B1095" s="5">
        <v>41323</v>
      </c>
      <c r="C1095">
        <v>-2.2599999999999998</v>
      </c>
      <c r="D1095" t="s">
        <v>305</v>
      </c>
      <c r="E1095" t="s">
        <v>437</v>
      </c>
      <c r="G1095" t="s">
        <v>343</v>
      </c>
    </row>
    <row r="1096" spans="1:9" x14ac:dyDescent="0.3">
      <c r="A1096" t="s">
        <v>296</v>
      </c>
      <c r="B1096" s="5">
        <v>41323</v>
      </c>
      <c r="C1096">
        <v>-3</v>
      </c>
      <c r="D1096" t="s">
        <v>305</v>
      </c>
      <c r="E1096" t="s">
        <v>440</v>
      </c>
      <c r="F1096" t="s">
        <v>1283</v>
      </c>
      <c r="G1096" t="s">
        <v>441</v>
      </c>
    </row>
    <row r="1097" spans="1:9" x14ac:dyDescent="0.3">
      <c r="A1097" t="s">
        <v>296</v>
      </c>
      <c r="B1097" s="5">
        <v>41325</v>
      </c>
      <c r="C1097">
        <v>-6</v>
      </c>
      <c r="D1097" t="s">
        <v>305</v>
      </c>
      <c r="E1097" t="s">
        <v>1284</v>
      </c>
      <c r="F1097" t="s">
        <v>1285</v>
      </c>
      <c r="G1097" t="s">
        <v>441</v>
      </c>
    </row>
    <row r="1098" spans="1:9" x14ac:dyDescent="0.3">
      <c r="A1098" t="s">
        <v>296</v>
      </c>
      <c r="B1098" s="5">
        <v>41325</v>
      </c>
      <c r="C1098">
        <v>-65.680000000000007</v>
      </c>
      <c r="D1098" t="s">
        <v>305</v>
      </c>
      <c r="E1098" t="s">
        <v>1151</v>
      </c>
      <c r="F1098" t="s">
        <v>407</v>
      </c>
      <c r="G1098" t="s">
        <v>343</v>
      </c>
    </row>
    <row r="1099" spans="1:9" x14ac:dyDescent="0.3">
      <c r="A1099" t="s">
        <v>296</v>
      </c>
      <c r="B1099" s="5">
        <v>41325</v>
      </c>
      <c r="C1099">
        <v>-6.01</v>
      </c>
      <c r="D1099" t="s">
        <v>305</v>
      </c>
      <c r="E1099" t="s">
        <v>645</v>
      </c>
      <c r="F1099" t="s">
        <v>1286</v>
      </c>
      <c r="G1099" t="s">
        <v>334</v>
      </c>
    </row>
    <row r="1100" spans="1:9" x14ac:dyDescent="0.3">
      <c r="A1100" t="s">
        <v>296</v>
      </c>
      <c r="B1100" s="5">
        <v>41325</v>
      </c>
      <c r="C1100">
        <v>-5.78</v>
      </c>
      <c r="D1100" t="s">
        <v>305</v>
      </c>
      <c r="E1100" t="s">
        <v>437</v>
      </c>
      <c r="G1100" t="s">
        <v>343</v>
      </c>
    </row>
    <row r="1101" spans="1:9" x14ac:dyDescent="0.3">
      <c r="A1101" t="s">
        <v>296</v>
      </c>
      <c r="B1101" s="5">
        <v>41325</v>
      </c>
      <c r="C1101">
        <v>-9.3000000000000007</v>
      </c>
      <c r="D1101" t="s">
        <v>305</v>
      </c>
      <c r="E1101" t="s">
        <v>645</v>
      </c>
      <c r="F1101" t="s">
        <v>1286</v>
      </c>
      <c r="G1101" t="s">
        <v>334</v>
      </c>
    </row>
    <row r="1102" spans="1:9" x14ac:dyDescent="0.3">
      <c r="A1102" t="s">
        <v>296</v>
      </c>
      <c r="B1102" s="5">
        <v>41326</v>
      </c>
      <c r="C1102">
        <v>-3.25</v>
      </c>
      <c r="D1102" t="s">
        <v>305</v>
      </c>
      <c r="E1102" t="s">
        <v>462</v>
      </c>
      <c r="F1102" t="s">
        <v>1287</v>
      </c>
      <c r="G1102" t="s">
        <v>441</v>
      </c>
    </row>
    <row r="1103" spans="1:9" x14ac:dyDescent="0.3">
      <c r="A1103" t="s">
        <v>296</v>
      </c>
      <c r="B1103" s="5">
        <v>41326</v>
      </c>
      <c r="C1103">
        <v>-4</v>
      </c>
      <c r="D1103" t="s">
        <v>305</v>
      </c>
      <c r="E1103" t="s">
        <v>1284</v>
      </c>
      <c r="F1103" t="s">
        <v>1285</v>
      </c>
      <c r="G1103" t="s">
        <v>441</v>
      </c>
    </row>
    <row r="1104" spans="1:9" x14ac:dyDescent="0.3">
      <c r="A1104" t="s">
        <v>296</v>
      </c>
      <c r="B1104" s="5">
        <v>41327</v>
      </c>
      <c r="C1104">
        <v>25</v>
      </c>
      <c r="D1104" t="s">
        <v>305</v>
      </c>
      <c r="E1104" t="s">
        <v>438</v>
      </c>
      <c r="F1104" t="s">
        <v>1288</v>
      </c>
      <c r="G1104" t="s">
        <v>14</v>
      </c>
    </row>
    <row r="1105" spans="1:9" x14ac:dyDescent="0.3">
      <c r="A1105" t="s">
        <v>296</v>
      </c>
      <c r="B1105" s="5">
        <v>41328</v>
      </c>
      <c r="C1105">
        <v>-16.41</v>
      </c>
      <c r="D1105" t="s">
        <v>305</v>
      </c>
      <c r="E1105" t="s">
        <v>442</v>
      </c>
      <c r="F1105" t="s">
        <v>1289</v>
      </c>
      <c r="G1105" t="s">
        <v>614</v>
      </c>
    </row>
    <row r="1106" spans="1:9" x14ac:dyDescent="0.3">
      <c r="A1106" t="s">
        <v>296</v>
      </c>
      <c r="B1106" s="5">
        <v>41328</v>
      </c>
      <c r="C1106">
        <v>-36.799999999999997</v>
      </c>
      <c r="D1106" t="s">
        <v>305</v>
      </c>
      <c r="E1106" t="s">
        <v>464</v>
      </c>
      <c r="F1106" t="s">
        <v>1290</v>
      </c>
      <c r="G1106" t="s">
        <v>404</v>
      </c>
    </row>
    <row r="1107" spans="1:9" x14ac:dyDescent="0.3">
      <c r="A1107" t="s">
        <v>296</v>
      </c>
      <c r="B1107" s="5">
        <v>41328</v>
      </c>
      <c r="C1107">
        <v>-95</v>
      </c>
      <c r="D1107" t="s">
        <v>305</v>
      </c>
      <c r="E1107" t="s">
        <v>463</v>
      </c>
      <c r="F1107" t="s">
        <v>996</v>
      </c>
      <c r="G1107" t="s">
        <v>458</v>
      </c>
    </row>
    <row r="1108" spans="1:9" x14ac:dyDescent="0.3">
      <c r="A1108" t="s">
        <v>296</v>
      </c>
      <c r="B1108" s="5">
        <v>41328</v>
      </c>
      <c r="C1108">
        <v>-80.739999999999995</v>
      </c>
      <c r="D1108" t="s">
        <v>305</v>
      </c>
      <c r="E1108" t="s">
        <v>442</v>
      </c>
      <c r="F1108" t="s">
        <v>407</v>
      </c>
      <c r="G1108" t="s">
        <v>343</v>
      </c>
    </row>
    <row r="1109" spans="1:9" x14ac:dyDescent="0.3">
      <c r="A1109" t="s">
        <v>296</v>
      </c>
      <c r="B1109" s="5">
        <v>41328</v>
      </c>
      <c r="C1109">
        <v>-18.04</v>
      </c>
      <c r="D1109" t="s">
        <v>305</v>
      </c>
      <c r="E1109" t="s">
        <v>446</v>
      </c>
      <c r="F1109" t="s">
        <v>1291</v>
      </c>
      <c r="G1109" t="s">
        <v>20</v>
      </c>
      <c r="I1109" t="s">
        <v>272</v>
      </c>
    </row>
    <row r="1110" spans="1:9" x14ac:dyDescent="0.3">
      <c r="A1110" t="s">
        <v>296</v>
      </c>
      <c r="B1110" s="5">
        <v>41328</v>
      </c>
      <c r="C1110">
        <v>-1.1000000000000001</v>
      </c>
      <c r="D1110" t="s">
        <v>305</v>
      </c>
      <c r="E1110" t="s">
        <v>446</v>
      </c>
      <c r="F1110" t="s">
        <v>1292</v>
      </c>
      <c r="G1110" t="s">
        <v>346</v>
      </c>
      <c r="I1110" t="s">
        <v>272</v>
      </c>
    </row>
    <row r="1111" spans="1:9" x14ac:dyDescent="0.3">
      <c r="A1111" t="s">
        <v>296</v>
      </c>
      <c r="B1111" s="5">
        <v>41329</v>
      </c>
      <c r="C1111">
        <v>-113.18</v>
      </c>
      <c r="D1111" t="s">
        <v>305</v>
      </c>
      <c r="E1111" t="s">
        <v>443</v>
      </c>
      <c r="F1111" t="s">
        <v>1293</v>
      </c>
      <c r="G1111" t="s">
        <v>343</v>
      </c>
    </row>
    <row r="1112" spans="1:9" x14ac:dyDescent="0.3">
      <c r="A1112" t="s">
        <v>296</v>
      </c>
      <c r="B1112" s="5">
        <v>41329</v>
      </c>
      <c r="C1112">
        <v>-79.89</v>
      </c>
      <c r="D1112" t="s">
        <v>305</v>
      </c>
      <c r="E1112" t="s">
        <v>1294</v>
      </c>
      <c r="F1112" t="s">
        <v>1295</v>
      </c>
      <c r="G1112" t="s">
        <v>334</v>
      </c>
    </row>
    <row r="1113" spans="1:9" x14ac:dyDescent="0.3">
      <c r="A1113" t="s">
        <v>296</v>
      </c>
      <c r="B1113" s="5">
        <v>41329</v>
      </c>
      <c r="C1113">
        <v>-59.78</v>
      </c>
      <c r="D1113" t="s">
        <v>305</v>
      </c>
      <c r="E1113" t="s">
        <v>1151</v>
      </c>
      <c r="F1113" t="s">
        <v>407</v>
      </c>
      <c r="G1113" t="s">
        <v>343</v>
      </c>
    </row>
    <row r="1114" spans="1:9" x14ac:dyDescent="0.3">
      <c r="A1114" t="s">
        <v>296</v>
      </c>
      <c r="B1114" s="5">
        <v>41333</v>
      </c>
      <c r="C1114">
        <v>-12</v>
      </c>
      <c r="D1114" t="s">
        <v>305</v>
      </c>
      <c r="E1114" t="s">
        <v>1296</v>
      </c>
      <c r="F1114" t="s">
        <v>1297</v>
      </c>
      <c r="G1114" t="s">
        <v>334</v>
      </c>
    </row>
    <row r="1115" spans="1:9" x14ac:dyDescent="0.3">
      <c r="A1115" t="s">
        <v>296</v>
      </c>
      <c r="B1115" s="5">
        <v>41334</v>
      </c>
      <c r="C1115" s="4">
        <v>6246.3</v>
      </c>
      <c r="D1115" t="s">
        <v>305</v>
      </c>
      <c r="E1115" t="s">
        <v>322</v>
      </c>
      <c r="F1115" t="s">
        <v>607</v>
      </c>
      <c r="G1115" t="s">
        <v>9</v>
      </c>
    </row>
    <row r="1116" spans="1:9" x14ac:dyDescent="0.3">
      <c r="A1116" t="s">
        <v>296</v>
      </c>
      <c r="B1116" s="5">
        <v>41334</v>
      </c>
      <c r="C1116">
        <v>-199.98</v>
      </c>
      <c r="D1116" t="s">
        <v>305</v>
      </c>
      <c r="E1116" t="s">
        <v>1298</v>
      </c>
      <c r="F1116" t="s">
        <v>1299</v>
      </c>
      <c r="G1116" t="s">
        <v>346</v>
      </c>
    </row>
    <row r="1117" spans="1:9" x14ac:dyDescent="0.3">
      <c r="A1117" t="s">
        <v>296</v>
      </c>
      <c r="B1117" s="5">
        <v>41334</v>
      </c>
      <c r="C1117">
        <v>-100.6</v>
      </c>
      <c r="D1117" t="s">
        <v>305</v>
      </c>
      <c r="E1117" t="s">
        <v>1151</v>
      </c>
      <c r="F1117" t="s">
        <v>407</v>
      </c>
      <c r="G1117" t="s">
        <v>343</v>
      </c>
    </row>
    <row r="1118" spans="1:9" x14ac:dyDescent="0.3">
      <c r="A1118" t="s">
        <v>296</v>
      </c>
      <c r="B1118" s="5">
        <v>41334</v>
      </c>
      <c r="C1118">
        <v>-12.26</v>
      </c>
      <c r="D1118" t="s">
        <v>305</v>
      </c>
      <c r="E1118" t="s">
        <v>1300</v>
      </c>
      <c r="F1118" t="s">
        <v>1301</v>
      </c>
      <c r="G1118" t="s">
        <v>334</v>
      </c>
    </row>
    <row r="1119" spans="1:9" x14ac:dyDescent="0.3">
      <c r="A1119" t="s">
        <v>296</v>
      </c>
      <c r="B1119" s="5">
        <v>41335</v>
      </c>
      <c r="C1119">
        <v>-22.97</v>
      </c>
      <c r="D1119" t="s">
        <v>305</v>
      </c>
      <c r="E1119" t="s">
        <v>372</v>
      </c>
      <c r="F1119" t="s">
        <v>1302</v>
      </c>
      <c r="G1119" t="s">
        <v>17</v>
      </c>
      <c r="I1119" t="s">
        <v>272</v>
      </c>
    </row>
    <row r="1120" spans="1:9" x14ac:dyDescent="0.3">
      <c r="A1120" t="s">
        <v>296</v>
      </c>
      <c r="B1120" s="5">
        <v>41335</v>
      </c>
      <c r="C1120">
        <v>-55.39</v>
      </c>
      <c r="D1120" t="s">
        <v>305</v>
      </c>
      <c r="E1120" t="s">
        <v>372</v>
      </c>
      <c r="F1120" t="s">
        <v>1303</v>
      </c>
      <c r="G1120" t="s">
        <v>359</v>
      </c>
      <c r="I1120" t="s">
        <v>272</v>
      </c>
    </row>
    <row r="1121" spans="1:9" x14ac:dyDescent="0.3">
      <c r="A1121" t="s">
        <v>296</v>
      </c>
      <c r="B1121" s="5">
        <v>41335</v>
      </c>
      <c r="C1121">
        <v>-18.600000000000001</v>
      </c>
      <c r="D1121" t="s">
        <v>305</v>
      </c>
      <c r="E1121" t="s">
        <v>452</v>
      </c>
      <c r="F1121" t="s">
        <v>1304</v>
      </c>
      <c r="G1121" t="s">
        <v>453</v>
      </c>
      <c r="I1121" t="s">
        <v>272</v>
      </c>
    </row>
    <row r="1122" spans="1:9" x14ac:dyDescent="0.3">
      <c r="A1122" t="s">
        <v>296</v>
      </c>
      <c r="B1122" s="5">
        <v>41335</v>
      </c>
      <c r="C1122">
        <v>-45.89</v>
      </c>
      <c r="D1122" t="s">
        <v>305</v>
      </c>
      <c r="E1122" t="s">
        <v>452</v>
      </c>
      <c r="G1122" t="s">
        <v>455</v>
      </c>
      <c r="I1122" t="s">
        <v>272</v>
      </c>
    </row>
    <row r="1123" spans="1:9" x14ac:dyDescent="0.3">
      <c r="A1123" t="s">
        <v>296</v>
      </c>
      <c r="B1123" s="5">
        <v>41335</v>
      </c>
      <c r="C1123">
        <v>-58.21</v>
      </c>
      <c r="D1123" t="s">
        <v>305</v>
      </c>
      <c r="E1123" t="s">
        <v>452</v>
      </c>
      <c r="G1123" t="s">
        <v>454</v>
      </c>
      <c r="I1123" t="s">
        <v>272</v>
      </c>
    </row>
    <row r="1124" spans="1:9" x14ac:dyDescent="0.3">
      <c r="A1124" t="s">
        <v>296</v>
      </c>
      <c r="B1124" s="5">
        <v>41336</v>
      </c>
      <c r="C1124">
        <v>-23.47</v>
      </c>
      <c r="D1124" t="s">
        <v>305</v>
      </c>
      <c r="E1124" t="s">
        <v>465</v>
      </c>
      <c r="F1124" t="s">
        <v>1305</v>
      </c>
      <c r="G1124" t="s">
        <v>69</v>
      </c>
    </row>
    <row r="1125" spans="1:9" x14ac:dyDescent="0.3">
      <c r="A1125" t="s">
        <v>296</v>
      </c>
      <c r="B1125" s="5">
        <v>41336</v>
      </c>
      <c r="C1125">
        <v>-54.06</v>
      </c>
      <c r="D1125" t="s">
        <v>305</v>
      </c>
      <c r="E1125" t="s">
        <v>433</v>
      </c>
      <c r="F1125" t="s">
        <v>1306</v>
      </c>
      <c r="G1125" t="s">
        <v>343</v>
      </c>
    </row>
    <row r="1126" spans="1:9" x14ac:dyDescent="0.3">
      <c r="A1126" t="s">
        <v>296</v>
      </c>
      <c r="B1126" s="5">
        <v>41337</v>
      </c>
      <c r="C1126">
        <v>-150.55000000000001</v>
      </c>
      <c r="D1126" t="s">
        <v>305</v>
      </c>
      <c r="E1126" t="s">
        <v>1307</v>
      </c>
      <c r="F1126" t="s">
        <v>1308</v>
      </c>
      <c r="G1126" t="s">
        <v>620</v>
      </c>
    </row>
    <row r="1127" spans="1:9" x14ac:dyDescent="0.3">
      <c r="A1127" t="s">
        <v>296</v>
      </c>
      <c r="B1127" s="5">
        <v>41338</v>
      </c>
      <c r="C1127">
        <v>-1.49</v>
      </c>
      <c r="D1127" t="s">
        <v>305</v>
      </c>
      <c r="E1127" t="s">
        <v>437</v>
      </c>
      <c r="G1127" t="s">
        <v>343</v>
      </c>
    </row>
    <row r="1128" spans="1:9" x14ac:dyDescent="0.3">
      <c r="A1128" t="s">
        <v>296</v>
      </c>
      <c r="B1128" s="5">
        <v>41338</v>
      </c>
      <c r="C1128">
        <v>-11.73</v>
      </c>
      <c r="D1128" t="s">
        <v>305</v>
      </c>
      <c r="E1128" t="s">
        <v>437</v>
      </c>
      <c r="G1128" t="s">
        <v>343</v>
      </c>
    </row>
    <row r="1129" spans="1:9" x14ac:dyDescent="0.3">
      <c r="A1129" t="s">
        <v>296</v>
      </c>
      <c r="B1129" s="5">
        <v>41340</v>
      </c>
      <c r="C1129">
        <v>-14.2</v>
      </c>
      <c r="D1129" t="s">
        <v>305</v>
      </c>
      <c r="E1129" t="s">
        <v>437</v>
      </c>
      <c r="G1129" t="s">
        <v>343</v>
      </c>
    </row>
    <row r="1130" spans="1:9" x14ac:dyDescent="0.3">
      <c r="A1130" t="s">
        <v>296</v>
      </c>
      <c r="B1130" s="5">
        <v>41341</v>
      </c>
      <c r="C1130">
        <v>-50.38</v>
      </c>
      <c r="D1130" t="s">
        <v>305</v>
      </c>
      <c r="E1130" t="s">
        <v>1150</v>
      </c>
      <c r="F1130" t="s">
        <v>1040</v>
      </c>
      <c r="G1130" t="s">
        <v>417</v>
      </c>
    </row>
    <row r="1131" spans="1:9" x14ac:dyDescent="0.3">
      <c r="A1131" t="s">
        <v>296</v>
      </c>
      <c r="B1131" s="5">
        <v>41341</v>
      </c>
      <c r="C1131">
        <v>-64</v>
      </c>
      <c r="D1131" t="s">
        <v>305</v>
      </c>
      <c r="E1131" t="s">
        <v>1309</v>
      </c>
      <c r="F1131" t="s">
        <v>1310</v>
      </c>
      <c r="G1131" t="s">
        <v>404</v>
      </c>
    </row>
    <row r="1132" spans="1:9" x14ac:dyDescent="0.3">
      <c r="A1132" t="s">
        <v>296</v>
      </c>
      <c r="B1132" s="5">
        <v>41342</v>
      </c>
      <c r="C1132">
        <v>-27.36</v>
      </c>
      <c r="D1132" t="s">
        <v>305</v>
      </c>
      <c r="E1132" t="s">
        <v>442</v>
      </c>
      <c r="F1132" t="s">
        <v>407</v>
      </c>
      <c r="G1132" t="s">
        <v>343</v>
      </c>
    </row>
    <row r="1133" spans="1:9" x14ac:dyDescent="0.3">
      <c r="A1133" t="s">
        <v>296</v>
      </c>
      <c r="B1133" s="5">
        <v>41342</v>
      </c>
      <c r="C1133">
        <v>-128.78</v>
      </c>
      <c r="D1133" t="s">
        <v>305</v>
      </c>
      <c r="E1133" t="s">
        <v>1224</v>
      </c>
      <c r="F1133" t="s">
        <v>1311</v>
      </c>
      <c r="G1133" t="s">
        <v>334</v>
      </c>
    </row>
    <row r="1134" spans="1:9" x14ac:dyDescent="0.3">
      <c r="A1134" t="s">
        <v>296</v>
      </c>
      <c r="B1134" s="5">
        <v>41342</v>
      </c>
      <c r="C1134">
        <v>-131.01</v>
      </c>
      <c r="D1134" t="s">
        <v>305</v>
      </c>
      <c r="E1134" t="s">
        <v>442</v>
      </c>
      <c r="F1134" t="s">
        <v>407</v>
      </c>
      <c r="G1134" t="s">
        <v>343</v>
      </c>
    </row>
    <row r="1135" spans="1:9" x14ac:dyDescent="0.3">
      <c r="A1135" t="s">
        <v>296</v>
      </c>
      <c r="B1135" s="5">
        <v>41343</v>
      </c>
      <c r="C1135">
        <v>-11.75</v>
      </c>
      <c r="D1135" t="s">
        <v>305</v>
      </c>
      <c r="E1135" t="s">
        <v>1312</v>
      </c>
      <c r="F1135" t="s">
        <v>1313</v>
      </c>
      <c r="G1135" t="s">
        <v>334</v>
      </c>
    </row>
    <row r="1136" spans="1:9" x14ac:dyDescent="0.3">
      <c r="A1136" t="s">
        <v>296</v>
      </c>
      <c r="B1136" s="5">
        <v>41343</v>
      </c>
      <c r="C1136">
        <v>-20.96</v>
      </c>
      <c r="D1136" t="s">
        <v>305</v>
      </c>
      <c r="E1136" t="s">
        <v>465</v>
      </c>
      <c r="F1136" t="s">
        <v>1314</v>
      </c>
      <c r="G1136" t="s">
        <v>69</v>
      </c>
    </row>
    <row r="1137" spans="1:7" x14ac:dyDescent="0.3">
      <c r="A1137" t="s">
        <v>296</v>
      </c>
      <c r="B1137" s="5">
        <v>41344</v>
      </c>
      <c r="C1137">
        <v>-43.58</v>
      </c>
      <c r="D1137" t="s">
        <v>305</v>
      </c>
      <c r="E1137" t="s">
        <v>1315</v>
      </c>
      <c r="F1137" t="s">
        <v>1316</v>
      </c>
      <c r="G1137" t="s">
        <v>69</v>
      </c>
    </row>
    <row r="1138" spans="1:7" x14ac:dyDescent="0.3">
      <c r="A1138" t="s">
        <v>296</v>
      </c>
      <c r="B1138" s="5">
        <v>41344</v>
      </c>
      <c r="C1138">
        <v>-228.66</v>
      </c>
      <c r="D1138" t="s">
        <v>305</v>
      </c>
      <c r="E1138" t="s">
        <v>1254</v>
      </c>
      <c r="F1138" t="s">
        <v>1317</v>
      </c>
      <c r="G1138" t="s">
        <v>69</v>
      </c>
    </row>
    <row r="1139" spans="1:7" x14ac:dyDescent="0.3">
      <c r="A1139" t="s">
        <v>296</v>
      </c>
      <c r="B1139" s="5">
        <v>41345</v>
      </c>
      <c r="C1139">
        <v>-29.74</v>
      </c>
      <c r="D1139" t="s">
        <v>305</v>
      </c>
      <c r="E1139" t="s">
        <v>1237</v>
      </c>
      <c r="F1139" t="s">
        <v>1318</v>
      </c>
      <c r="G1139" t="s">
        <v>334</v>
      </c>
    </row>
    <row r="1140" spans="1:7" x14ac:dyDescent="0.3">
      <c r="A1140" t="s">
        <v>296</v>
      </c>
      <c r="B1140" s="5">
        <v>41345</v>
      </c>
      <c r="C1140">
        <v>-4</v>
      </c>
      <c r="D1140" t="s">
        <v>305</v>
      </c>
      <c r="E1140" t="s">
        <v>1284</v>
      </c>
      <c r="F1140" t="s">
        <v>1285</v>
      </c>
      <c r="G1140" t="s">
        <v>441</v>
      </c>
    </row>
    <row r="1141" spans="1:7" x14ac:dyDescent="0.3">
      <c r="A1141" t="s">
        <v>296</v>
      </c>
      <c r="B1141" s="5">
        <v>41349</v>
      </c>
      <c r="C1141">
        <v>-5.84</v>
      </c>
      <c r="D1141" t="s">
        <v>305</v>
      </c>
      <c r="E1141" t="s">
        <v>437</v>
      </c>
      <c r="G1141" t="s">
        <v>343</v>
      </c>
    </row>
    <row r="1142" spans="1:7" x14ac:dyDescent="0.3">
      <c r="A1142" t="s">
        <v>296</v>
      </c>
      <c r="B1142" s="5">
        <v>41349</v>
      </c>
      <c r="C1142">
        <v>-24.34</v>
      </c>
      <c r="D1142" t="s">
        <v>305</v>
      </c>
      <c r="E1142" t="s">
        <v>431</v>
      </c>
      <c r="F1142" t="s">
        <v>1319</v>
      </c>
      <c r="G1142" t="s">
        <v>1320</v>
      </c>
    </row>
    <row r="1143" spans="1:7" x14ac:dyDescent="0.3">
      <c r="A1143" t="s">
        <v>296</v>
      </c>
      <c r="B1143" s="5">
        <v>41349</v>
      </c>
      <c r="C1143">
        <v>-73.77</v>
      </c>
      <c r="D1143" t="s">
        <v>305</v>
      </c>
      <c r="E1143" t="s">
        <v>442</v>
      </c>
      <c r="F1143" t="s">
        <v>407</v>
      </c>
      <c r="G1143" t="s">
        <v>343</v>
      </c>
    </row>
    <row r="1144" spans="1:7" x14ac:dyDescent="0.3">
      <c r="A1144" t="s">
        <v>296</v>
      </c>
      <c r="B1144" s="5">
        <v>41349</v>
      </c>
      <c r="C1144">
        <v>-8.75</v>
      </c>
      <c r="D1144" t="s">
        <v>305</v>
      </c>
      <c r="E1144" t="s">
        <v>1170</v>
      </c>
      <c r="F1144" t="s">
        <v>1321</v>
      </c>
      <c r="G1144" t="s">
        <v>17</v>
      </c>
    </row>
    <row r="1145" spans="1:7" x14ac:dyDescent="0.3">
      <c r="A1145" t="s">
        <v>296</v>
      </c>
      <c r="B1145" s="5">
        <v>41349</v>
      </c>
      <c r="C1145">
        <v>-44.87</v>
      </c>
      <c r="D1145" t="s">
        <v>305</v>
      </c>
      <c r="E1145" t="s">
        <v>1322</v>
      </c>
      <c r="F1145" t="s">
        <v>1323</v>
      </c>
      <c r="G1145" t="s">
        <v>308</v>
      </c>
    </row>
    <row r="1146" spans="1:7" x14ac:dyDescent="0.3">
      <c r="A1146" t="s">
        <v>296</v>
      </c>
      <c r="B1146" s="5">
        <v>41349</v>
      </c>
      <c r="C1146">
        <v>-11.7</v>
      </c>
      <c r="D1146" t="s">
        <v>305</v>
      </c>
      <c r="E1146" t="s">
        <v>437</v>
      </c>
      <c r="G1146" t="s">
        <v>343</v>
      </c>
    </row>
    <row r="1147" spans="1:7" x14ac:dyDescent="0.3">
      <c r="A1147" t="s">
        <v>296</v>
      </c>
      <c r="B1147" s="5">
        <v>41350</v>
      </c>
      <c r="C1147">
        <v>-51.64</v>
      </c>
      <c r="D1147" t="s">
        <v>305</v>
      </c>
      <c r="E1147" t="s">
        <v>1151</v>
      </c>
      <c r="F1147" t="s">
        <v>407</v>
      </c>
      <c r="G1147" t="s">
        <v>343</v>
      </c>
    </row>
    <row r="1148" spans="1:7" x14ac:dyDescent="0.3">
      <c r="A1148" t="s">
        <v>296</v>
      </c>
      <c r="B1148" s="5">
        <v>41350</v>
      </c>
      <c r="C1148">
        <v>-108.89</v>
      </c>
      <c r="D1148" t="s">
        <v>305</v>
      </c>
      <c r="E1148" t="s">
        <v>1324</v>
      </c>
      <c r="F1148" t="s">
        <v>1325</v>
      </c>
      <c r="G1148" t="s">
        <v>334</v>
      </c>
    </row>
    <row r="1149" spans="1:7" x14ac:dyDescent="0.3">
      <c r="A1149" t="s">
        <v>296</v>
      </c>
      <c r="B1149" s="5">
        <v>41350</v>
      </c>
      <c r="C1149">
        <v>-0.82</v>
      </c>
      <c r="D1149" t="s">
        <v>305</v>
      </c>
      <c r="E1149" t="s">
        <v>1151</v>
      </c>
      <c r="F1149" t="s">
        <v>407</v>
      </c>
      <c r="G1149" t="s">
        <v>343</v>
      </c>
    </row>
    <row r="1150" spans="1:7" x14ac:dyDescent="0.3">
      <c r="A1150" t="s">
        <v>296</v>
      </c>
      <c r="B1150" s="5">
        <v>41350</v>
      </c>
      <c r="C1150">
        <v>-21.51</v>
      </c>
      <c r="D1150" t="s">
        <v>305</v>
      </c>
      <c r="E1150" t="s">
        <v>1326</v>
      </c>
      <c r="F1150" t="s">
        <v>1327</v>
      </c>
      <c r="G1150" t="s">
        <v>334</v>
      </c>
    </row>
    <row r="1151" spans="1:7" x14ac:dyDescent="0.3">
      <c r="A1151" t="s">
        <v>296</v>
      </c>
      <c r="B1151" s="5">
        <v>41351</v>
      </c>
      <c r="C1151">
        <v>-43.54</v>
      </c>
      <c r="D1151" t="s">
        <v>305</v>
      </c>
      <c r="E1151" t="s">
        <v>1150</v>
      </c>
      <c r="F1151" t="s">
        <v>1040</v>
      </c>
      <c r="G1151" t="s">
        <v>417</v>
      </c>
    </row>
    <row r="1152" spans="1:7" x14ac:dyDescent="0.3">
      <c r="A1152" t="s">
        <v>296</v>
      </c>
      <c r="B1152" s="5">
        <v>41352</v>
      </c>
      <c r="C1152">
        <v>-5.99</v>
      </c>
      <c r="D1152" t="s">
        <v>305</v>
      </c>
      <c r="E1152" t="s">
        <v>437</v>
      </c>
      <c r="G1152" t="s">
        <v>343</v>
      </c>
    </row>
    <row r="1153" spans="1:9" x14ac:dyDescent="0.3">
      <c r="A1153" t="s">
        <v>296</v>
      </c>
      <c r="B1153" s="5">
        <v>41353</v>
      </c>
      <c r="C1153">
        <v>25</v>
      </c>
      <c r="D1153" t="s">
        <v>305</v>
      </c>
      <c r="E1153" t="s">
        <v>438</v>
      </c>
      <c r="F1153" t="s">
        <v>1288</v>
      </c>
      <c r="G1153" t="s">
        <v>14</v>
      </c>
    </row>
    <row r="1154" spans="1:9" x14ac:dyDescent="0.3">
      <c r="A1154" t="s">
        <v>296</v>
      </c>
      <c r="B1154" s="5">
        <v>41353</v>
      </c>
      <c r="C1154">
        <v>-20.420000000000002</v>
      </c>
      <c r="D1154" t="s">
        <v>305</v>
      </c>
      <c r="E1154" t="s">
        <v>1328</v>
      </c>
      <c r="F1154" t="s">
        <v>1329</v>
      </c>
      <c r="G1154" t="s">
        <v>359</v>
      </c>
    </row>
    <row r="1155" spans="1:9" x14ac:dyDescent="0.3">
      <c r="A1155" t="s">
        <v>296</v>
      </c>
      <c r="B1155" s="5">
        <v>41353</v>
      </c>
      <c r="C1155">
        <v>-44.27</v>
      </c>
      <c r="D1155" t="s">
        <v>305</v>
      </c>
      <c r="E1155" t="s">
        <v>1330</v>
      </c>
      <c r="F1155" t="s">
        <v>1331</v>
      </c>
      <c r="G1155" t="s">
        <v>334</v>
      </c>
    </row>
    <row r="1156" spans="1:9" x14ac:dyDescent="0.3">
      <c r="A1156" t="s">
        <v>296</v>
      </c>
      <c r="B1156" s="5">
        <v>41353</v>
      </c>
      <c r="C1156">
        <v>-20.420000000000002</v>
      </c>
      <c r="D1156" t="s">
        <v>305</v>
      </c>
      <c r="E1156" t="s">
        <v>1332</v>
      </c>
      <c r="F1156" t="s">
        <v>1329</v>
      </c>
      <c r="G1156" t="s">
        <v>359</v>
      </c>
    </row>
    <row r="1157" spans="1:9" x14ac:dyDescent="0.3">
      <c r="A1157" t="s">
        <v>296</v>
      </c>
      <c r="B1157" s="5">
        <v>41355</v>
      </c>
      <c r="C1157">
        <v>-8.1999999999999993</v>
      </c>
      <c r="D1157" t="s">
        <v>305</v>
      </c>
      <c r="E1157" t="s">
        <v>1333</v>
      </c>
      <c r="F1157" t="s">
        <v>1334</v>
      </c>
      <c r="G1157" t="s">
        <v>334</v>
      </c>
    </row>
    <row r="1158" spans="1:9" x14ac:dyDescent="0.3">
      <c r="A1158" t="s">
        <v>296</v>
      </c>
      <c r="B1158" s="5">
        <v>41355</v>
      </c>
      <c r="C1158">
        <v>-16.39</v>
      </c>
      <c r="D1158" t="s">
        <v>305</v>
      </c>
      <c r="E1158" t="s">
        <v>431</v>
      </c>
      <c r="F1158" t="s">
        <v>1335</v>
      </c>
      <c r="G1158" t="s">
        <v>652</v>
      </c>
      <c r="I1158" t="s">
        <v>272</v>
      </c>
    </row>
    <row r="1159" spans="1:9" x14ac:dyDescent="0.3">
      <c r="A1159" t="s">
        <v>296</v>
      </c>
      <c r="B1159" s="5">
        <v>41355</v>
      </c>
      <c r="C1159">
        <v>-10.91</v>
      </c>
      <c r="D1159" t="s">
        <v>305</v>
      </c>
      <c r="E1159" t="s">
        <v>431</v>
      </c>
      <c r="F1159" t="s">
        <v>1336</v>
      </c>
      <c r="G1159" t="s">
        <v>652</v>
      </c>
      <c r="I1159" t="s">
        <v>272</v>
      </c>
    </row>
    <row r="1160" spans="1:9" x14ac:dyDescent="0.3">
      <c r="A1160" t="s">
        <v>296</v>
      </c>
      <c r="B1160" s="5">
        <v>41355</v>
      </c>
      <c r="C1160">
        <v>-33.56</v>
      </c>
      <c r="D1160" t="s">
        <v>305</v>
      </c>
      <c r="E1160" t="s">
        <v>431</v>
      </c>
      <c r="F1160" t="s">
        <v>1337</v>
      </c>
      <c r="G1160" t="s">
        <v>613</v>
      </c>
      <c r="I1160" t="s">
        <v>272</v>
      </c>
    </row>
    <row r="1161" spans="1:9" x14ac:dyDescent="0.3">
      <c r="A1161" t="s">
        <v>296</v>
      </c>
      <c r="B1161" s="5">
        <v>41355</v>
      </c>
      <c r="C1161">
        <v>-56.91</v>
      </c>
      <c r="D1161" t="s">
        <v>305</v>
      </c>
      <c r="E1161" t="s">
        <v>431</v>
      </c>
      <c r="F1161" t="s">
        <v>1337</v>
      </c>
      <c r="G1161" t="s">
        <v>613</v>
      </c>
      <c r="I1161" t="s">
        <v>272</v>
      </c>
    </row>
    <row r="1162" spans="1:9" x14ac:dyDescent="0.3">
      <c r="A1162" t="s">
        <v>296</v>
      </c>
      <c r="B1162" s="5">
        <v>41355</v>
      </c>
      <c r="C1162">
        <v>-27.33</v>
      </c>
      <c r="D1162" t="s">
        <v>305</v>
      </c>
      <c r="E1162" t="s">
        <v>431</v>
      </c>
      <c r="F1162" t="s">
        <v>1338</v>
      </c>
      <c r="G1162" t="s">
        <v>308</v>
      </c>
      <c r="I1162" t="s">
        <v>272</v>
      </c>
    </row>
    <row r="1163" spans="1:9" x14ac:dyDescent="0.3">
      <c r="A1163" t="s">
        <v>296</v>
      </c>
      <c r="B1163" s="5">
        <v>41355</v>
      </c>
      <c r="C1163">
        <v>-21.88</v>
      </c>
      <c r="D1163" t="s">
        <v>305</v>
      </c>
      <c r="E1163" t="s">
        <v>431</v>
      </c>
      <c r="F1163" t="s">
        <v>1339</v>
      </c>
      <c r="G1163" t="s">
        <v>308</v>
      </c>
      <c r="I1163" t="s">
        <v>272</v>
      </c>
    </row>
    <row r="1164" spans="1:9" x14ac:dyDescent="0.3">
      <c r="A1164" t="s">
        <v>296</v>
      </c>
      <c r="B1164" s="5">
        <v>41355</v>
      </c>
      <c r="C1164">
        <v>-18.579999999999998</v>
      </c>
      <c r="D1164" t="s">
        <v>305</v>
      </c>
      <c r="E1164" t="s">
        <v>431</v>
      </c>
      <c r="F1164" t="s">
        <v>1340</v>
      </c>
      <c r="G1164" t="s">
        <v>652</v>
      </c>
      <c r="I1164" t="s">
        <v>272</v>
      </c>
    </row>
    <row r="1165" spans="1:9" x14ac:dyDescent="0.3">
      <c r="A1165" t="s">
        <v>296</v>
      </c>
      <c r="B1165" s="5">
        <v>41355</v>
      </c>
      <c r="C1165">
        <v>-43.77</v>
      </c>
      <c r="D1165" t="s">
        <v>305</v>
      </c>
      <c r="E1165" t="s">
        <v>431</v>
      </c>
      <c r="F1165" t="s">
        <v>1341</v>
      </c>
      <c r="G1165" t="s">
        <v>652</v>
      </c>
      <c r="I1165" t="s">
        <v>272</v>
      </c>
    </row>
    <row r="1166" spans="1:9" x14ac:dyDescent="0.3">
      <c r="A1166" t="s">
        <v>296</v>
      </c>
      <c r="B1166" s="5">
        <v>41355</v>
      </c>
      <c r="C1166">
        <v>-0.21</v>
      </c>
      <c r="D1166" t="s">
        <v>305</v>
      </c>
      <c r="E1166" t="s">
        <v>431</v>
      </c>
      <c r="F1166" t="s">
        <v>1342</v>
      </c>
      <c r="G1166" t="s">
        <v>308</v>
      </c>
      <c r="I1166" t="s">
        <v>272</v>
      </c>
    </row>
    <row r="1167" spans="1:9" x14ac:dyDescent="0.3">
      <c r="A1167" t="s">
        <v>296</v>
      </c>
      <c r="B1167" s="5">
        <v>41355</v>
      </c>
      <c r="C1167">
        <v>-14.21</v>
      </c>
      <c r="D1167" t="s">
        <v>305</v>
      </c>
      <c r="E1167" t="s">
        <v>431</v>
      </c>
      <c r="F1167" t="s">
        <v>1343</v>
      </c>
      <c r="G1167" t="s">
        <v>308</v>
      </c>
      <c r="I1167" t="s">
        <v>272</v>
      </c>
    </row>
    <row r="1168" spans="1:9" x14ac:dyDescent="0.3">
      <c r="A1168" t="s">
        <v>296</v>
      </c>
      <c r="B1168" s="5">
        <v>41355</v>
      </c>
      <c r="C1168">
        <v>-5.34</v>
      </c>
      <c r="D1168" t="s">
        <v>305</v>
      </c>
      <c r="E1168" t="s">
        <v>431</v>
      </c>
      <c r="F1168" t="s">
        <v>1344</v>
      </c>
      <c r="G1168" t="s">
        <v>652</v>
      </c>
      <c r="I1168" t="s">
        <v>272</v>
      </c>
    </row>
    <row r="1169" spans="1:9" x14ac:dyDescent="0.3">
      <c r="A1169" t="s">
        <v>296</v>
      </c>
      <c r="B1169" s="5">
        <v>41355</v>
      </c>
      <c r="C1169">
        <v>-10.83</v>
      </c>
      <c r="D1169" t="s">
        <v>305</v>
      </c>
      <c r="E1169" t="s">
        <v>431</v>
      </c>
      <c r="F1169" t="s">
        <v>1345</v>
      </c>
      <c r="G1169" t="s">
        <v>652</v>
      </c>
      <c r="I1169" t="s">
        <v>272</v>
      </c>
    </row>
    <row r="1170" spans="1:9" x14ac:dyDescent="0.3">
      <c r="A1170" t="s">
        <v>296</v>
      </c>
      <c r="B1170" s="5">
        <v>41355</v>
      </c>
      <c r="C1170">
        <v>-50</v>
      </c>
      <c r="D1170" t="s">
        <v>305</v>
      </c>
      <c r="E1170" t="s">
        <v>1234</v>
      </c>
      <c r="F1170" t="s">
        <v>1346</v>
      </c>
      <c r="G1170" t="s">
        <v>457</v>
      </c>
    </row>
    <row r="1171" spans="1:9" x14ac:dyDescent="0.3">
      <c r="A1171" t="s">
        <v>296</v>
      </c>
      <c r="B1171" s="5">
        <v>41355</v>
      </c>
      <c r="C1171">
        <v>-7.92</v>
      </c>
      <c r="D1171" t="s">
        <v>305</v>
      </c>
      <c r="E1171" t="s">
        <v>645</v>
      </c>
      <c r="F1171" t="s">
        <v>1286</v>
      </c>
      <c r="G1171" t="s">
        <v>334</v>
      </c>
    </row>
    <row r="1172" spans="1:9" x14ac:dyDescent="0.3">
      <c r="A1172" t="s">
        <v>296</v>
      </c>
      <c r="B1172" s="5">
        <v>41356</v>
      </c>
      <c r="C1172">
        <v>-65.64</v>
      </c>
      <c r="D1172" t="s">
        <v>305</v>
      </c>
      <c r="E1172" t="s">
        <v>1206</v>
      </c>
      <c r="F1172" t="s">
        <v>1347</v>
      </c>
      <c r="G1172" t="s">
        <v>334</v>
      </c>
    </row>
    <row r="1173" spans="1:9" x14ac:dyDescent="0.3">
      <c r="A1173" t="s">
        <v>296</v>
      </c>
      <c r="B1173" s="5">
        <v>41356</v>
      </c>
      <c r="C1173">
        <v>-69.069999999999993</v>
      </c>
      <c r="D1173" t="s">
        <v>305</v>
      </c>
      <c r="E1173" t="s">
        <v>442</v>
      </c>
      <c r="F1173" t="s">
        <v>407</v>
      </c>
      <c r="G1173" t="s">
        <v>343</v>
      </c>
    </row>
    <row r="1174" spans="1:9" x14ac:dyDescent="0.3">
      <c r="A1174" t="s">
        <v>296</v>
      </c>
      <c r="B1174" s="5">
        <v>41356</v>
      </c>
      <c r="C1174">
        <v>-34</v>
      </c>
      <c r="D1174" t="s">
        <v>305</v>
      </c>
      <c r="E1174" t="s">
        <v>1159</v>
      </c>
      <c r="F1174" t="s">
        <v>1348</v>
      </c>
      <c r="G1174" t="s">
        <v>404</v>
      </c>
    </row>
    <row r="1175" spans="1:9" x14ac:dyDescent="0.3">
      <c r="A1175" t="s">
        <v>296</v>
      </c>
      <c r="B1175" s="5">
        <v>41358</v>
      </c>
      <c r="C1175">
        <v>-29.95</v>
      </c>
      <c r="D1175" t="s">
        <v>305</v>
      </c>
      <c r="E1175" t="s">
        <v>1349</v>
      </c>
      <c r="F1175" t="s">
        <v>1350</v>
      </c>
      <c r="G1175" t="s">
        <v>1351</v>
      </c>
    </row>
    <row r="1176" spans="1:9" x14ac:dyDescent="0.3">
      <c r="A1176" t="s">
        <v>296</v>
      </c>
      <c r="B1176" s="5">
        <v>41358</v>
      </c>
      <c r="C1176">
        <v>-18.850000000000001</v>
      </c>
      <c r="D1176" t="s">
        <v>305</v>
      </c>
      <c r="E1176" t="s">
        <v>435</v>
      </c>
      <c r="F1176" t="s">
        <v>996</v>
      </c>
      <c r="G1176" t="s">
        <v>343</v>
      </c>
      <c r="I1176" t="s">
        <v>272</v>
      </c>
    </row>
    <row r="1177" spans="1:9" x14ac:dyDescent="0.3">
      <c r="A1177" t="s">
        <v>296</v>
      </c>
      <c r="B1177" s="5">
        <v>41358</v>
      </c>
      <c r="C1177">
        <v>-10.95</v>
      </c>
      <c r="D1177" t="s">
        <v>305</v>
      </c>
      <c r="E1177" t="s">
        <v>435</v>
      </c>
      <c r="F1177" t="s">
        <v>1352</v>
      </c>
      <c r="G1177" t="s">
        <v>360</v>
      </c>
      <c r="I1177" t="s">
        <v>272</v>
      </c>
    </row>
    <row r="1178" spans="1:9" x14ac:dyDescent="0.3">
      <c r="A1178" t="s">
        <v>296</v>
      </c>
      <c r="B1178" s="5">
        <v>41358</v>
      </c>
      <c r="C1178">
        <v>-13</v>
      </c>
      <c r="D1178" t="s">
        <v>305</v>
      </c>
      <c r="E1178" t="s">
        <v>647</v>
      </c>
      <c r="F1178" t="s">
        <v>1353</v>
      </c>
      <c r="G1178" t="s">
        <v>444</v>
      </c>
      <c r="I1178" t="s">
        <v>272</v>
      </c>
    </row>
    <row r="1179" spans="1:9" x14ac:dyDescent="0.3">
      <c r="A1179" t="s">
        <v>296</v>
      </c>
      <c r="B1179" s="5">
        <v>41358</v>
      </c>
      <c r="C1179">
        <v>-20.95</v>
      </c>
      <c r="D1179" t="s">
        <v>305</v>
      </c>
      <c r="E1179" t="s">
        <v>647</v>
      </c>
      <c r="F1179" t="s">
        <v>1354</v>
      </c>
      <c r="G1179" t="s">
        <v>20</v>
      </c>
      <c r="I1179" t="s">
        <v>272</v>
      </c>
    </row>
    <row r="1180" spans="1:9" x14ac:dyDescent="0.3">
      <c r="A1180" t="s">
        <v>296</v>
      </c>
      <c r="B1180" s="5">
        <v>41358</v>
      </c>
      <c r="C1180">
        <v>-50.29</v>
      </c>
      <c r="D1180" t="s">
        <v>305</v>
      </c>
      <c r="E1180" t="s">
        <v>446</v>
      </c>
      <c r="F1180" t="s">
        <v>996</v>
      </c>
      <c r="G1180" t="s">
        <v>20</v>
      </c>
    </row>
    <row r="1181" spans="1:9" x14ac:dyDescent="0.3">
      <c r="A1181" t="s">
        <v>296</v>
      </c>
      <c r="B1181" s="5">
        <v>41359</v>
      </c>
      <c r="C1181">
        <v>-6.6</v>
      </c>
      <c r="D1181" t="s">
        <v>305</v>
      </c>
      <c r="E1181" t="s">
        <v>645</v>
      </c>
      <c r="F1181" t="s">
        <v>1286</v>
      </c>
      <c r="G1181" t="s">
        <v>334</v>
      </c>
    </row>
    <row r="1182" spans="1:9" x14ac:dyDescent="0.3">
      <c r="A1182" t="s">
        <v>296</v>
      </c>
      <c r="B1182" s="5">
        <v>41359</v>
      </c>
      <c r="C1182">
        <v>-10.39</v>
      </c>
      <c r="D1182" t="s">
        <v>305</v>
      </c>
      <c r="E1182" t="s">
        <v>645</v>
      </c>
      <c r="F1182" t="s">
        <v>1286</v>
      </c>
      <c r="G1182" t="s">
        <v>334</v>
      </c>
    </row>
    <row r="1183" spans="1:9" x14ac:dyDescent="0.3">
      <c r="A1183" t="s">
        <v>296</v>
      </c>
      <c r="B1183" s="5">
        <v>41361</v>
      </c>
      <c r="C1183">
        <v>-4.29</v>
      </c>
      <c r="D1183" t="s">
        <v>305</v>
      </c>
      <c r="E1183" t="s">
        <v>437</v>
      </c>
      <c r="G1183" t="s">
        <v>343</v>
      </c>
    </row>
    <row r="1184" spans="1:9" x14ac:dyDescent="0.3">
      <c r="A1184" t="s">
        <v>296</v>
      </c>
      <c r="B1184" s="5">
        <v>41362</v>
      </c>
      <c r="C1184">
        <v>-2.96</v>
      </c>
      <c r="D1184" t="s">
        <v>305</v>
      </c>
      <c r="E1184" t="s">
        <v>442</v>
      </c>
      <c r="F1184" t="s">
        <v>407</v>
      </c>
      <c r="G1184" t="s">
        <v>343</v>
      </c>
    </row>
    <row r="1185" spans="1:9" x14ac:dyDescent="0.3">
      <c r="A1185" t="s">
        <v>296</v>
      </c>
      <c r="B1185" s="5">
        <v>41363</v>
      </c>
      <c r="C1185">
        <v>-4.33</v>
      </c>
      <c r="D1185" t="s">
        <v>305</v>
      </c>
      <c r="E1185" t="s">
        <v>462</v>
      </c>
      <c r="F1185" t="s">
        <v>1287</v>
      </c>
      <c r="G1185" t="s">
        <v>441</v>
      </c>
    </row>
    <row r="1186" spans="1:9" x14ac:dyDescent="0.3">
      <c r="A1186" t="s">
        <v>296</v>
      </c>
      <c r="B1186" s="5">
        <v>41363</v>
      </c>
      <c r="C1186">
        <v>-139.33000000000001</v>
      </c>
      <c r="D1186" t="s">
        <v>305</v>
      </c>
      <c r="E1186" t="s">
        <v>442</v>
      </c>
      <c r="F1186" t="s">
        <v>407</v>
      </c>
      <c r="G1186" t="s">
        <v>343</v>
      </c>
    </row>
    <row r="1187" spans="1:9" x14ac:dyDescent="0.3">
      <c r="A1187" t="s">
        <v>296</v>
      </c>
      <c r="B1187" s="5">
        <v>41363</v>
      </c>
      <c r="C1187">
        <v>-4.49</v>
      </c>
      <c r="D1187" t="s">
        <v>305</v>
      </c>
      <c r="E1187" t="s">
        <v>462</v>
      </c>
      <c r="F1187" t="s">
        <v>1287</v>
      </c>
      <c r="G1187" t="s">
        <v>441</v>
      </c>
    </row>
    <row r="1188" spans="1:9" x14ac:dyDescent="0.3">
      <c r="A1188" t="s">
        <v>296</v>
      </c>
      <c r="B1188" s="5">
        <v>41363</v>
      </c>
      <c r="C1188">
        <v>-5.89</v>
      </c>
      <c r="D1188" t="s">
        <v>305</v>
      </c>
      <c r="E1188" t="s">
        <v>1204</v>
      </c>
      <c r="F1188" t="s">
        <v>1355</v>
      </c>
      <c r="G1188" t="s">
        <v>334</v>
      </c>
    </row>
    <row r="1189" spans="1:9" x14ac:dyDescent="0.3">
      <c r="A1189" t="s">
        <v>296</v>
      </c>
      <c r="B1189" s="5">
        <v>41363</v>
      </c>
      <c r="C1189">
        <v>-23</v>
      </c>
      <c r="D1189" t="s">
        <v>305</v>
      </c>
      <c r="E1189" t="s">
        <v>1356</v>
      </c>
      <c r="F1189" t="s">
        <v>1357</v>
      </c>
      <c r="G1189" t="s">
        <v>334</v>
      </c>
    </row>
    <row r="1190" spans="1:9" x14ac:dyDescent="0.3">
      <c r="A1190" t="s">
        <v>296</v>
      </c>
      <c r="B1190" s="5">
        <v>41363</v>
      </c>
      <c r="C1190">
        <v>-26.28</v>
      </c>
      <c r="D1190" t="s">
        <v>305</v>
      </c>
      <c r="E1190" t="s">
        <v>446</v>
      </c>
      <c r="F1190" t="s">
        <v>996</v>
      </c>
      <c r="G1190" t="s">
        <v>346</v>
      </c>
    </row>
    <row r="1191" spans="1:9" x14ac:dyDescent="0.3">
      <c r="A1191" t="s">
        <v>296</v>
      </c>
      <c r="B1191" s="5">
        <v>41363</v>
      </c>
      <c r="C1191">
        <v>-10.36</v>
      </c>
      <c r="D1191" t="s">
        <v>305</v>
      </c>
      <c r="E1191" t="s">
        <v>448</v>
      </c>
      <c r="F1191" t="s">
        <v>1281</v>
      </c>
      <c r="G1191" t="s">
        <v>343</v>
      </c>
    </row>
    <row r="1192" spans="1:9" x14ac:dyDescent="0.3">
      <c r="A1192" t="s">
        <v>296</v>
      </c>
      <c r="B1192" s="5">
        <v>41363</v>
      </c>
      <c r="C1192">
        <v>-11.17</v>
      </c>
      <c r="D1192" t="s">
        <v>305</v>
      </c>
      <c r="E1192" t="s">
        <v>466</v>
      </c>
      <c r="F1192" t="s">
        <v>1358</v>
      </c>
      <c r="G1192" t="s">
        <v>334</v>
      </c>
    </row>
    <row r="1193" spans="1:9" x14ac:dyDescent="0.3">
      <c r="A1193" t="s">
        <v>296</v>
      </c>
      <c r="B1193" s="5">
        <v>41365</v>
      </c>
      <c r="C1193" s="4">
        <v>1882.01</v>
      </c>
      <c r="D1193" t="s">
        <v>305</v>
      </c>
      <c r="E1193" t="s">
        <v>322</v>
      </c>
      <c r="F1193" t="s">
        <v>607</v>
      </c>
      <c r="G1193" t="s">
        <v>9</v>
      </c>
    </row>
    <row r="1194" spans="1:9" x14ac:dyDescent="0.3">
      <c r="A1194" t="s">
        <v>296</v>
      </c>
      <c r="B1194" s="5">
        <v>41365</v>
      </c>
      <c r="C1194">
        <v>-36.35</v>
      </c>
      <c r="D1194" t="s">
        <v>305</v>
      </c>
      <c r="E1194" t="s">
        <v>1359</v>
      </c>
      <c r="F1194" t="s">
        <v>1360</v>
      </c>
      <c r="G1194" t="s">
        <v>343</v>
      </c>
    </row>
    <row r="1195" spans="1:9" x14ac:dyDescent="0.3">
      <c r="A1195" t="s">
        <v>296</v>
      </c>
      <c r="B1195" s="5">
        <v>41365</v>
      </c>
      <c r="C1195">
        <v>-10.94</v>
      </c>
      <c r="D1195" t="s">
        <v>305</v>
      </c>
      <c r="E1195" t="s">
        <v>433</v>
      </c>
      <c r="F1195" t="s">
        <v>1306</v>
      </c>
      <c r="G1195" t="s">
        <v>343</v>
      </c>
    </row>
    <row r="1196" spans="1:9" x14ac:dyDescent="0.3">
      <c r="A1196" t="s">
        <v>296</v>
      </c>
      <c r="B1196" s="5">
        <v>41365</v>
      </c>
      <c r="C1196">
        <v>-340.61</v>
      </c>
      <c r="D1196" t="s">
        <v>305</v>
      </c>
      <c r="E1196" t="s">
        <v>647</v>
      </c>
      <c r="F1196" t="s">
        <v>1361</v>
      </c>
      <c r="G1196" t="s">
        <v>653</v>
      </c>
    </row>
    <row r="1197" spans="1:9" x14ac:dyDescent="0.3">
      <c r="A1197" t="s">
        <v>296</v>
      </c>
      <c r="B1197" s="5">
        <v>41365</v>
      </c>
      <c r="C1197">
        <v>-56.5</v>
      </c>
      <c r="D1197" t="s">
        <v>305</v>
      </c>
      <c r="E1197" t="s">
        <v>1362</v>
      </c>
      <c r="F1197" t="s">
        <v>1363</v>
      </c>
      <c r="G1197" t="s">
        <v>444</v>
      </c>
    </row>
    <row r="1198" spans="1:9" x14ac:dyDescent="0.3">
      <c r="A1198" t="s">
        <v>296</v>
      </c>
      <c r="B1198" s="5">
        <v>41366</v>
      </c>
      <c r="C1198">
        <v>-18.600000000000001</v>
      </c>
      <c r="D1198" t="s">
        <v>305</v>
      </c>
      <c r="E1198" t="s">
        <v>452</v>
      </c>
      <c r="F1198" t="s">
        <v>1364</v>
      </c>
      <c r="G1198" t="s">
        <v>453</v>
      </c>
      <c r="I1198" t="s">
        <v>272</v>
      </c>
    </row>
    <row r="1199" spans="1:9" x14ac:dyDescent="0.3">
      <c r="A1199" t="s">
        <v>296</v>
      </c>
      <c r="B1199" s="5">
        <v>41366</v>
      </c>
      <c r="C1199">
        <v>-45.89</v>
      </c>
      <c r="D1199" t="s">
        <v>305</v>
      </c>
      <c r="E1199" t="s">
        <v>452</v>
      </c>
      <c r="G1199" t="s">
        <v>455</v>
      </c>
      <c r="I1199" t="s">
        <v>272</v>
      </c>
    </row>
    <row r="1200" spans="1:9" x14ac:dyDescent="0.3">
      <c r="A1200" t="s">
        <v>296</v>
      </c>
      <c r="B1200" s="5">
        <v>41366</v>
      </c>
      <c r="C1200">
        <v>-58.21</v>
      </c>
      <c r="D1200" t="s">
        <v>305</v>
      </c>
      <c r="E1200" t="s">
        <v>452</v>
      </c>
      <c r="G1200" t="s">
        <v>454</v>
      </c>
      <c r="I1200" t="s">
        <v>272</v>
      </c>
    </row>
    <row r="1201" spans="1:9" x14ac:dyDescent="0.3">
      <c r="A1201" t="s">
        <v>296</v>
      </c>
      <c r="B1201" s="5">
        <v>41366</v>
      </c>
      <c r="C1201">
        <v>-26.4</v>
      </c>
      <c r="D1201" t="s">
        <v>305</v>
      </c>
      <c r="E1201" t="s">
        <v>1365</v>
      </c>
      <c r="F1201" t="s">
        <v>1366</v>
      </c>
      <c r="G1201" t="s">
        <v>334</v>
      </c>
    </row>
    <row r="1202" spans="1:9" x14ac:dyDescent="0.3">
      <c r="A1202" t="s">
        <v>296</v>
      </c>
      <c r="B1202" s="5">
        <v>41366</v>
      </c>
      <c r="C1202">
        <v>-60</v>
      </c>
      <c r="D1202" t="s">
        <v>305</v>
      </c>
      <c r="E1202" t="s">
        <v>654</v>
      </c>
      <c r="F1202" t="s">
        <v>1367</v>
      </c>
      <c r="G1202" t="s">
        <v>621</v>
      </c>
    </row>
    <row r="1203" spans="1:9" x14ac:dyDescent="0.3">
      <c r="A1203" t="s">
        <v>296</v>
      </c>
      <c r="B1203" s="5">
        <v>41366</v>
      </c>
      <c r="C1203">
        <v>-91.85</v>
      </c>
      <c r="D1203" t="s">
        <v>305</v>
      </c>
      <c r="E1203" t="s">
        <v>1368</v>
      </c>
      <c r="F1203" t="s">
        <v>1369</v>
      </c>
      <c r="G1203" t="s">
        <v>360</v>
      </c>
    </row>
    <row r="1204" spans="1:9" x14ac:dyDescent="0.3">
      <c r="A1204" t="s">
        <v>296</v>
      </c>
      <c r="B1204" s="5">
        <v>41366</v>
      </c>
      <c r="C1204">
        <v>-8.1999999999999993</v>
      </c>
      <c r="D1204" t="s">
        <v>305</v>
      </c>
      <c r="E1204" t="s">
        <v>645</v>
      </c>
      <c r="F1204" t="s">
        <v>1286</v>
      </c>
      <c r="G1204" t="s">
        <v>334</v>
      </c>
    </row>
    <row r="1205" spans="1:9" x14ac:dyDescent="0.3">
      <c r="A1205" t="s">
        <v>296</v>
      </c>
      <c r="B1205" s="5">
        <v>41366</v>
      </c>
      <c r="C1205">
        <v>-22.5</v>
      </c>
      <c r="D1205" t="s">
        <v>305</v>
      </c>
      <c r="E1205" t="s">
        <v>439</v>
      </c>
      <c r="F1205" t="s">
        <v>1370</v>
      </c>
      <c r="G1205" t="s">
        <v>334</v>
      </c>
    </row>
    <row r="1206" spans="1:9" x14ac:dyDescent="0.3">
      <c r="A1206" t="s">
        <v>296</v>
      </c>
      <c r="B1206" s="5">
        <v>41366</v>
      </c>
      <c r="C1206">
        <v>-21.89</v>
      </c>
      <c r="D1206" t="s">
        <v>305</v>
      </c>
      <c r="E1206" t="s">
        <v>372</v>
      </c>
      <c r="F1206" t="s">
        <v>1371</v>
      </c>
      <c r="G1206" t="s">
        <v>343</v>
      </c>
      <c r="I1206" t="s">
        <v>272</v>
      </c>
    </row>
    <row r="1207" spans="1:9" x14ac:dyDescent="0.3">
      <c r="A1207" t="s">
        <v>296</v>
      </c>
      <c r="B1207" s="5">
        <v>41366</v>
      </c>
      <c r="C1207">
        <v>-22.36</v>
      </c>
      <c r="D1207" t="s">
        <v>305</v>
      </c>
      <c r="E1207" t="s">
        <v>372</v>
      </c>
      <c r="F1207" t="s">
        <v>1372</v>
      </c>
      <c r="G1207" t="s">
        <v>444</v>
      </c>
      <c r="I1207" t="s">
        <v>272</v>
      </c>
    </row>
    <row r="1208" spans="1:9" x14ac:dyDescent="0.3">
      <c r="A1208" t="s">
        <v>296</v>
      </c>
      <c r="B1208" s="5">
        <v>41367</v>
      </c>
      <c r="C1208">
        <v>-733.65</v>
      </c>
      <c r="D1208" t="s">
        <v>305</v>
      </c>
      <c r="E1208" t="s">
        <v>1373</v>
      </c>
      <c r="F1208" t="s">
        <v>1374</v>
      </c>
      <c r="G1208" t="s">
        <v>467</v>
      </c>
    </row>
    <row r="1209" spans="1:9" x14ac:dyDescent="0.3">
      <c r="A1209" t="s">
        <v>296</v>
      </c>
      <c r="B1209" s="5">
        <v>41367</v>
      </c>
      <c r="C1209">
        <v>-49.24</v>
      </c>
      <c r="D1209" t="s">
        <v>305</v>
      </c>
      <c r="E1209" t="s">
        <v>1375</v>
      </c>
      <c r="F1209" t="s">
        <v>1376</v>
      </c>
      <c r="G1209" t="s">
        <v>417</v>
      </c>
    </row>
    <row r="1210" spans="1:9" x14ac:dyDescent="0.3">
      <c r="A1210" t="s">
        <v>296</v>
      </c>
      <c r="B1210" s="5">
        <v>41367</v>
      </c>
      <c r="C1210">
        <v>-11.61</v>
      </c>
      <c r="D1210" t="s">
        <v>305</v>
      </c>
      <c r="E1210" t="s">
        <v>1300</v>
      </c>
      <c r="F1210" t="s">
        <v>1377</v>
      </c>
      <c r="G1210" t="s">
        <v>334</v>
      </c>
    </row>
    <row r="1211" spans="1:9" x14ac:dyDescent="0.3">
      <c r="A1211" t="s">
        <v>296</v>
      </c>
      <c r="B1211" s="5">
        <v>41369</v>
      </c>
      <c r="C1211">
        <v>25</v>
      </c>
      <c r="D1211" t="s">
        <v>305</v>
      </c>
      <c r="E1211" t="s">
        <v>438</v>
      </c>
      <c r="F1211" t="s">
        <v>1288</v>
      </c>
      <c r="G1211" t="s">
        <v>14</v>
      </c>
    </row>
    <row r="1212" spans="1:9" x14ac:dyDescent="0.3">
      <c r="A1212" t="s">
        <v>296</v>
      </c>
      <c r="B1212" s="5">
        <v>41369</v>
      </c>
      <c r="C1212">
        <v>-10.94</v>
      </c>
      <c r="D1212" t="s">
        <v>305</v>
      </c>
      <c r="E1212" t="s">
        <v>645</v>
      </c>
      <c r="F1212" t="s">
        <v>1286</v>
      </c>
      <c r="G1212" t="s">
        <v>334</v>
      </c>
    </row>
    <row r="1213" spans="1:9" x14ac:dyDescent="0.3">
      <c r="A1213" t="s">
        <v>296</v>
      </c>
      <c r="B1213" s="5">
        <v>41369</v>
      </c>
      <c r="C1213">
        <v>-8.75</v>
      </c>
      <c r="D1213" t="s">
        <v>305</v>
      </c>
      <c r="E1213" t="s">
        <v>1378</v>
      </c>
      <c r="F1213" t="s">
        <v>1379</v>
      </c>
      <c r="G1213" t="s">
        <v>615</v>
      </c>
    </row>
    <row r="1214" spans="1:9" x14ac:dyDescent="0.3">
      <c r="A1214" t="s">
        <v>296</v>
      </c>
      <c r="B1214" s="5">
        <v>41369</v>
      </c>
      <c r="C1214">
        <v>-19.149999999999999</v>
      </c>
      <c r="D1214" t="s">
        <v>305</v>
      </c>
      <c r="E1214" t="s">
        <v>1380</v>
      </c>
      <c r="F1214" t="s">
        <v>1381</v>
      </c>
      <c r="G1214" t="s">
        <v>615</v>
      </c>
    </row>
    <row r="1215" spans="1:9" x14ac:dyDescent="0.3">
      <c r="A1215" t="s">
        <v>296</v>
      </c>
      <c r="B1215" s="5">
        <v>41369</v>
      </c>
      <c r="C1215">
        <v>-9.33</v>
      </c>
      <c r="D1215" t="s">
        <v>305</v>
      </c>
      <c r="E1215" t="s">
        <v>437</v>
      </c>
      <c r="G1215" t="s">
        <v>343</v>
      </c>
    </row>
    <row r="1216" spans="1:9" x14ac:dyDescent="0.3">
      <c r="A1216" t="s">
        <v>296</v>
      </c>
      <c r="B1216" s="5">
        <v>41370</v>
      </c>
      <c r="C1216">
        <v>-120</v>
      </c>
      <c r="D1216" t="s">
        <v>305</v>
      </c>
      <c r="E1216" t="s">
        <v>1171</v>
      </c>
      <c r="F1216" t="s">
        <v>1382</v>
      </c>
      <c r="G1216" t="s">
        <v>458</v>
      </c>
    </row>
    <row r="1217" spans="1:9" x14ac:dyDescent="0.3">
      <c r="A1217" t="s">
        <v>296</v>
      </c>
      <c r="B1217" s="5">
        <v>41370</v>
      </c>
      <c r="C1217">
        <v>-4.29</v>
      </c>
      <c r="D1217" t="s">
        <v>305</v>
      </c>
      <c r="E1217" t="s">
        <v>437</v>
      </c>
      <c r="G1217" t="s">
        <v>343</v>
      </c>
    </row>
    <row r="1218" spans="1:9" x14ac:dyDescent="0.3">
      <c r="A1218" t="s">
        <v>296</v>
      </c>
      <c r="B1218" s="5">
        <v>41370</v>
      </c>
      <c r="C1218">
        <v>-25.3</v>
      </c>
      <c r="D1218" t="s">
        <v>305</v>
      </c>
      <c r="E1218" t="s">
        <v>1383</v>
      </c>
      <c r="F1218" t="s">
        <v>1384</v>
      </c>
      <c r="G1218" t="s">
        <v>334</v>
      </c>
    </row>
    <row r="1219" spans="1:9" x14ac:dyDescent="0.3">
      <c r="A1219" t="s">
        <v>296</v>
      </c>
      <c r="B1219" s="5">
        <v>41370</v>
      </c>
      <c r="C1219">
        <v>-55.24</v>
      </c>
      <c r="D1219" t="s">
        <v>305</v>
      </c>
      <c r="E1219" t="s">
        <v>468</v>
      </c>
      <c r="F1219" t="s">
        <v>1385</v>
      </c>
      <c r="G1219" t="s">
        <v>334</v>
      </c>
    </row>
    <row r="1220" spans="1:9" x14ac:dyDescent="0.3">
      <c r="A1220" t="s">
        <v>296</v>
      </c>
      <c r="B1220" s="5">
        <v>41371</v>
      </c>
      <c r="C1220">
        <v>-154.43</v>
      </c>
      <c r="D1220" t="s">
        <v>305</v>
      </c>
      <c r="E1220" t="s">
        <v>442</v>
      </c>
      <c r="F1220" t="s">
        <v>407</v>
      </c>
      <c r="G1220" t="s">
        <v>343</v>
      </c>
    </row>
    <row r="1221" spans="1:9" x14ac:dyDescent="0.3">
      <c r="A1221" t="s">
        <v>296</v>
      </c>
      <c r="B1221" s="5">
        <v>41371</v>
      </c>
      <c r="C1221">
        <v>-49.96</v>
      </c>
      <c r="D1221" t="s">
        <v>305</v>
      </c>
      <c r="E1221" t="s">
        <v>446</v>
      </c>
      <c r="F1221" t="s">
        <v>1386</v>
      </c>
      <c r="G1221" t="s">
        <v>346</v>
      </c>
    </row>
    <row r="1222" spans="1:9" x14ac:dyDescent="0.3">
      <c r="A1222" t="s">
        <v>296</v>
      </c>
      <c r="B1222" s="5">
        <v>41371</v>
      </c>
      <c r="C1222">
        <v>-44.95</v>
      </c>
      <c r="D1222" t="s">
        <v>305</v>
      </c>
      <c r="E1222" t="s">
        <v>1387</v>
      </c>
      <c r="F1222" t="s">
        <v>1388</v>
      </c>
      <c r="G1222" t="s">
        <v>73</v>
      </c>
    </row>
    <row r="1223" spans="1:9" x14ac:dyDescent="0.3">
      <c r="A1223" t="s">
        <v>296</v>
      </c>
      <c r="B1223" s="5">
        <v>41371</v>
      </c>
      <c r="C1223">
        <v>-17</v>
      </c>
      <c r="D1223" t="s">
        <v>305</v>
      </c>
      <c r="E1223" t="s">
        <v>1225</v>
      </c>
      <c r="F1223" t="s">
        <v>469</v>
      </c>
      <c r="G1223" t="s">
        <v>346</v>
      </c>
      <c r="I1223" t="s">
        <v>272</v>
      </c>
    </row>
    <row r="1224" spans="1:9" x14ac:dyDescent="0.3">
      <c r="A1224" t="s">
        <v>296</v>
      </c>
      <c r="B1224" s="5">
        <v>41371</v>
      </c>
      <c r="C1224">
        <v>-187.59</v>
      </c>
      <c r="D1224" t="s">
        <v>305</v>
      </c>
      <c r="E1224" t="s">
        <v>1225</v>
      </c>
      <c r="F1224" t="s">
        <v>1389</v>
      </c>
      <c r="G1224" t="s">
        <v>20</v>
      </c>
      <c r="I1224" t="s">
        <v>272</v>
      </c>
    </row>
    <row r="1225" spans="1:9" x14ac:dyDescent="0.3">
      <c r="A1225" t="s">
        <v>296</v>
      </c>
      <c r="B1225" s="5">
        <v>41372</v>
      </c>
      <c r="C1225">
        <v>-210</v>
      </c>
      <c r="D1225" t="s">
        <v>305</v>
      </c>
      <c r="E1225" t="s">
        <v>326</v>
      </c>
      <c r="F1225" t="s">
        <v>1390</v>
      </c>
      <c r="G1225" t="s">
        <v>327</v>
      </c>
    </row>
    <row r="1226" spans="1:9" x14ac:dyDescent="0.3">
      <c r="A1226" t="s">
        <v>296</v>
      </c>
      <c r="B1226" s="5">
        <v>41373</v>
      </c>
      <c r="C1226">
        <v>-1.2</v>
      </c>
      <c r="D1226" t="s">
        <v>305</v>
      </c>
      <c r="E1226" t="s">
        <v>437</v>
      </c>
      <c r="G1226" t="s">
        <v>343</v>
      </c>
    </row>
    <row r="1227" spans="1:9" x14ac:dyDescent="0.3">
      <c r="A1227" t="s">
        <v>296</v>
      </c>
      <c r="B1227" s="5">
        <v>41374</v>
      </c>
      <c r="C1227">
        <v>-23.74</v>
      </c>
      <c r="D1227" t="s">
        <v>305</v>
      </c>
      <c r="E1227" t="s">
        <v>442</v>
      </c>
      <c r="F1227" t="s">
        <v>407</v>
      </c>
      <c r="G1227" t="s">
        <v>343</v>
      </c>
    </row>
    <row r="1228" spans="1:9" x14ac:dyDescent="0.3">
      <c r="A1228" t="s">
        <v>296</v>
      </c>
      <c r="B1228" s="5">
        <v>41375</v>
      </c>
      <c r="C1228">
        <v>-5.43</v>
      </c>
      <c r="D1228" t="s">
        <v>305</v>
      </c>
      <c r="E1228" t="s">
        <v>1300</v>
      </c>
      <c r="F1228" t="s">
        <v>1301</v>
      </c>
      <c r="G1228" t="s">
        <v>334</v>
      </c>
    </row>
    <row r="1229" spans="1:9" x14ac:dyDescent="0.3">
      <c r="A1229" t="s">
        <v>296</v>
      </c>
      <c r="B1229" s="5">
        <v>41376</v>
      </c>
      <c r="C1229">
        <v>-25</v>
      </c>
      <c r="D1229" t="s">
        <v>305</v>
      </c>
      <c r="E1229" t="s">
        <v>1391</v>
      </c>
      <c r="F1229" t="s">
        <v>1392</v>
      </c>
      <c r="G1229" t="s">
        <v>418</v>
      </c>
    </row>
    <row r="1230" spans="1:9" x14ac:dyDescent="0.3">
      <c r="A1230" t="s">
        <v>296</v>
      </c>
      <c r="B1230" s="5">
        <v>41376</v>
      </c>
      <c r="C1230">
        <v>-18.63</v>
      </c>
      <c r="D1230" t="s">
        <v>305</v>
      </c>
      <c r="E1230" t="s">
        <v>433</v>
      </c>
      <c r="F1230" t="s">
        <v>1393</v>
      </c>
      <c r="G1230" t="s">
        <v>636</v>
      </c>
    </row>
    <row r="1231" spans="1:9" x14ac:dyDescent="0.3">
      <c r="A1231" t="s">
        <v>296</v>
      </c>
      <c r="B1231" s="5">
        <v>41376</v>
      </c>
      <c r="C1231">
        <v>-12.61</v>
      </c>
      <c r="D1231" t="s">
        <v>305</v>
      </c>
      <c r="E1231" t="s">
        <v>1394</v>
      </c>
      <c r="F1231" t="s">
        <v>1395</v>
      </c>
      <c r="G1231" t="s">
        <v>334</v>
      </c>
    </row>
    <row r="1232" spans="1:9" x14ac:dyDescent="0.3">
      <c r="A1232" t="s">
        <v>296</v>
      </c>
      <c r="B1232" s="5">
        <v>41377</v>
      </c>
      <c r="C1232">
        <v>-112.7</v>
      </c>
      <c r="D1232" t="s">
        <v>305</v>
      </c>
      <c r="E1232" t="s">
        <v>1396</v>
      </c>
      <c r="F1232" t="s">
        <v>1002</v>
      </c>
      <c r="G1232" t="s">
        <v>636</v>
      </c>
    </row>
    <row r="1233" spans="1:7" x14ac:dyDescent="0.3">
      <c r="A1233" t="s">
        <v>296</v>
      </c>
      <c r="B1233" s="5">
        <v>41377</v>
      </c>
      <c r="C1233">
        <v>-2.5299999999999998</v>
      </c>
      <c r="D1233" t="s">
        <v>305</v>
      </c>
      <c r="E1233" t="s">
        <v>1397</v>
      </c>
      <c r="F1233" t="s">
        <v>1398</v>
      </c>
      <c r="G1233" t="s">
        <v>636</v>
      </c>
    </row>
    <row r="1234" spans="1:7" x14ac:dyDescent="0.3">
      <c r="A1234" t="s">
        <v>296</v>
      </c>
      <c r="B1234" s="5">
        <v>41378</v>
      </c>
      <c r="C1234">
        <v>-20</v>
      </c>
      <c r="D1234" t="s">
        <v>305</v>
      </c>
      <c r="E1234" t="s">
        <v>1399</v>
      </c>
      <c r="F1234" t="s">
        <v>1002</v>
      </c>
      <c r="G1234" t="s">
        <v>655</v>
      </c>
    </row>
    <row r="1235" spans="1:7" x14ac:dyDescent="0.3">
      <c r="A1235" t="s">
        <v>296</v>
      </c>
      <c r="B1235" s="5">
        <v>41378</v>
      </c>
      <c r="C1235">
        <v>-15</v>
      </c>
      <c r="D1235" t="s">
        <v>305</v>
      </c>
      <c r="E1235" t="s">
        <v>1399</v>
      </c>
      <c r="F1235" t="s">
        <v>1002</v>
      </c>
      <c r="G1235" t="s">
        <v>655</v>
      </c>
    </row>
    <row r="1236" spans="1:7" x14ac:dyDescent="0.3">
      <c r="A1236" t="s">
        <v>296</v>
      </c>
      <c r="B1236" s="5">
        <v>41379</v>
      </c>
      <c r="C1236">
        <v>-26.36</v>
      </c>
      <c r="D1236" t="s">
        <v>305</v>
      </c>
      <c r="E1236" t="s">
        <v>433</v>
      </c>
      <c r="F1236" t="s">
        <v>1002</v>
      </c>
      <c r="G1236" t="s">
        <v>636</v>
      </c>
    </row>
    <row r="1237" spans="1:7" x14ac:dyDescent="0.3">
      <c r="A1237" t="s">
        <v>296</v>
      </c>
      <c r="B1237" s="5">
        <v>41379</v>
      </c>
      <c r="C1237">
        <v>-5.52</v>
      </c>
      <c r="D1237" t="s">
        <v>305</v>
      </c>
      <c r="E1237" t="s">
        <v>433</v>
      </c>
      <c r="F1237" t="s">
        <v>1002</v>
      </c>
      <c r="G1237" t="s">
        <v>636</v>
      </c>
    </row>
    <row r="1238" spans="1:7" x14ac:dyDescent="0.3">
      <c r="A1238" t="s">
        <v>296</v>
      </c>
      <c r="B1238" s="5">
        <v>41380</v>
      </c>
      <c r="C1238">
        <v>-32.25</v>
      </c>
      <c r="D1238" t="s">
        <v>305</v>
      </c>
      <c r="E1238" t="s">
        <v>1400</v>
      </c>
      <c r="F1238" t="s">
        <v>1401</v>
      </c>
      <c r="G1238" t="s">
        <v>73</v>
      </c>
    </row>
    <row r="1239" spans="1:7" x14ac:dyDescent="0.3">
      <c r="A1239" t="s">
        <v>296</v>
      </c>
      <c r="B1239" s="5">
        <v>41380</v>
      </c>
      <c r="C1239">
        <v>-8.75</v>
      </c>
      <c r="D1239" t="s">
        <v>305</v>
      </c>
      <c r="E1239" t="s">
        <v>1170</v>
      </c>
      <c r="F1239" t="s">
        <v>1321</v>
      </c>
      <c r="G1239" t="s">
        <v>73</v>
      </c>
    </row>
    <row r="1240" spans="1:7" x14ac:dyDescent="0.3">
      <c r="A1240" t="s">
        <v>296</v>
      </c>
      <c r="B1240" s="5">
        <v>41381</v>
      </c>
      <c r="C1240">
        <v>-3</v>
      </c>
      <c r="D1240" t="s">
        <v>305</v>
      </c>
      <c r="E1240" t="s">
        <v>1399</v>
      </c>
      <c r="F1240" t="s">
        <v>1002</v>
      </c>
      <c r="G1240" t="s">
        <v>655</v>
      </c>
    </row>
    <row r="1241" spans="1:7" x14ac:dyDescent="0.3">
      <c r="A1241" t="s">
        <v>296</v>
      </c>
      <c r="B1241" s="5">
        <v>41381</v>
      </c>
      <c r="C1241">
        <v>-10</v>
      </c>
      <c r="D1241" t="s">
        <v>305</v>
      </c>
      <c r="E1241" t="s">
        <v>1399</v>
      </c>
      <c r="F1241" t="s">
        <v>1002</v>
      </c>
      <c r="G1241" t="s">
        <v>655</v>
      </c>
    </row>
    <row r="1242" spans="1:7" x14ac:dyDescent="0.3">
      <c r="A1242" t="s">
        <v>296</v>
      </c>
      <c r="B1242" s="5">
        <v>41381</v>
      </c>
      <c r="C1242">
        <v>-14</v>
      </c>
      <c r="D1242" t="s">
        <v>305</v>
      </c>
      <c r="E1242" t="s">
        <v>1399</v>
      </c>
      <c r="F1242" t="s">
        <v>1002</v>
      </c>
      <c r="G1242" t="s">
        <v>655</v>
      </c>
    </row>
    <row r="1243" spans="1:7" x14ac:dyDescent="0.3">
      <c r="A1243" t="s">
        <v>296</v>
      </c>
      <c r="B1243" s="5">
        <v>41381</v>
      </c>
      <c r="C1243">
        <v>-5.21</v>
      </c>
      <c r="D1243" t="s">
        <v>305</v>
      </c>
      <c r="E1243" t="s">
        <v>433</v>
      </c>
      <c r="F1243" t="s">
        <v>1002</v>
      </c>
      <c r="G1243" t="s">
        <v>636</v>
      </c>
    </row>
    <row r="1244" spans="1:7" x14ac:dyDescent="0.3">
      <c r="A1244" t="s">
        <v>296</v>
      </c>
      <c r="B1244" s="5">
        <v>41382</v>
      </c>
      <c r="C1244">
        <v>-7.53</v>
      </c>
      <c r="D1244" t="s">
        <v>305</v>
      </c>
      <c r="E1244" t="s">
        <v>433</v>
      </c>
      <c r="F1244" t="s">
        <v>1002</v>
      </c>
      <c r="G1244" t="s">
        <v>636</v>
      </c>
    </row>
    <row r="1245" spans="1:7" x14ac:dyDescent="0.3">
      <c r="A1245" t="s">
        <v>296</v>
      </c>
      <c r="B1245" s="5">
        <v>41383</v>
      </c>
      <c r="C1245">
        <v>-2.75</v>
      </c>
      <c r="D1245" t="s">
        <v>305</v>
      </c>
      <c r="E1245" t="s">
        <v>433</v>
      </c>
      <c r="F1245" t="s">
        <v>1002</v>
      </c>
      <c r="G1245" t="s">
        <v>636</v>
      </c>
    </row>
    <row r="1246" spans="1:7" x14ac:dyDescent="0.3">
      <c r="A1246" t="s">
        <v>296</v>
      </c>
      <c r="B1246" s="5">
        <v>41384</v>
      </c>
      <c r="C1246">
        <v>-18.29</v>
      </c>
      <c r="D1246" t="s">
        <v>305</v>
      </c>
      <c r="E1246" t="s">
        <v>433</v>
      </c>
      <c r="F1246" t="s">
        <v>1002</v>
      </c>
      <c r="G1246" t="s">
        <v>636</v>
      </c>
    </row>
    <row r="1247" spans="1:7" x14ac:dyDescent="0.3">
      <c r="A1247" t="s">
        <v>296</v>
      </c>
      <c r="B1247" s="5">
        <v>41385</v>
      </c>
      <c r="C1247">
        <v>-91.52</v>
      </c>
      <c r="D1247" t="s">
        <v>305</v>
      </c>
      <c r="E1247" t="s">
        <v>1071</v>
      </c>
      <c r="F1247" t="s">
        <v>1002</v>
      </c>
      <c r="G1247" t="s">
        <v>418</v>
      </c>
    </row>
    <row r="1248" spans="1:7" x14ac:dyDescent="0.3">
      <c r="A1248" t="s">
        <v>296</v>
      </c>
      <c r="B1248" s="5">
        <v>41385</v>
      </c>
      <c r="C1248">
        <v>-4.9400000000000004</v>
      </c>
      <c r="D1248" t="s">
        <v>305</v>
      </c>
      <c r="E1248" t="s">
        <v>437</v>
      </c>
      <c r="G1248" t="s">
        <v>343</v>
      </c>
    </row>
    <row r="1249" spans="1:7" x14ac:dyDescent="0.3">
      <c r="A1249" t="s">
        <v>296</v>
      </c>
      <c r="B1249" s="5">
        <v>41385</v>
      </c>
      <c r="C1249">
        <v>-20</v>
      </c>
      <c r="D1249" t="s">
        <v>305</v>
      </c>
      <c r="E1249" t="s">
        <v>639</v>
      </c>
      <c r="F1249" t="s">
        <v>1402</v>
      </c>
      <c r="G1249" t="s">
        <v>418</v>
      </c>
    </row>
    <row r="1250" spans="1:7" x14ac:dyDescent="0.3">
      <c r="A1250" t="s">
        <v>296</v>
      </c>
      <c r="B1250" s="5">
        <v>41385</v>
      </c>
      <c r="C1250">
        <v>-13</v>
      </c>
      <c r="D1250" t="s">
        <v>305</v>
      </c>
      <c r="E1250" t="s">
        <v>639</v>
      </c>
      <c r="F1250" t="s">
        <v>1403</v>
      </c>
      <c r="G1250" t="s">
        <v>636</v>
      </c>
    </row>
    <row r="1251" spans="1:7" x14ac:dyDescent="0.3">
      <c r="A1251" t="s">
        <v>296</v>
      </c>
      <c r="B1251" s="5">
        <v>41385</v>
      </c>
      <c r="C1251">
        <v>-12.46</v>
      </c>
      <c r="D1251" t="s">
        <v>305</v>
      </c>
      <c r="E1251" t="s">
        <v>447</v>
      </c>
      <c r="F1251" t="s">
        <v>1404</v>
      </c>
      <c r="G1251" t="s">
        <v>334</v>
      </c>
    </row>
    <row r="1252" spans="1:7" x14ac:dyDescent="0.3">
      <c r="A1252" t="s">
        <v>296</v>
      </c>
      <c r="B1252" s="5">
        <v>41386</v>
      </c>
      <c r="C1252">
        <v>-287.8</v>
      </c>
      <c r="D1252" t="s">
        <v>305</v>
      </c>
      <c r="E1252" t="s">
        <v>639</v>
      </c>
      <c r="F1252" t="s">
        <v>1405</v>
      </c>
      <c r="G1252" t="s">
        <v>418</v>
      </c>
    </row>
    <row r="1253" spans="1:7" x14ac:dyDescent="0.3">
      <c r="A1253" t="s">
        <v>296</v>
      </c>
      <c r="B1253" s="5">
        <v>41386</v>
      </c>
      <c r="C1253">
        <v>-36.69</v>
      </c>
      <c r="D1253" t="s">
        <v>305</v>
      </c>
      <c r="E1253" t="s">
        <v>442</v>
      </c>
      <c r="F1253" t="s">
        <v>407</v>
      </c>
      <c r="G1253" t="s">
        <v>343</v>
      </c>
    </row>
    <row r="1254" spans="1:7" x14ac:dyDescent="0.3">
      <c r="A1254" t="s">
        <v>296</v>
      </c>
      <c r="B1254" s="5">
        <v>41386</v>
      </c>
      <c r="C1254">
        <v>-287.8</v>
      </c>
      <c r="D1254" t="s">
        <v>305</v>
      </c>
      <c r="E1254" t="s">
        <v>639</v>
      </c>
      <c r="F1254" t="s">
        <v>1405</v>
      </c>
      <c r="G1254" t="s">
        <v>418</v>
      </c>
    </row>
    <row r="1255" spans="1:7" x14ac:dyDescent="0.3">
      <c r="A1255" t="s">
        <v>296</v>
      </c>
      <c r="B1255" s="5">
        <v>41386</v>
      </c>
      <c r="C1255">
        <v>-287.8</v>
      </c>
      <c r="D1255" t="s">
        <v>305</v>
      </c>
      <c r="E1255" t="s">
        <v>639</v>
      </c>
      <c r="F1255" t="s">
        <v>1405</v>
      </c>
      <c r="G1255" t="s">
        <v>418</v>
      </c>
    </row>
    <row r="1256" spans="1:7" x14ac:dyDescent="0.3">
      <c r="A1256" t="s">
        <v>296</v>
      </c>
      <c r="B1256" s="5">
        <v>41386</v>
      </c>
      <c r="C1256">
        <v>-40</v>
      </c>
      <c r="D1256" t="s">
        <v>305</v>
      </c>
      <c r="E1256" t="s">
        <v>1406</v>
      </c>
      <c r="F1256" t="s">
        <v>1407</v>
      </c>
      <c r="G1256" t="s">
        <v>621</v>
      </c>
    </row>
    <row r="1257" spans="1:7" x14ac:dyDescent="0.3">
      <c r="A1257" t="s">
        <v>296</v>
      </c>
      <c r="B1257" s="5">
        <v>41386</v>
      </c>
      <c r="C1257">
        <v>-287.8</v>
      </c>
      <c r="D1257" t="s">
        <v>305</v>
      </c>
      <c r="E1257" t="s">
        <v>639</v>
      </c>
      <c r="F1257" t="s">
        <v>1405</v>
      </c>
      <c r="G1257" t="s">
        <v>418</v>
      </c>
    </row>
    <row r="1258" spans="1:7" x14ac:dyDescent="0.3">
      <c r="A1258" t="s">
        <v>296</v>
      </c>
      <c r="B1258" s="5">
        <v>41386</v>
      </c>
      <c r="C1258">
        <v>-7.11</v>
      </c>
      <c r="D1258" t="s">
        <v>305</v>
      </c>
      <c r="E1258" t="s">
        <v>645</v>
      </c>
      <c r="F1258" t="s">
        <v>1286</v>
      </c>
      <c r="G1258" t="s">
        <v>334</v>
      </c>
    </row>
    <row r="1259" spans="1:7" x14ac:dyDescent="0.3">
      <c r="A1259" t="s">
        <v>296</v>
      </c>
      <c r="B1259" s="5">
        <v>41386</v>
      </c>
      <c r="C1259">
        <v>-4.09</v>
      </c>
      <c r="D1259" t="s">
        <v>305</v>
      </c>
      <c r="E1259" t="s">
        <v>1151</v>
      </c>
      <c r="F1259" t="s">
        <v>407</v>
      </c>
      <c r="G1259" t="s">
        <v>343</v>
      </c>
    </row>
    <row r="1260" spans="1:7" x14ac:dyDescent="0.3">
      <c r="A1260" t="s">
        <v>296</v>
      </c>
      <c r="B1260" s="5">
        <v>41386</v>
      </c>
      <c r="C1260">
        <v>-106.65</v>
      </c>
      <c r="D1260" t="s">
        <v>305</v>
      </c>
      <c r="E1260" t="s">
        <v>1151</v>
      </c>
      <c r="F1260" t="s">
        <v>407</v>
      </c>
      <c r="G1260" t="s">
        <v>343</v>
      </c>
    </row>
    <row r="1261" spans="1:7" x14ac:dyDescent="0.3">
      <c r="A1261" t="s">
        <v>296</v>
      </c>
      <c r="B1261" s="5">
        <v>41388</v>
      </c>
      <c r="C1261">
        <v>-10.63</v>
      </c>
      <c r="D1261" t="s">
        <v>305</v>
      </c>
      <c r="E1261" t="s">
        <v>1300</v>
      </c>
      <c r="F1261" t="s">
        <v>1301</v>
      </c>
      <c r="G1261" t="s">
        <v>334</v>
      </c>
    </row>
    <row r="1262" spans="1:7" x14ac:dyDescent="0.3">
      <c r="A1262" t="s">
        <v>296</v>
      </c>
      <c r="B1262" s="5">
        <v>41389</v>
      </c>
      <c r="C1262">
        <v>25</v>
      </c>
      <c r="D1262" t="s">
        <v>305</v>
      </c>
      <c r="E1262" t="s">
        <v>438</v>
      </c>
      <c r="F1262" t="s">
        <v>1288</v>
      </c>
      <c r="G1262" t="s">
        <v>14</v>
      </c>
    </row>
    <row r="1263" spans="1:7" x14ac:dyDescent="0.3">
      <c r="A1263" t="s">
        <v>296</v>
      </c>
      <c r="B1263" s="5">
        <v>41390</v>
      </c>
      <c r="C1263">
        <v>-25.98</v>
      </c>
      <c r="D1263" t="s">
        <v>305</v>
      </c>
      <c r="E1263" t="s">
        <v>1408</v>
      </c>
      <c r="F1263" t="s">
        <v>1409</v>
      </c>
      <c r="G1263" t="s">
        <v>334</v>
      </c>
    </row>
    <row r="1264" spans="1:7" x14ac:dyDescent="0.3">
      <c r="A1264" t="s">
        <v>296</v>
      </c>
      <c r="B1264" s="5">
        <v>41390</v>
      </c>
      <c r="C1264">
        <v>-59.66</v>
      </c>
      <c r="D1264" t="s">
        <v>305</v>
      </c>
      <c r="E1264" t="s">
        <v>433</v>
      </c>
      <c r="F1264" t="s">
        <v>1306</v>
      </c>
      <c r="G1264" t="s">
        <v>343</v>
      </c>
    </row>
    <row r="1265" spans="1:7" x14ac:dyDescent="0.3">
      <c r="A1265" t="s">
        <v>296</v>
      </c>
      <c r="B1265" s="5">
        <v>41390</v>
      </c>
      <c r="C1265">
        <v>-41.89</v>
      </c>
      <c r="D1265" t="s">
        <v>305</v>
      </c>
      <c r="E1265" t="s">
        <v>1150</v>
      </c>
      <c r="F1265" t="s">
        <v>1040</v>
      </c>
      <c r="G1265" t="s">
        <v>417</v>
      </c>
    </row>
    <row r="1266" spans="1:7" x14ac:dyDescent="0.3">
      <c r="A1266" t="s">
        <v>296</v>
      </c>
      <c r="B1266" s="5">
        <v>41390</v>
      </c>
      <c r="C1266">
        <v>-8.98</v>
      </c>
      <c r="D1266" t="s">
        <v>305</v>
      </c>
      <c r="E1266" t="s">
        <v>435</v>
      </c>
      <c r="F1266" t="s">
        <v>1410</v>
      </c>
      <c r="G1266" t="s">
        <v>343</v>
      </c>
    </row>
    <row r="1267" spans="1:7" x14ac:dyDescent="0.3">
      <c r="A1267" t="s">
        <v>296</v>
      </c>
      <c r="B1267" s="5">
        <v>41391</v>
      </c>
      <c r="C1267">
        <v>-14.62</v>
      </c>
      <c r="D1267" t="s">
        <v>305</v>
      </c>
      <c r="E1267" t="s">
        <v>470</v>
      </c>
      <c r="F1267" t="s">
        <v>1411</v>
      </c>
      <c r="G1267" t="s">
        <v>334</v>
      </c>
    </row>
    <row r="1268" spans="1:7" x14ac:dyDescent="0.3">
      <c r="A1268" t="s">
        <v>296</v>
      </c>
      <c r="B1268" s="5">
        <v>41392</v>
      </c>
      <c r="C1268">
        <v>-50.69</v>
      </c>
      <c r="D1268" t="s">
        <v>305</v>
      </c>
      <c r="E1268" t="s">
        <v>1412</v>
      </c>
      <c r="F1268" t="s">
        <v>1413</v>
      </c>
      <c r="G1268" t="s">
        <v>334</v>
      </c>
    </row>
    <row r="1269" spans="1:7" x14ac:dyDescent="0.3">
      <c r="A1269" t="s">
        <v>296</v>
      </c>
      <c r="B1269" s="5">
        <v>41392</v>
      </c>
      <c r="C1269">
        <v>-161.91999999999999</v>
      </c>
      <c r="D1269" t="s">
        <v>305</v>
      </c>
      <c r="E1269" t="s">
        <v>1414</v>
      </c>
      <c r="F1269" t="s">
        <v>1415</v>
      </c>
      <c r="G1269" t="s">
        <v>348</v>
      </c>
    </row>
    <row r="1270" spans="1:7" x14ac:dyDescent="0.3">
      <c r="A1270" t="s">
        <v>296</v>
      </c>
      <c r="B1270" s="5">
        <v>41392</v>
      </c>
      <c r="C1270">
        <v>-50.29</v>
      </c>
      <c r="D1270" t="s">
        <v>305</v>
      </c>
      <c r="E1270" t="s">
        <v>1150</v>
      </c>
      <c r="F1270" t="s">
        <v>1416</v>
      </c>
      <c r="G1270" t="s">
        <v>418</v>
      </c>
    </row>
    <row r="1271" spans="1:7" x14ac:dyDescent="0.3">
      <c r="A1271" t="s">
        <v>296</v>
      </c>
      <c r="B1271" s="5">
        <v>41392</v>
      </c>
      <c r="C1271">
        <v>-45</v>
      </c>
      <c r="D1271" t="s">
        <v>305</v>
      </c>
      <c r="E1271" t="s">
        <v>1150</v>
      </c>
      <c r="F1271" t="s">
        <v>1416</v>
      </c>
      <c r="G1271" t="s">
        <v>418</v>
      </c>
    </row>
    <row r="1272" spans="1:7" x14ac:dyDescent="0.3">
      <c r="A1272" t="s">
        <v>296</v>
      </c>
      <c r="B1272" s="5">
        <v>41392</v>
      </c>
      <c r="C1272">
        <v>-27.21</v>
      </c>
      <c r="D1272" t="s">
        <v>305</v>
      </c>
      <c r="E1272" t="s">
        <v>1417</v>
      </c>
      <c r="F1272" t="s">
        <v>1418</v>
      </c>
      <c r="G1272" t="s">
        <v>636</v>
      </c>
    </row>
    <row r="1273" spans="1:7" x14ac:dyDescent="0.3">
      <c r="A1273" t="s">
        <v>296</v>
      </c>
      <c r="B1273" s="5">
        <v>41393</v>
      </c>
      <c r="C1273">
        <v>-37.89</v>
      </c>
      <c r="D1273" t="s">
        <v>305</v>
      </c>
      <c r="E1273" t="s">
        <v>1150</v>
      </c>
      <c r="F1273" t="s">
        <v>1040</v>
      </c>
      <c r="G1273" t="s">
        <v>417</v>
      </c>
    </row>
    <row r="1274" spans="1:7" x14ac:dyDescent="0.3">
      <c r="A1274" t="s">
        <v>296</v>
      </c>
      <c r="B1274" s="5">
        <v>41394</v>
      </c>
      <c r="C1274">
        <v>-49.33</v>
      </c>
      <c r="D1274" t="s">
        <v>305</v>
      </c>
      <c r="E1274" t="s">
        <v>1419</v>
      </c>
      <c r="F1274" t="s">
        <v>1004</v>
      </c>
      <c r="G1274" t="s">
        <v>620</v>
      </c>
    </row>
    <row r="1275" spans="1:7" x14ac:dyDescent="0.3">
      <c r="A1275" t="s">
        <v>296</v>
      </c>
      <c r="B1275" s="5">
        <v>41394</v>
      </c>
      <c r="C1275">
        <v>-8.25</v>
      </c>
      <c r="D1275" t="s">
        <v>305</v>
      </c>
      <c r="E1275" t="s">
        <v>1003</v>
      </c>
      <c r="F1275" t="s">
        <v>1004</v>
      </c>
      <c r="G1275" t="s">
        <v>633</v>
      </c>
    </row>
    <row r="1276" spans="1:7" x14ac:dyDescent="0.3">
      <c r="A1276" t="s">
        <v>296</v>
      </c>
      <c r="B1276" s="5">
        <v>41394</v>
      </c>
      <c r="C1276">
        <v>-52.13</v>
      </c>
      <c r="D1276" t="s">
        <v>305</v>
      </c>
      <c r="E1276" t="s">
        <v>1420</v>
      </c>
      <c r="F1276" t="s">
        <v>1421</v>
      </c>
      <c r="G1276" t="s">
        <v>334</v>
      </c>
    </row>
    <row r="1277" spans="1:7" x14ac:dyDescent="0.3">
      <c r="A1277" t="s">
        <v>296</v>
      </c>
      <c r="B1277" s="5">
        <v>41394</v>
      </c>
      <c r="C1277">
        <v>-9.2200000000000006</v>
      </c>
      <c r="D1277" t="s">
        <v>305</v>
      </c>
      <c r="E1277" t="s">
        <v>1300</v>
      </c>
      <c r="F1277" t="s">
        <v>1301</v>
      </c>
      <c r="G1277" t="s">
        <v>334</v>
      </c>
    </row>
    <row r="1278" spans="1:7" x14ac:dyDescent="0.3">
      <c r="A1278" t="s">
        <v>296</v>
      </c>
      <c r="B1278" s="5">
        <v>41394</v>
      </c>
      <c r="C1278">
        <v>-8.2100000000000009</v>
      </c>
      <c r="D1278" t="s">
        <v>305</v>
      </c>
      <c r="E1278" t="s">
        <v>1422</v>
      </c>
      <c r="F1278" t="s">
        <v>1423</v>
      </c>
      <c r="G1278" t="s">
        <v>334</v>
      </c>
    </row>
    <row r="1279" spans="1:7" x14ac:dyDescent="0.3">
      <c r="A1279" t="s">
        <v>296</v>
      </c>
      <c r="B1279" s="5">
        <v>41395</v>
      </c>
      <c r="C1279" s="4">
        <v>4012.25</v>
      </c>
      <c r="D1279" t="s">
        <v>305</v>
      </c>
      <c r="E1279" t="s">
        <v>322</v>
      </c>
      <c r="F1279" t="s">
        <v>607</v>
      </c>
      <c r="G1279" t="s">
        <v>9</v>
      </c>
    </row>
    <row r="1280" spans="1:7" x14ac:dyDescent="0.3">
      <c r="A1280" t="s">
        <v>296</v>
      </c>
      <c r="B1280" s="5">
        <v>41395</v>
      </c>
      <c r="C1280">
        <v>-15.56</v>
      </c>
      <c r="D1280" t="s">
        <v>305</v>
      </c>
      <c r="E1280" t="s">
        <v>433</v>
      </c>
      <c r="F1280" t="s">
        <v>1306</v>
      </c>
      <c r="G1280" t="s">
        <v>343</v>
      </c>
    </row>
    <row r="1281" spans="1:9" x14ac:dyDescent="0.3">
      <c r="A1281" t="s">
        <v>296</v>
      </c>
      <c r="B1281" s="5">
        <v>41396</v>
      </c>
      <c r="C1281">
        <v>-12.11</v>
      </c>
      <c r="D1281" t="s">
        <v>305</v>
      </c>
      <c r="E1281" t="s">
        <v>1204</v>
      </c>
      <c r="F1281" t="s">
        <v>1424</v>
      </c>
      <c r="G1281" t="s">
        <v>334</v>
      </c>
    </row>
    <row r="1282" spans="1:9" x14ac:dyDescent="0.3">
      <c r="A1282" t="s">
        <v>296</v>
      </c>
      <c r="B1282" s="5">
        <v>41396</v>
      </c>
      <c r="C1282">
        <v>-16.309999999999999</v>
      </c>
      <c r="D1282" t="s">
        <v>305</v>
      </c>
      <c r="E1282" t="s">
        <v>1153</v>
      </c>
      <c r="F1282" t="s">
        <v>1425</v>
      </c>
      <c r="G1282" t="s">
        <v>637</v>
      </c>
    </row>
    <row r="1283" spans="1:9" x14ac:dyDescent="0.3">
      <c r="A1283" t="s">
        <v>296</v>
      </c>
      <c r="B1283" s="5">
        <v>41396</v>
      </c>
      <c r="C1283">
        <v>-20.36</v>
      </c>
      <c r="D1283" t="s">
        <v>305</v>
      </c>
      <c r="E1283" t="s">
        <v>435</v>
      </c>
      <c r="F1283" t="s">
        <v>1426</v>
      </c>
      <c r="G1283" t="s">
        <v>656</v>
      </c>
    </row>
    <row r="1284" spans="1:9" x14ac:dyDescent="0.3">
      <c r="A1284" t="s">
        <v>296</v>
      </c>
      <c r="B1284" s="5">
        <v>41396</v>
      </c>
      <c r="C1284">
        <v>-50</v>
      </c>
      <c r="D1284" t="s">
        <v>305</v>
      </c>
      <c r="E1284" t="s">
        <v>1427</v>
      </c>
      <c r="F1284" t="s">
        <v>1428</v>
      </c>
      <c r="G1284" t="s">
        <v>73</v>
      </c>
    </row>
    <row r="1285" spans="1:9" x14ac:dyDescent="0.3">
      <c r="A1285" t="s">
        <v>296</v>
      </c>
      <c r="B1285" s="5">
        <v>41396</v>
      </c>
      <c r="C1285">
        <v>-4.29</v>
      </c>
      <c r="D1285" t="s">
        <v>305</v>
      </c>
      <c r="E1285" t="s">
        <v>1429</v>
      </c>
      <c r="F1285" t="s">
        <v>1430</v>
      </c>
      <c r="G1285" t="s">
        <v>334</v>
      </c>
    </row>
    <row r="1286" spans="1:9" x14ac:dyDescent="0.3">
      <c r="A1286" t="s">
        <v>296</v>
      </c>
      <c r="B1286" s="5">
        <v>41396</v>
      </c>
      <c r="C1286">
        <v>-18.600000000000001</v>
      </c>
      <c r="D1286" t="s">
        <v>305</v>
      </c>
      <c r="E1286" t="s">
        <v>452</v>
      </c>
      <c r="F1286" t="s">
        <v>1364</v>
      </c>
      <c r="G1286" t="s">
        <v>453</v>
      </c>
      <c r="I1286" t="s">
        <v>272</v>
      </c>
    </row>
    <row r="1287" spans="1:9" x14ac:dyDescent="0.3">
      <c r="A1287" t="s">
        <v>296</v>
      </c>
      <c r="B1287" s="5">
        <v>41396</v>
      </c>
      <c r="C1287">
        <v>-45.89</v>
      </c>
      <c r="D1287" t="s">
        <v>305</v>
      </c>
      <c r="E1287" t="s">
        <v>452</v>
      </c>
      <c r="G1287" t="s">
        <v>455</v>
      </c>
      <c r="I1287" t="s">
        <v>272</v>
      </c>
    </row>
    <row r="1288" spans="1:9" x14ac:dyDescent="0.3">
      <c r="A1288" t="s">
        <v>296</v>
      </c>
      <c r="B1288" s="5">
        <v>41396</v>
      </c>
      <c r="C1288">
        <v>-58.19</v>
      </c>
      <c r="D1288" t="s">
        <v>305</v>
      </c>
      <c r="E1288" t="s">
        <v>452</v>
      </c>
      <c r="G1288" t="s">
        <v>454</v>
      </c>
      <c r="I1288" t="s">
        <v>272</v>
      </c>
    </row>
    <row r="1289" spans="1:9" x14ac:dyDescent="0.3">
      <c r="A1289" t="s">
        <v>296</v>
      </c>
      <c r="B1289" s="5">
        <v>41396</v>
      </c>
      <c r="C1289">
        <v>-65.489999999999995</v>
      </c>
      <c r="D1289" t="s">
        <v>305</v>
      </c>
      <c r="E1289" t="s">
        <v>1431</v>
      </c>
      <c r="F1289" t="s">
        <v>1004</v>
      </c>
      <c r="G1289" t="s">
        <v>620</v>
      </c>
    </row>
    <row r="1290" spans="1:9" x14ac:dyDescent="0.3">
      <c r="A1290" t="s">
        <v>296</v>
      </c>
      <c r="B1290" s="5">
        <v>41397</v>
      </c>
      <c r="C1290">
        <v>-60.46</v>
      </c>
      <c r="D1290" t="s">
        <v>305</v>
      </c>
      <c r="E1290" t="s">
        <v>1071</v>
      </c>
      <c r="F1290" t="s">
        <v>1432</v>
      </c>
      <c r="G1290" t="s">
        <v>633</v>
      </c>
    </row>
    <row r="1291" spans="1:9" x14ac:dyDescent="0.3">
      <c r="A1291" t="s">
        <v>296</v>
      </c>
      <c r="B1291" s="5">
        <v>41398</v>
      </c>
      <c r="C1291">
        <v>-28.97</v>
      </c>
      <c r="D1291" t="s">
        <v>305</v>
      </c>
      <c r="E1291" t="s">
        <v>1433</v>
      </c>
      <c r="F1291" t="s">
        <v>1004</v>
      </c>
      <c r="G1291" t="s">
        <v>620</v>
      </c>
    </row>
    <row r="1292" spans="1:9" x14ac:dyDescent="0.3">
      <c r="A1292" t="s">
        <v>296</v>
      </c>
      <c r="B1292" s="5">
        <v>41398</v>
      </c>
      <c r="C1292">
        <v>-16.18</v>
      </c>
      <c r="D1292" t="s">
        <v>305</v>
      </c>
      <c r="E1292" t="s">
        <v>1434</v>
      </c>
      <c r="F1292" t="s">
        <v>1435</v>
      </c>
      <c r="G1292" t="s">
        <v>334</v>
      </c>
    </row>
    <row r="1293" spans="1:9" x14ac:dyDescent="0.3">
      <c r="A1293" t="s">
        <v>296</v>
      </c>
      <c r="B1293" s="5">
        <v>41398</v>
      </c>
      <c r="C1293">
        <v>-69.38</v>
      </c>
      <c r="D1293" t="s">
        <v>305</v>
      </c>
      <c r="E1293" t="s">
        <v>1436</v>
      </c>
      <c r="F1293" t="s">
        <v>1437</v>
      </c>
      <c r="G1293" t="s">
        <v>334</v>
      </c>
    </row>
    <row r="1294" spans="1:9" x14ac:dyDescent="0.3">
      <c r="A1294" t="s">
        <v>296</v>
      </c>
      <c r="B1294" s="5">
        <v>41398</v>
      </c>
      <c r="C1294">
        <v>-831.99</v>
      </c>
      <c r="D1294" t="s">
        <v>305</v>
      </c>
      <c r="E1294" t="s">
        <v>1438</v>
      </c>
      <c r="F1294" t="s">
        <v>1439</v>
      </c>
      <c r="G1294" t="s">
        <v>641</v>
      </c>
    </row>
    <row r="1295" spans="1:9" x14ac:dyDescent="0.3">
      <c r="A1295" t="s">
        <v>296</v>
      </c>
      <c r="B1295" s="5">
        <v>41398</v>
      </c>
      <c r="C1295">
        <v>-35</v>
      </c>
      <c r="D1295" t="s">
        <v>305</v>
      </c>
      <c r="E1295" t="s">
        <v>1440</v>
      </c>
      <c r="F1295" t="s">
        <v>996</v>
      </c>
      <c r="G1295" t="s">
        <v>17</v>
      </c>
      <c r="I1295" t="s">
        <v>272</v>
      </c>
    </row>
    <row r="1296" spans="1:9" x14ac:dyDescent="0.3">
      <c r="A1296" t="s">
        <v>296</v>
      </c>
      <c r="B1296" s="5">
        <v>41398</v>
      </c>
      <c r="C1296">
        <v>-38.92</v>
      </c>
      <c r="D1296" t="s">
        <v>305</v>
      </c>
      <c r="E1296" t="s">
        <v>1440</v>
      </c>
      <c r="F1296" t="s">
        <v>996</v>
      </c>
      <c r="G1296" t="s">
        <v>346</v>
      </c>
      <c r="I1296" t="s">
        <v>272</v>
      </c>
    </row>
    <row r="1297" spans="1:7" x14ac:dyDescent="0.3">
      <c r="A1297" t="s">
        <v>296</v>
      </c>
      <c r="B1297" s="5">
        <v>41398</v>
      </c>
      <c r="C1297">
        <v>-4.29</v>
      </c>
      <c r="D1297" t="s">
        <v>305</v>
      </c>
      <c r="E1297" t="s">
        <v>437</v>
      </c>
      <c r="G1297" t="s">
        <v>343</v>
      </c>
    </row>
    <row r="1298" spans="1:7" x14ac:dyDescent="0.3">
      <c r="A1298" t="s">
        <v>296</v>
      </c>
      <c r="B1298" s="5">
        <v>41399</v>
      </c>
      <c r="C1298">
        <v>-9.16</v>
      </c>
      <c r="D1298" t="s">
        <v>305</v>
      </c>
      <c r="E1298" t="s">
        <v>471</v>
      </c>
      <c r="F1298" t="s">
        <v>1441</v>
      </c>
      <c r="G1298" t="s">
        <v>334</v>
      </c>
    </row>
    <row r="1299" spans="1:7" x14ac:dyDescent="0.3">
      <c r="A1299" t="s">
        <v>296</v>
      </c>
      <c r="B1299" s="5">
        <v>41399</v>
      </c>
      <c r="C1299">
        <v>-3.79</v>
      </c>
      <c r="D1299" t="s">
        <v>305</v>
      </c>
      <c r="E1299" t="s">
        <v>437</v>
      </c>
      <c r="G1299" t="s">
        <v>343</v>
      </c>
    </row>
    <row r="1300" spans="1:7" x14ac:dyDescent="0.3">
      <c r="A1300" t="s">
        <v>296</v>
      </c>
      <c r="B1300" s="5">
        <v>41399</v>
      </c>
      <c r="C1300">
        <v>-83.5</v>
      </c>
      <c r="D1300" t="s">
        <v>305</v>
      </c>
      <c r="E1300" t="s">
        <v>442</v>
      </c>
      <c r="F1300" t="s">
        <v>407</v>
      </c>
      <c r="G1300" t="s">
        <v>343</v>
      </c>
    </row>
    <row r="1301" spans="1:7" x14ac:dyDescent="0.3">
      <c r="A1301" t="s">
        <v>296</v>
      </c>
      <c r="B1301" s="5">
        <v>41400</v>
      </c>
      <c r="C1301">
        <v>-45.99</v>
      </c>
      <c r="D1301" t="s">
        <v>305</v>
      </c>
      <c r="E1301" t="s">
        <v>1442</v>
      </c>
      <c r="F1301" t="s">
        <v>1443</v>
      </c>
      <c r="G1301" t="s">
        <v>20</v>
      </c>
    </row>
    <row r="1302" spans="1:7" x14ac:dyDescent="0.3">
      <c r="A1302" t="s">
        <v>296</v>
      </c>
      <c r="B1302" s="5">
        <v>41400</v>
      </c>
      <c r="C1302">
        <v>-15</v>
      </c>
      <c r="D1302" t="s">
        <v>305</v>
      </c>
      <c r="E1302" t="s">
        <v>1444</v>
      </c>
      <c r="F1302" t="s">
        <v>1445</v>
      </c>
      <c r="G1302" t="s">
        <v>657</v>
      </c>
    </row>
    <row r="1303" spans="1:7" x14ac:dyDescent="0.3">
      <c r="A1303" t="s">
        <v>296</v>
      </c>
      <c r="B1303" s="5">
        <v>41401</v>
      </c>
      <c r="C1303">
        <v>25</v>
      </c>
      <c r="D1303" t="s">
        <v>305</v>
      </c>
      <c r="E1303" t="s">
        <v>438</v>
      </c>
      <c r="F1303" t="s">
        <v>1288</v>
      </c>
      <c r="G1303" t="s">
        <v>14</v>
      </c>
    </row>
    <row r="1304" spans="1:7" x14ac:dyDescent="0.3">
      <c r="A1304" t="s">
        <v>296</v>
      </c>
      <c r="B1304" s="5">
        <v>41401</v>
      </c>
      <c r="C1304">
        <v>152</v>
      </c>
      <c r="D1304" t="s">
        <v>305</v>
      </c>
      <c r="E1304" t="s">
        <v>456</v>
      </c>
      <c r="F1304" t="s">
        <v>1446</v>
      </c>
      <c r="G1304" t="s">
        <v>427</v>
      </c>
    </row>
    <row r="1305" spans="1:7" x14ac:dyDescent="0.3">
      <c r="A1305" t="s">
        <v>296</v>
      </c>
      <c r="B1305" s="5">
        <v>41401</v>
      </c>
      <c r="C1305">
        <v>-33.89</v>
      </c>
      <c r="D1305" t="s">
        <v>305</v>
      </c>
      <c r="E1305" t="s">
        <v>1165</v>
      </c>
      <c r="F1305" t="s">
        <v>1447</v>
      </c>
      <c r="G1305" t="s">
        <v>20</v>
      </c>
    </row>
    <row r="1306" spans="1:7" x14ac:dyDescent="0.3">
      <c r="A1306" t="s">
        <v>296</v>
      </c>
      <c r="B1306" s="5">
        <v>41403</v>
      </c>
      <c r="C1306">
        <v>-7.4</v>
      </c>
      <c r="D1306" t="s">
        <v>305</v>
      </c>
      <c r="E1306" t="s">
        <v>472</v>
      </c>
      <c r="F1306" t="s">
        <v>1448</v>
      </c>
      <c r="G1306" t="s">
        <v>334</v>
      </c>
    </row>
    <row r="1307" spans="1:7" x14ac:dyDescent="0.3">
      <c r="A1307" t="s">
        <v>296</v>
      </c>
      <c r="B1307" s="5">
        <v>41403</v>
      </c>
      <c r="C1307">
        <v>-15.25</v>
      </c>
      <c r="D1307" t="s">
        <v>305</v>
      </c>
      <c r="E1307" t="s">
        <v>1300</v>
      </c>
      <c r="F1307" t="s">
        <v>1301</v>
      </c>
      <c r="G1307" t="s">
        <v>334</v>
      </c>
    </row>
    <row r="1308" spans="1:7" x14ac:dyDescent="0.3">
      <c r="A1308" t="s">
        <v>296</v>
      </c>
      <c r="B1308" s="5">
        <v>41403</v>
      </c>
      <c r="C1308">
        <v>-95</v>
      </c>
      <c r="D1308" t="s">
        <v>305</v>
      </c>
      <c r="E1308" t="s">
        <v>326</v>
      </c>
      <c r="F1308" t="s">
        <v>1390</v>
      </c>
      <c r="G1308" t="s">
        <v>327</v>
      </c>
    </row>
    <row r="1309" spans="1:7" x14ac:dyDescent="0.3">
      <c r="A1309" t="s">
        <v>296</v>
      </c>
      <c r="B1309" s="5">
        <v>41403</v>
      </c>
      <c r="C1309">
        <v>-9</v>
      </c>
      <c r="D1309" t="s">
        <v>305</v>
      </c>
      <c r="E1309" t="s">
        <v>1449</v>
      </c>
      <c r="F1309" t="s">
        <v>1450</v>
      </c>
      <c r="G1309" t="s">
        <v>441</v>
      </c>
    </row>
    <row r="1310" spans="1:7" x14ac:dyDescent="0.3">
      <c r="A1310" t="s">
        <v>296</v>
      </c>
      <c r="B1310" s="5">
        <v>41404</v>
      </c>
      <c r="C1310">
        <v>-87</v>
      </c>
      <c r="D1310" t="s">
        <v>305</v>
      </c>
      <c r="E1310" t="s">
        <v>1451</v>
      </c>
      <c r="F1310" t="s">
        <v>1452</v>
      </c>
      <c r="G1310" t="s">
        <v>17</v>
      </c>
    </row>
    <row r="1311" spans="1:7" x14ac:dyDescent="0.3">
      <c r="A1311" t="s">
        <v>296</v>
      </c>
      <c r="B1311" s="5">
        <v>41404</v>
      </c>
      <c r="C1311">
        <v>-36.5</v>
      </c>
      <c r="D1311" t="s">
        <v>305</v>
      </c>
      <c r="E1311" t="s">
        <v>1453</v>
      </c>
      <c r="F1311" t="s">
        <v>1454</v>
      </c>
      <c r="G1311" t="s">
        <v>348</v>
      </c>
    </row>
    <row r="1312" spans="1:7" x14ac:dyDescent="0.3">
      <c r="A1312" t="s">
        <v>296</v>
      </c>
      <c r="B1312" s="5">
        <v>41404</v>
      </c>
      <c r="C1312">
        <v>-24</v>
      </c>
      <c r="D1312" t="s">
        <v>305</v>
      </c>
      <c r="E1312" t="s">
        <v>1455</v>
      </c>
      <c r="F1312" t="s">
        <v>1456</v>
      </c>
      <c r="G1312" t="s">
        <v>17</v>
      </c>
    </row>
    <row r="1313" spans="1:7" x14ac:dyDescent="0.3">
      <c r="A1313" t="s">
        <v>296</v>
      </c>
      <c r="B1313" s="5">
        <v>41404</v>
      </c>
      <c r="C1313">
        <v>-72.06</v>
      </c>
      <c r="D1313" t="s">
        <v>305</v>
      </c>
      <c r="E1313" t="s">
        <v>433</v>
      </c>
      <c r="F1313" t="s">
        <v>1306</v>
      </c>
      <c r="G1313" t="s">
        <v>343</v>
      </c>
    </row>
    <row r="1314" spans="1:7" x14ac:dyDescent="0.3">
      <c r="A1314" t="s">
        <v>296</v>
      </c>
      <c r="B1314" s="5">
        <v>41404</v>
      </c>
      <c r="C1314">
        <v>-9.76</v>
      </c>
      <c r="D1314" t="s">
        <v>305</v>
      </c>
      <c r="E1314" t="s">
        <v>440</v>
      </c>
      <c r="F1314" t="s">
        <v>1457</v>
      </c>
      <c r="G1314" t="s">
        <v>441</v>
      </c>
    </row>
    <row r="1315" spans="1:7" x14ac:dyDescent="0.3">
      <c r="A1315" t="s">
        <v>296</v>
      </c>
      <c r="B1315" s="5">
        <v>41405</v>
      </c>
      <c r="C1315">
        <v>-18.62</v>
      </c>
      <c r="D1315" t="s">
        <v>305</v>
      </c>
      <c r="E1315" t="s">
        <v>1458</v>
      </c>
      <c r="F1315" t="s">
        <v>1459</v>
      </c>
      <c r="G1315" t="s">
        <v>20</v>
      </c>
    </row>
    <row r="1316" spans="1:7" x14ac:dyDescent="0.3">
      <c r="A1316" t="s">
        <v>296</v>
      </c>
      <c r="B1316" s="5">
        <v>41405</v>
      </c>
      <c r="C1316">
        <v>-28.29</v>
      </c>
      <c r="D1316" t="s">
        <v>305</v>
      </c>
      <c r="E1316" t="s">
        <v>442</v>
      </c>
      <c r="F1316" t="s">
        <v>407</v>
      </c>
      <c r="G1316" t="s">
        <v>343</v>
      </c>
    </row>
    <row r="1317" spans="1:7" x14ac:dyDescent="0.3">
      <c r="A1317" t="s">
        <v>296</v>
      </c>
      <c r="B1317" s="5">
        <v>41405</v>
      </c>
      <c r="C1317">
        <v>-15.22</v>
      </c>
      <c r="D1317" t="s">
        <v>305</v>
      </c>
      <c r="E1317" t="s">
        <v>1165</v>
      </c>
      <c r="F1317" t="s">
        <v>1460</v>
      </c>
      <c r="G1317" t="s">
        <v>20</v>
      </c>
    </row>
    <row r="1318" spans="1:7" x14ac:dyDescent="0.3">
      <c r="A1318" t="s">
        <v>296</v>
      </c>
      <c r="B1318" s="5">
        <v>41405</v>
      </c>
      <c r="C1318">
        <v>-12.04</v>
      </c>
      <c r="D1318" t="s">
        <v>305</v>
      </c>
      <c r="E1318" t="s">
        <v>1458</v>
      </c>
      <c r="F1318" t="s">
        <v>1459</v>
      </c>
      <c r="G1318" t="s">
        <v>20</v>
      </c>
    </row>
    <row r="1319" spans="1:7" x14ac:dyDescent="0.3">
      <c r="A1319" t="s">
        <v>296</v>
      </c>
      <c r="B1319" s="5">
        <v>41405</v>
      </c>
      <c r="C1319">
        <v>-28.47</v>
      </c>
      <c r="D1319" t="s">
        <v>305</v>
      </c>
      <c r="E1319" t="s">
        <v>1461</v>
      </c>
      <c r="F1319" t="s">
        <v>1462</v>
      </c>
      <c r="G1319" t="s">
        <v>343</v>
      </c>
    </row>
    <row r="1320" spans="1:7" x14ac:dyDescent="0.3">
      <c r="A1320" t="s">
        <v>296</v>
      </c>
      <c r="B1320" s="5">
        <v>41405</v>
      </c>
      <c r="C1320">
        <v>-25.08</v>
      </c>
      <c r="D1320" t="s">
        <v>305</v>
      </c>
      <c r="E1320" t="s">
        <v>442</v>
      </c>
      <c r="F1320" t="s">
        <v>407</v>
      </c>
      <c r="G1320" t="s">
        <v>343</v>
      </c>
    </row>
    <row r="1321" spans="1:7" x14ac:dyDescent="0.3">
      <c r="A1321" t="s">
        <v>296</v>
      </c>
      <c r="B1321" s="5">
        <v>41405</v>
      </c>
      <c r="C1321">
        <v>-98.75</v>
      </c>
      <c r="D1321" t="s">
        <v>305</v>
      </c>
      <c r="E1321" t="s">
        <v>1463</v>
      </c>
      <c r="F1321" t="s">
        <v>1464</v>
      </c>
      <c r="G1321" t="s">
        <v>657</v>
      </c>
    </row>
    <row r="1322" spans="1:7" x14ac:dyDescent="0.3">
      <c r="A1322" t="s">
        <v>296</v>
      </c>
      <c r="B1322" s="5">
        <v>41407</v>
      </c>
      <c r="C1322">
        <v>-35.11</v>
      </c>
      <c r="D1322" t="s">
        <v>305</v>
      </c>
      <c r="E1322" t="s">
        <v>442</v>
      </c>
      <c r="F1322" t="s">
        <v>407</v>
      </c>
      <c r="G1322" t="s">
        <v>343</v>
      </c>
    </row>
    <row r="1323" spans="1:7" x14ac:dyDescent="0.3">
      <c r="A1323" t="s">
        <v>296</v>
      </c>
      <c r="B1323" s="5">
        <v>41407</v>
      </c>
      <c r="C1323">
        <v>-67.11</v>
      </c>
      <c r="D1323" t="s">
        <v>305</v>
      </c>
      <c r="E1323" t="s">
        <v>406</v>
      </c>
      <c r="F1323" t="s">
        <v>1465</v>
      </c>
      <c r="G1323" t="s">
        <v>434</v>
      </c>
    </row>
    <row r="1324" spans="1:7" x14ac:dyDescent="0.3">
      <c r="A1324" t="s">
        <v>296</v>
      </c>
      <c r="B1324" s="5">
        <v>41408</v>
      </c>
      <c r="C1324">
        <v>-95</v>
      </c>
      <c r="D1324" t="s">
        <v>305</v>
      </c>
      <c r="E1324" t="s">
        <v>326</v>
      </c>
      <c r="F1324" t="s">
        <v>1390</v>
      </c>
      <c r="G1324" t="s">
        <v>327</v>
      </c>
    </row>
    <row r="1325" spans="1:7" x14ac:dyDescent="0.3">
      <c r="A1325" t="s">
        <v>296</v>
      </c>
      <c r="B1325" s="5">
        <v>41409</v>
      </c>
      <c r="C1325">
        <v>-39</v>
      </c>
      <c r="D1325" t="s">
        <v>305</v>
      </c>
      <c r="E1325" t="s">
        <v>450</v>
      </c>
      <c r="F1325" t="s">
        <v>1466</v>
      </c>
      <c r="G1325" t="s">
        <v>17</v>
      </c>
    </row>
    <row r="1326" spans="1:7" x14ac:dyDescent="0.3">
      <c r="A1326" t="s">
        <v>296</v>
      </c>
      <c r="B1326" s="5">
        <v>41409</v>
      </c>
      <c r="C1326">
        <v>-100</v>
      </c>
      <c r="D1326" t="s">
        <v>305</v>
      </c>
      <c r="E1326" t="s">
        <v>1467</v>
      </c>
      <c r="F1326" t="s">
        <v>1468</v>
      </c>
      <c r="G1326" t="s">
        <v>621</v>
      </c>
    </row>
    <row r="1327" spans="1:7" x14ac:dyDescent="0.3">
      <c r="A1327" t="s">
        <v>296</v>
      </c>
      <c r="B1327" s="5">
        <v>41409</v>
      </c>
      <c r="C1327">
        <v>-6</v>
      </c>
      <c r="D1327" t="s">
        <v>305</v>
      </c>
      <c r="E1327" t="s">
        <v>473</v>
      </c>
      <c r="F1327" t="s">
        <v>1469</v>
      </c>
      <c r="G1327" t="s">
        <v>441</v>
      </c>
    </row>
    <row r="1328" spans="1:7" x14ac:dyDescent="0.3">
      <c r="A1328" t="s">
        <v>296</v>
      </c>
      <c r="B1328" s="5">
        <v>41410</v>
      </c>
      <c r="C1328">
        <v>-8.75</v>
      </c>
      <c r="D1328" t="s">
        <v>305</v>
      </c>
      <c r="E1328" t="s">
        <v>1170</v>
      </c>
      <c r="F1328" t="s">
        <v>1321</v>
      </c>
      <c r="G1328" t="s">
        <v>73</v>
      </c>
    </row>
    <row r="1329" spans="1:7" x14ac:dyDescent="0.3">
      <c r="A1329" t="s">
        <v>296</v>
      </c>
      <c r="B1329" s="5">
        <v>41410</v>
      </c>
      <c r="C1329">
        <v>-20.78</v>
      </c>
      <c r="D1329" t="s">
        <v>305</v>
      </c>
      <c r="E1329" t="s">
        <v>442</v>
      </c>
      <c r="F1329" t="s">
        <v>407</v>
      </c>
      <c r="G1329" t="s">
        <v>343</v>
      </c>
    </row>
    <row r="1330" spans="1:7" x14ac:dyDescent="0.3">
      <c r="A1330" t="s">
        <v>296</v>
      </c>
      <c r="B1330" s="5">
        <v>41411</v>
      </c>
      <c r="C1330">
        <v>-73.59</v>
      </c>
      <c r="D1330" t="s">
        <v>305</v>
      </c>
      <c r="E1330" t="s">
        <v>474</v>
      </c>
      <c r="F1330" t="s">
        <v>1470</v>
      </c>
      <c r="G1330" t="s">
        <v>334</v>
      </c>
    </row>
    <row r="1331" spans="1:7" x14ac:dyDescent="0.3">
      <c r="A1331" t="s">
        <v>296</v>
      </c>
      <c r="B1331" s="5">
        <v>41412</v>
      </c>
      <c r="C1331">
        <v>-1.71</v>
      </c>
      <c r="D1331" t="s">
        <v>305</v>
      </c>
      <c r="E1331" t="s">
        <v>406</v>
      </c>
      <c r="F1331" t="s">
        <v>1471</v>
      </c>
      <c r="G1331" t="s">
        <v>360</v>
      </c>
    </row>
    <row r="1332" spans="1:7" x14ac:dyDescent="0.3">
      <c r="A1332" t="s">
        <v>296</v>
      </c>
      <c r="B1332" s="5">
        <v>41412</v>
      </c>
      <c r="C1332">
        <v>-29</v>
      </c>
      <c r="D1332" t="s">
        <v>305</v>
      </c>
      <c r="E1332" t="s">
        <v>1159</v>
      </c>
      <c r="F1332" t="s">
        <v>1348</v>
      </c>
      <c r="G1332" t="s">
        <v>404</v>
      </c>
    </row>
    <row r="1333" spans="1:7" x14ac:dyDescent="0.3">
      <c r="A1333" t="s">
        <v>296</v>
      </c>
      <c r="B1333" s="5">
        <v>41412</v>
      </c>
      <c r="C1333">
        <v>-174.72</v>
      </c>
      <c r="D1333" t="s">
        <v>305</v>
      </c>
      <c r="E1333" t="s">
        <v>442</v>
      </c>
      <c r="F1333" t="s">
        <v>407</v>
      </c>
      <c r="G1333" t="s">
        <v>343</v>
      </c>
    </row>
    <row r="1334" spans="1:7" x14ac:dyDescent="0.3">
      <c r="A1334" t="s">
        <v>296</v>
      </c>
      <c r="B1334" s="5">
        <v>41413</v>
      </c>
      <c r="C1334">
        <v>-15.12</v>
      </c>
      <c r="D1334" t="s">
        <v>305</v>
      </c>
      <c r="E1334" t="s">
        <v>447</v>
      </c>
      <c r="F1334" t="s">
        <v>1472</v>
      </c>
      <c r="G1334" t="s">
        <v>334</v>
      </c>
    </row>
    <row r="1335" spans="1:7" x14ac:dyDescent="0.3">
      <c r="A1335" t="s">
        <v>296</v>
      </c>
      <c r="B1335" s="5">
        <v>41413</v>
      </c>
      <c r="C1335">
        <v>-120.45</v>
      </c>
      <c r="D1335" t="s">
        <v>305</v>
      </c>
      <c r="E1335" t="s">
        <v>1473</v>
      </c>
      <c r="F1335" t="s">
        <v>1474</v>
      </c>
      <c r="G1335" t="s">
        <v>359</v>
      </c>
    </row>
    <row r="1336" spans="1:7" x14ac:dyDescent="0.3">
      <c r="A1336" t="s">
        <v>296</v>
      </c>
      <c r="B1336" s="5">
        <v>41413</v>
      </c>
      <c r="C1336">
        <v>-8.8000000000000007</v>
      </c>
      <c r="D1336" t="s">
        <v>305</v>
      </c>
      <c r="E1336" t="s">
        <v>1475</v>
      </c>
      <c r="F1336" t="s">
        <v>1476</v>
      </c>
      <c r="G1336" t="s">
        <v>334</v>
      </c>
    </row>
    <row r="1337" spans="1:7" x14ac:dyDescent="0.3">
      <c r="A1337" t="s">
        <v>296</v>
      </c>
      <c r="B1337" s="5">
        <v>41414</v>
      </c>
      <c r="C1337">
        <v>-109.73</v>
      </c>
      <c r="D1337" t="s">
        <v>305</v>
      </c>
      <c r="E1337" t="s">
        <v>1151</v>
      </c>
      <c r="F1337" t="s">
        <v>407</v>
      </c>
      <c r="G1337" t="s">
        <v>343</v>
      </c>
    </row>
    <row r="1338" spans="1:7" x14ac:dyDescent="0.3">
      <c r="A1338" t="s">
        <v>296</v>
      </c>
      <c r="B1338" s="5">
        <v>41414</v>
      </c>
      <c r="C1338">
        <v>-26.94</v>
      </c>
      <c r="D1338" t="s">
        <v>305</v>
      </c>
      <c r="E1338" t="s">
        <v>437</v>
      </c>
      <c r="G1338" t="s">
        <v>343</v>
      </c>
    </row>
    <row r="1339" spans="1:7" x14ac:dyDescent="0.3">
      <c r="A1339" t="s">
        <v>296</v>
      </c>
      <c r="B1339" s="5">
        <v>41415</v>
      </c>
      <c r="C1339">
        <v>-21.39</v>
      </c>
      <c r="D1339" t="s">
        <v>305</v>
      </c>
      <c r="E1339" t="s">
        <v>439</v>
      </c>
      <c r="F1339" t="s">
        <v>1370</v>
      </c>
      <c r="G1339" t="s">
        <v>334</v>
      </c>
    </row>
    <row r="1340" spans="1:7" x14ac:dyDescent="0.3">
      <c r="A1340" t="s">
        <v>296</v>
      </c>
      <c r="B1340" s="5">
        <v>41415</v>
      </c>
      <c r="C1340">
        <v>-48.94</v>
      </c>
      <c r="D1340" t="s">
        <v>305</v>
      </c>
      <c r="E1340" t="s">
        <v>1150</v>
      </c>
      <c r="F1340" t="s">
        <v>1040</v>
      </c>
      <c r="G1340" t="s">
        <v>417</v>
      </c>
    </row>
    <row r="1341" spans="1:7" x14ac:dyDescent="0.3">
      <c r="A1341" t="s">
        <v>296</v>
      </c>
      <c r="B1341" s="5">
        <v>41417</v>
      </c>
      <c r="C1341">
        <v>-26.45</v>
      </c>
      <c r="D1341" t="s">
        <v>305</v>
      </c>
      <c r="E1341" t="s">
        <v>1237</v>
      </c>
      <c r="F1341" t="s">
        <v>1318</v>
      </c>
      <c r="G1341" t="s">
        <v>334</v>
      </c>
    </row>
    <row r="1342" spans="1:7" x14ac:dyDescent="0.3">
      <c r="A1342" t="s">
        <v>296</v>
      </c>
      <c r="B1342" s="5">
        <v>41417</v>
      </c>
      <c r="C1342">
        <v>-30.94</v>
      </c>
      <c r="D1342" t="s">
        <v>305</v>
      </c>
      <c r="E1342" t="s">
        <v>1477</v>
      </c>
      <c r="F1342" t="s">
        <v>1478</v>
      </c>
      <c r="G1342" t="s">
        <v>334</v>
      </c>
    </row>
    <row r="1343" spans="1:7" x14ac:dyDescent="0.3">
      <c r="A1343" t="s">
        <v>296</v>
      </c>
      <c r="B1343" s="5">
        <v>41418</v>
      </c>
      <c r="C1343">
        <v>-81.64</v>
      </c>
      <c r="D1343" t="s">
        <v>305</v>
      </c>
      <c r="E1343" t="s">
        <v>1479</v>
      </c>
      <c r="F1343" t="s">
        <v>1480</v>
      </c>
      <c r="G1343" t="s">
        <v>334</v>
      </c>
    </row>
    <row r="1344" spans="1:7" x14ac:dyDescent="0.3">
      <c r="A1344" t="s">
        <v>296</v>
      </c>
      <c r="B1344" s="5">
        <v>41419</v>
      </c>
      <c r="C1344">
        <v>-14.47</v>
      </c>
      <c r="D1344" t="s">
        <v>305</v>
      </c>
      <c r="E1344" t="s">
        <v>1481</v>
      </c>
      <c r="F1344" t="s">
        <v>996</v>
      </c>
      <c r="G1344" t="s">
        <v>334</v>
      </c>
    </row>
    <row r="1345" spans="1:9" x14ac:dyDescent="0.3">
      <c r="A1345" t="s">
        <v>296</v>
      </c>
      <c r="B1345" s="5">
        <v>41419</v>
      </c>
      <c r="C1345">
        <v>-56.04</v>
      </c>
      <c r="D1345" t="s">
        <v>305</v>
      </c>
      <c r="E1345" t="s">
        <v>1482</v>
      </c>
      <c r="F1345" t="s">
        <v>1483</v>
      </c>
      <c r="G1345" t="s">
        <v>334</v>
      </c>
    </row>
    <row r="1346" spans="1:9" x14ac:dyDescent="0.3">
      <c r="A1346" t="s">
        <v>296</v>
      </c>
      <c r="B1346" s="5">
        <v>41420</v>
      </c>
      <c r="C1346">
        <v>-6.88</v>
      </c>
      <c r="D1346" t="s">
        <v>305</v>
      </c>
      <c r="E1346" t="s">
        <v>1484</v>
      </c>
      <c r="F1346" t="s">
        <v>1485</v>
      </c>
      <c r="G1346" t="s">
        <v>334</v>
      </c>
    </row>
    <row r="1347" spans="1:9" x14ac:dyDescent="0.3">
      <c r="A1347" t="s">
        <v>296</v>
      </c>
      <c r="B1347" s="5">
        <v>41420</v>
      </c>
      <c r="C1347">
        <v>-141.46</v>
      </c>
      <c r="D1347" t="s">
        <v>305</v>
      </c>
      <c r="E1347" t="s">
        <v>442</v>
      </c>
      <c r="F1347" t="s">
        <v>1486</v>
      </c>
      <c r="G1347" t="s">
        <v>360</v>
      </c>
    </row>
    <row r="1348" spans="1:9" x14ac:dyDescent="0.3">
      <c r="A1348" t="s">
        <v>296</v>
      </c>
      <c r="B1348" s="5">
        <v>41422</v>
      </c>
      <c r="C1348">
        <v>-3.75</v>
      </c>
      <c r="D1348" t="s">
        <v>305</v>
      </c>
      <c r="E1348" t="s">
        <v>1487</v>
      </c>
      <c r="F1348" t="s">
        <v>1488</v>
      </c>
      <c r="G1348" t="s">
        <v>17</v>
      </c>
    </row>
    <row r="1349" spans="1:9" x14ac:dyDescent="0.3">
      <c r="A1349" t="s">
        <v>296</v>
      </c>
      <c r="B1349" s="5">
        <v>41422</v>
      </c>
      <c r="C1349">
        <v>-19</v>
      </c>
      <c r="D1349" t="s">
        <v>305</v>
      </c>
      <c r="E1349" t="s">
        <v>1487</v>
      </c>
      <c r="F1349" t="s">
        <v>1489</v>
      </c>
      <c r="G1349" t="s">
        <v>17</v>
      </c>
    </row>
    <row r="1350" spans="1:9" x14ac:dyDescent="0.3">
      <c r="A1350" t="s">
        <v>296</v>
      </c>
      <c r="B1350" s="5">
        <v>41422</v>
      </c>
      <c r="C1350">
        <v>-23.39</v>
      </c>
      <c r="D1350" t="s">
        <v>305</v>
      </c>
      <c r="E1350" t="s">
        <v>1212</v>
      </c>
      <c r="F1350" t="s">
        <v>1490</v>
      </c>
      <c r="G1350" t="s">
        <v>334</v>
      </c>
    </row>
    <row r="1351" spans="1:9" x14ac:dyDescent="0.3">
      <c r="A1351" t="s">
        <v>296</v>
      </c>
      <c r="B1351" s="5">
        <v>41422</v>
      </c>
      <c r="C1351">
        <v>-128.03</v>
      </c>
      <c r="D1351" t="s">
        <v>305</v>
      </c>
      <c r="E1351" t="s">
        <v>460</v>
      </c>
      <c r="F1351" t="s">
        <v>1491</v>
      </c>
      <c r="G1351" t="s">
        <v>653</v>
      </c>
    </row>
    <row r="1352" spans="1:9" x14ac:dyDescent="0.3">
      <c r="A1352" t="s">
        <v>296</v>
      </c>
      <c r="B1352" s="5">
        <v>41422</v>
      </c>
      <c r="C1352">
        <v>-3.79</v>
      </c>
      <c r="D1352" t="s">
        <v>305</v>
      </c>
      <c r="E1352" t="s">
        <v>437</v>
      </c>
      <c r="G1352" t="s">
        <v>343</v>
      </c>
    </row>
    <row r="1353" spans="1:9" x14ac:dyDescent="0.3">
      <c r="A1353" t="s">
        <v>296</v>
      </c>
      <c r="B1353" s="5">
        <v>41422</v>
      </c>
      <c r="C1353">
        <v>-17.43</v>
      </c>
      <c r="D1353" t="s">
        <v>305</v>
      </c>
      <c r="E1353" t="s">
        <v>437</v>
      </c>
      <c r="G1353" t="s">
        <v>343</v>
      </c>
    </row>
    <row r="1354" spans="1:9" x14ac:dyDescent="0.3">
      <c r="A1354" t="s">
        <v>296</v>
      </c>
      <c r="B1354" s="5">
        <v>41422</v>
      </c>
      <c r="C1354">
        <v>-538.96</v>
      </c>
      <c r="D1354" t="s">
        <v>305</v>
      </c>
      <c r="E1354" t="s">
        <v>1492</v>
      </c>
      <c r="F1354" t="s">
        <v>1493</v>
      </c>
      <c r="G1354" t="s">
        <v>467</v>
      </c>
    </row>
    <row r="1355" spans="1:9" x14ac:dyDescent="0.3">
      <c r="A1355" t="s">
        <v>296</v>
      </c>
      <c r="B1355" s="5">
        <v>41424</v>
      </c>
      <c r="C1355">
        <v>-24.47</v>
      </c>
      <c r="D1355" t="s">
        <v>305</v>
      </c>
      <c r="E1355" t="s">
        <v>437</v>
      </c>
      <c r="G1355" t="s">
        <v>343</v>
      </c>
    </row>
    <row r="1356" spans="1:9" x14ac:dyDescent="0.3">
      <c r="A1356" t="s">
        <v>296</v>
      </c>
      <c r="B1356" s="5">
        <v>41424</v>
      </c>
      <c r="C1356">
        <v>-40</v>
      </c>
      <c r="D1356" t="s">
        <v>305</v>
      </c>
      <c r="E1356" t="s">
        <v>460</v>
      </c>
      <c r="F1356" t="s">
        <v>1494</v>
      </c>
      <c r="G1356" t="s">
        <v>346</v>
      </c>
      <c r="I1356" t="s">
        <v>272</v>
      </c>
    </row>
    <row r="1357" spans="1:9" x14ac:dyDescent="0.3">
      <c r="A1357" t="s">
        <v>296</v>
      </c>
      <c r="B1357" s="5">
        <v>41424</v>
      </c>
      <c r="C1357">
        <v>-36.78</v>
      </c>
      <c r="D1357" t="s">
        <v>305</v>
      </c>
      <c r="E1357" t="s">
        <v>460</v>
      </c>
      <c r="G1357" t="s">
        <v>653</v>
      </c>
      <c r="I1357" t="s">
        <v>272</v>
      </c>
    </row>
    <row r="1358" spans="1:9" x14ac:dyDescent="0.3">
      <c r="A1358" t="s">
        <v>296</v>
      </c>
      <c r="B1358" s="5">
        <v>41425</v>
      </c>
      <c r="C1358">
        <v>25</v>
      </c>
      <c r="D1358" t="s">
        <v>305</v>
      </c>
      <c r="E1358" t="s">
        <v>438</v>
      </c>
      <c r="F1358" t="s">
        <v>1288</v>
      </c>
      <c r="G1358" t="s">
        <v>14</v>
      </c>
    </row>
    <row r="1359" spans="1:9" x14ac:dyDescent="0.3">
      <c r="A1359" t="s">
        <v>296</v>
      </c>
      <c r="B1359" s="5">
        <v>41425</v>
      </c>
      <c r="C1359">
        <v>-28.02</v>
      </c>
      <c r="D1359" t="s">
        <v>305</v>
      </c>
      <c r="E1359" t="s">
        <v>437</v>
      </c>
      <c r="G1359" t="s">
        <v>343</v>
      </c>
    </row>
    <row r="1360" spans="1:9" x14ac:dyDescent="0.3">
      <c r="A1360" t="s">
        <v>296</v>
      </c>
      <c r="B1360" s="5">
        <v>41427</v>
      </c>
      <c r="C1360">
        <v>15.75</v>
      </c>
      <c r="D1360" t="s">
        <v>305</v>
      </c>
      <c r="E1360" t="s">
        <v>1495</v>
      </c>
      <c r="F1360" t="s">
        <v>1496</v>
      </c>
      <c r="G1360" t="s">
        <v>73</v>
      </c>
    </row>
    <row r="1361" spans="1:9" x14ac:dyDescent="0.3">
      <c r="A1361" t="s">
        <v>296</v>
      </c>
      <c r="B1361" s="5">
        <v>41427</v>
      </c>
      <c r="C1361">
        <v>-104.22</v>
      </c>
      <c r="D1361" t="s">
        <v>305</v>
      </c>
      <c r="E1361" t="s">
        <v>443</v>
      </c>
      <c r="F1361" t="s">
        <v>1293</v>
      </c>
      <c r="G1361" t="s">
        <v>343</v>
      </c>
    </row>
    <row r="1362" spans="1:9" x14ac:dyDescent="0.3">
      <c r="A1362" t="s">
        <v>296</v>
      </c>
      <c r="B1362" s="5">
        <v>41427</v>
      </c>
      <c r="C1362">
        <v>-18.600000000000001</v>
      </c>
      <c r="D1362" t="s">
        <v>305</v>
      </c>
      <c r="E1362" t="s">
        <v>452</v>
      </c>
      <c r="F1362" t="s">
        <v>1364</v>
      </c>
      <c r="G1362" t="s">
        <v>453</v>
      </c>
      <c r="I1362" t="s">
        <v>272</v>
      </c>
    </row>
    <row r="1363" spans="1:9" x14ac:dyDescent="0.3">
      <c r="A1363" t="s">
        <v>296</v>
      </c>
      <c r="B1363" s="5">
        <v>41427</v>
      </c>
      <c r="C1363">
        <v>-45.89</v>
      </c>
      <c r="D1363" t="s">
        <v>305</v>
      </c>
      <c r="E1363" t="s">
        <v>452</v>
      </c>
      <c r="G1363" t="s">
        <v>455</v>
      </c>
      <c r="I1363" t="s">
        <v>272</v>
      </c>
    </row>
    <row r="1364" spans="1:9" x14ac:dyDescent="0.3">
      <c r="A1364" t="s">
        <v>296</v>
      </c>
      <c r="B1364" s="5">
        <v>41427</v>
      </c>
      <c r="C1364">
        <v>-58.19</v>
      </c>
      <c r="D1364" t="s">
        <v>305</v>
      </c>
      <c r="E1364" t="s">
        <v>452</v>
      </c>
      <c r="G1364" t="s">
        <v>454</v>
      </c>
      <c r="I1364" t="s">
        <v>272</v>
      </c>
    </row>
    <row r="1365" spans="1:9" x14ac:dyDescent="0.3">
      <c r="A1365" t="s">
        <v>296</v>
      </c>
      <c r="B1365" s="5">
        <v>41428</v>
      </c>
      <c r="C1365" s="4">
        <v>3702.12</v>
      </c>
      <c r="D1365" t="s">
        <v>305</v>
      </c>
      <c r="E1365" t="s">
        <v>322</v>
      </c>
      <c r="F1365" t="s">
        <v>607</v>
      </c>
      <c r="G1365" t="s">
        <v>9</v>
      </c>
    </row>
    <row r="1366" spans="1:9" x14ac:dyDescent="0.3">
      <c r="A1366" t="s">
        <v>296</v>
      </c>
      <c r="B1366" s="5">
        <v>41428</v>
      </c>
      <c r="C1366">
        <v>-58.6</v>
      </c>
      <c r="D1366" t="s">
        <v>305</v>
      </c>
      <c r="E1366" t="s">
        <v>442</v>
      </c>
      <c r="F1366" t="s">
        <v>1497</v>
      </c>
      <c r="G1366" t="s">
        <v>343</v>
      </c>
    </row>
    <row r="1367" spans="1:9" x14ac:dyDescent="0.3">
      <c r="A1367" t="s">
        <v>296</v>
      </c>
      <c r="B1367" s="5">
        <v>41428</v>
      </c>
      <c r="C1367">
        <v>-6.98</v>
      </c>
      <c r="D1367" t="s">
        <v>305</v>
      </c>
      <c r="E1367" t="s">
        <v>437</v>
      </c>
      <c r="G1367" t="s">
        <v>343</v>
      </c>
    </row>
    <row r="1368" spans="1:9" x14ac:dyDescent="0.3">
      <c r="A1368" t="s">
        <v>296</v>
      </c>
      <c r="B1368" s="5">
        <v>41428</v>
      </c>
      <c r="C1368">
        <v>-18.52</v>
      </c>
      <c r="D1368" t="s">
        <v>305</v>
      </c>
      <c r="E1368" t="s">
        <v>433</v>
      </c>
      <c r="F1368" t="s">
        <v>1498</v>
      </c>
      <c r="G1368" t="s">
        <v>343</v>
      </c>
    </row>
    <row r="1369" spans="1:9" x14ac:dyDescent="0.3">
      <c r="A1369" t="s">
        <v>296</v>
      </c>
      <c r="B1369" s="5">
        <v>41429</v>
      </c>
      <c r="C1369">
        <v>-46.71</v>
      </c>
      <c r="D1369" t="s">
        <v>305</v>
      </c>
      <c r="E1369" t="s">
        <v>442</v>
      </c>
      <c r="F1369" t="s">
        <v>1499</v>
      </c>
      <c r="G1369" t="s">
        <v>343</v>
      </c>
    </row>
    <row r="1370" spans="1:9" x14ac:dyDescent="0.3">
      <c r="A1370" t="s">
        <v>296</v>
      </c>
      <c r="B1370" s="5">
        <v>41433</v>
      </c>
      <c r="C1370">
        <v>-36.799999999999997</v>
      </c>
      <c r="D1370" t="s">
        <v>305</v>
      </c>
      <c r="E1370" t="s">
        <v>464</v>
      </c>
      <c r="F1370" t="s">
        <v>1290</v>
      </c>
      <c r="G1370" t="s">
        <v>404</v>
      </c>
    </row>
    <row r="1371" spans="1:9" x14ac:dyDescent="0.3">
      <c r="A1371" t="s">
        <v>296</v>
      </c>
      <c r="B1371" s="5">
        <v>41433</v>
      </c>
      <c r="C1371">
        <v>-86</v>
      </c>
      <c r="D1371" t="s">
        <v>305</v>
      </c>
      <c r="E1371" t="s">
        <v>468</v>
      </c>
      <c r="F1371" t="s">
        <v>1385</v>
      </c>
      <c r="G1371" t="s">
        <v>334</v>
      </c>
    </row>
    <row r="1372" spans="1:9" x14ac:dyDescent="0.3">
      <c r="A1372" t="s">
        <v>296</v>
      </c>
      <c r="B1372" s="5">
        <v>41433</v>
      </c>
      <c r="C1372">
        <v>-124.98</v>
      </c>
      <c r="D1372" t="s">
        <v>305</v>
      </c>
      <c r="E1372" t="s">
        <v>442</v>
      </c>
      <c r="F1372" t="s">
        <v>1499</v>
      </c>
      <c r="G1372" t="s">
        <v>343</v>
      </c>
    </row>
    <row r="1373" spans="1:9" x14ac:dyDescent="0.3">
      <c r="A1373" t="s">
        <v>296</v>
      </c>
      <c r="B1373" s="5">
        <v>41434</v>
      </c>
      <c r="C1373">
        <v>-24.15</v>
      </c>
      <c r="D1373" t="s">
        <v>305</v>
      </c>
      <c r="E1373" t="s">
        <v>1500</v>
      </c>
      <c r="F1373" t="s">
        <v>1501</v>
      </c>
      <c r="G1373" t="s">
        <v>418</v>
      </c>
    </row>
    <row r="1374" spans="1:9" x14ac:dyDescent="0.3">
      <c r="A1374" t="s">
        <v>296</v>
      </c>
      <c r="B1374" s="5">
        <v>41435</v>
      </c>
      <c r="C1374">
        <v>-4.99</v>
      </c>
      <c r="D1374" t="s">
        <v>305</v>
      </c>
      <c r="E1374" t="s">
        <v>437</v>
      </c>
      <c r="G1374" t="s">
        <v>343</v>
      </c>
    </row>
    <row r="1375" spans="1:9" x14ac:dyDescent="0.3">
      <c r="A1375" t="s">
        <v>296</v>
      </c>
      <c r="B1375" s="5">
        <v>41435</v>
      </c>
      <c r="C1375">
        <v>-15.94</v>
      </c>
      <c r="D1375" t="s">
        <v>305</v>
      </c>
      <c r="E1375" t="s">
        <v>1502</v>
      </c>
      <c r="F1375" t="s">
        <v>1503</v>
      </c>
      <c r="G1375" t="s">
        <v>360</v>
      </c>
    </row>
    <row r="1376" spans="1:9" x14ac:dyDescent="0.3">
      <c r="A1376" t="s">
        <v>296</v>
      </c>
      <c r="B1376" s="5">
        <v>41435</v>
      </c>
      <c r="C1376">
        <v>-50.37</v>
      </c>
      <c r="D1376" t="s">
        <v>305</v>
      </c>
      <c r="E1376" t="s">
        <v>1150</v>
      </c>
      <c r="F1376" t="s">
        <v>1504</v>
      </c>
      <c r="G1376" t="s">
        <v>417</v>
      </c>
    </row>
    <row r="1377" spans="1:9" x14ac:dyDescent="0.3">
      <c r="A1377" t="s">
        <v>296</v>
      </c>
      <c r="B1377" s="5">
        <v>41436</v>
      </c>
      <c r="C1377">
        <v>-4</v>
      </c>
      <c r="D1377" t="s">
        <v>305</v>
      </c>
      <c r="E1377" t="s">
        <v>473</v>
      </c>
      <c r="F1377" t="s">
        <v>1469</v>
      </c>
      <c r="G1377" t="s">
        <v>441</v>
      </c>
    </row>
    <row r="1378" spans="1:9" x14ac:dyDescent="0.3">
      <c r="A1378" t="s">
        <v>296</v>
      </c>
      <c r="B1378" s="5">
        <v>41436</v>
      </c>
      <c r="C1378">
        <v>-9.69</v>
      </c>
      <c r="D1378" t="s">
        <v>305</v>
      </c>
      <c r="E1378" t="s">
        <v>437</v>
      </c>
      <c r="G1378" t="s">
        <v>343</v>
      </c>
    </row>
    <row r="1379" spans="1:9" x14ac:dyDescent="0.3">
      <c r="A1379" t="s">
        <v>296</v>
      </c>
      <c r="B1379" s="5">
        <v>41436</v>
      </c>
      <c r="C1379">
        <v>-12.2</v>
      </c>
      <c r="D1379" t="s">
        <v>305</v>
      </c>
      <c r="E1379" t="s">
        <v>440</v>
      </c>
      <c r="F1379" t="s">
        <v>1457</v>
      </c>
      <c r="G1379" t="s">
        <v>441</v>
      </c>
    </row>
    <row r="1380" spans="1:9" x14ac:dyDescent="0.3">
      <c r="A1380" t="s">
        <v>296</v>
      </c>
      <c r="B1380" s="5">
        <v>41436</v>
      </c>
      <c r="C1380">
        <v>-40</v>
      </c>
      <c r="D1380" t="s">
        <v>305</v>
      </c>
      <c r="E1380" t="s">
        <v>1505</v>
      </c>
      <c r="F1380" t="s">
        <v>1506</v>
      </c>
      <c r="G1380" t="s">
        <v>73</v>
      </c>
    </row>
    <row r="1381" spans="1:9" x14ac:dyDescent="0.3">
      <c r="A1381" t="s">
        <v>296</v>
      </c>
      <c r="B1381" s="5">
        <v>41437</v>
      </c>
      <c r="C1381">
        <v>-9.49</v>
      </c>
      <c r="D1381" t="s">
        <v>305</v>
      </c>
      <c r="E1381" t="s">
        <v>437</v>
      </c>
      <c r="G1381" t="s">
        <v>343</v>
      </c>
    </row>
    <row r="1382" spans="1:9" x14ac:dyDescent="0.3">
      <c r="A1382" t="s">
        <v>296</v>
      </c>
      <c r="B1382" s="5">
        <v>41438</v>
      </c>
      <c r="C1382">
        <v>-9.52</v>
      </c>
      <c r="D1382" t="s">
        <v>305</v>
      </c>
      <c r="E1382" t="s">
        <v>437</v>
      </c>
      <c r="G1382" t="s">
        <v>343</v>
      </c>
    </row>
    <row r="1383" spans="1:9" x14ac:dyDescent="0.3">
      <c r="A1383" t="s">
        <v>296</v>
      </c>
      <c r="B1383" s="5">
        <v>41439</v>
      </c>
      <c r="C1383">
        <v>44</v>
      </c>
      <c r="D1383" t="s">
        <v>305</v>
      </c>
      <c r="E1383" t="s">
        <v>1507</v>
      </c>
      <c r="F1383" t="s">
        <v>1271</v>
      </c>
      <c r="G1383" t="s">
        <v>348</v>
      </c>
    </row>
    <row r="1384" spans="1:9" x14ac:dyDescent="0.3">
      <c r="A1384" t="s">
        <v>296</v>
      </c>
      <c r="B1384" s="5">
        <v>41439</v>
      </c>
      <c r="C1384">
        <v>-9.2899999999999991</v>
      </c>
      <c r="D1384" t="s">
        <v>305</v>
      </c>
      <c r="E1384" t="s">
        <v>475</v>
      </c>
      <c r="F1384" t="s">
        <v>1286</v>
      </c>
      <c r="G1384" t="s">
        <v>334</v>
      </c>
    </row>
    <row r="1385" spans="1:9" x14ac:dyDescent="0.3">
      <c r="A1385" t="s">
        <v>296</v>
      </c>
      <c r="B1385" s="5">
        <v>41440</v>
      </c>
      <c r="C1385">
        <v>43.76</v>
      </c>
      <c r="D1385" t="s">
        <v>305</v>
      </c>
      <c r="E1385" t="s">
        <v>431</v>
      </c>
      <c r="F1385" t="s">
        <v>1508</v>
      </c>
      <c r="G1385" t="s">
        <v>652</v>
      </c>
      <c r="I1385" t="s">
        <v>272</v>
      </c>
    </row>
    <row r="1386" spans="1:9" x14ac:dyDescent="0.3">
      <c r="A1386" t="s">
        <v>296</v>
      </c>
      <c r="B1386" s="5">
        <v>41440</v>
      </c>
      <c r="C1386">
        <v>16.39</v>
      </c>
      <c r="D1386" t="s">
        <v>305</v>
      </c>
      <c r="E1386" t="s">
        <v>431</v>
      </c>
      <c r="F1386" t="s">
        <v>1509</v>
      </c>
      <c r="G1386" t="s">
        <v>652</v>
      </c>
      <c r="I1386" t="s">
        <v>272</v>
      </c>
    </row>
    <row r="1387" spans="1:9" x14ac:dyDescent="0.3">
      <c r="A1387" t="s">
        <v>296</v>
      </c>
      <c r="B1387" s="5">
        <v>41440</v>
      </c>
      <c r="C1387">
        <v>33.56</v>
      </c>
      <c r="D1387" t="s">
        <v>305</v>
      </c>
      <c r="E1387" t="s">
        <v>431</v>
      </c>
      <c r="F1387" t="s">
        <v>1337</v>
      </c>
      <c r="G1387" t="s">
        <v>613</v>
      </c>
      <c r="I1387" t="s">
        <v>272</v>
      </c>
    </row>
    <row r="1388" spans="1:9" x14ac:dyDescent="0.3">
      <c r="A1388" t="s">
        <v>296</v>
      </c>
      <c r="B1388" s="5">
        <v>41440</v>
      </c>
      <c r="C1388">
        <v>-77.86</v>
      </c>
      <c r="D1388" t="s">
        <v>305</v>
      </c>
      <c r="E1388" t="s">
        <v>1482</v>
      </c>
      <c r="F1388" t="s">
        <v>1483</v>
      </c>
      <c r="G1388" t="s">
        <v>334</v>
      </c>
    </row>
    <row r="1389" spans="1:9" x14ac:dyDescent="0.3">
      <c r="A1389" t="s">
        <v>296</v>
      </c>
      <c r="B1389" s="5">
        <v>41440</v>
      </c>
      <c r="C1389">
        <v>-152.21</v>
      </c>
      <c r="D1389" t="s">
        <v>305</v>
      </c>
      <c r="E1389" t="s">
        <v>431</v>
      </c>
      <c r="F1389" t="s">
        <v>1510</v>
      </c>
      <c r="G1389" t="s">
        <v>360</v>
      </c>
      <c r="I1389" t="s">
        <v>272</v>
      </c>
    </row>
    <row r="1390" spans="1:9" x14ac:dyDescent="0.3">
      <c r="A1390" t="s">
        <v>296</v>
      </c>
      <c r="B1390" s="5">
        <v>41440</v>
      </c>
      <c r="C1390">
        <v>-5.45</v>
      </c>
      <c r="D1390" t="s">
        <v>305</v>
      </c>
      <c r="E1390" t="s">
        <v>431</v>
      </c>
      <c r="F1390" t="s">
        <v>1511</v>
      </c>
      <c r="G1390" t="s">
        <v>308</v>
      </c>
      <c r="I1390" t="s">
        <v>272</v>
      </c>
    </row>
    <row r="1391" spans="1:9" x14ac:dyDescent="0.3">
      <c r="A1391" t="s">
        <v>296</v>
      </c>
      <c r="B1391" s="5">
        <v>41440</v>
      </c>
      <c r="C1391">
        <v>-159.4</v>
      </c>
      <c r="D1391" t="s">
        <v>305</v>
      </c>
      <c r="E1391" t="s">
        <v>442</v>
      </c>
      <c r="F1391" t="s">
        <v>1499</v>
      </c>
      <c r="G1391" t="s">
        <v>343</v>
      </c>
    </row>
    <row r="1392" spans="1:9" x14ac:dyDescent="0.3">
      <c r="A1392" t="s">
        <v>296</v>
      </c>
      <c r="B1392" s="5">
        <v>41441</v>
      </c>
      <c r="C1392">
        <v>11</v>
      </c>
      <c r="D1392" t="s">
        <v>305</v>
      </c>
      <c r="E1392" t="s">
        <v>1512</v>
      </c>
      <c r="F1392" t="s">
        <v>1513</v>
      </c>
      <c r="G1392" t="s">
        <v>17</v>
      </c>
    </row>
    <row r="1393" spans="1:7" x14ac:dyDescent="0.3">
      <c r="A1393" t="s">
        <v>296</v>
      </c>
      <c r="B1393" s="5">
        <v>41441</v>
      </c>
      <c r="C1393">
        <v>-6.52</v>
      </c>
      <c r="D1393" t="s">
        <v>305</v>
      </c>
      <c r="E1393" t="s">
        <v>1514</v>
      </c>
      <c r="F1393" t="s">
        <v>1515</v>
      </c>
      <c r="G1393" t="s">
        <v>334</v>
      </c>
    </row>
    <row r="1394" spans="1:7" x14ac:dyDescent="0.3">
      <c r="A1394" t="s">
        <v>296</v>
      </c>
      <c r="B1394" s="5">
        <v>41441</v>
      </c>
      <c r="C1394">
        <v>-7.52</v>
      </c>
      <c r="D1394" t="s">
        <v>305</v>
      </c>
      <c r="E1394" t="s">
        <v>1514</v>
      </c>
      <c r="F1394" t="s">
        <v>1515</v>
      </c>
      <c r="G1394" t="s">
        <v>334</v>
      </c>
    </row>
    <row r="1395" spans="1:7" x14ac:dyDescent="0.3">
      <c r="A1395" t="s">
        <v>296</v>
      </c>
      <c r="B1395" s="5">
        <v>41441</v>
      </c>
      <c r="C1395">
        <v>-8.75</v>
      </c>
      <c r="D1395" t="s">
        <v>305</v>
      </c>
      <c r="E1395" t="s">
        <v>1170</v>
      </c>
      <c r="F1395" t="s">
        <v>1321</v>
      </c>
      <c r="G1395" t="s">
        <v>73</v>
      </c>
    </row>
    <row r="1396" spans="1:7" x14ac:dyDescent="0.3">
      <c r="A1396" t="s">
        <v>296</v>
      </c>
      <c r="B1396" s="5">
        <v>41441</v>
      </c>
      <c r="C1396">
        <v>-11</v>
      </c>
      <c r="D1396" t="s">
        <v>305</v>
      </c>
      <c r="E1396" t="s">
        <v>1512</v>
      </c>
      <c r="F1396" t="s">
        <v>1516</v>
      </c>
      <c r="G1396" t="s">
        <v>17</v>
      </c>
    </row>
    <row r="1397" spans="1:7" x14ac:dyDescent="0.3">
      <c r="A1397" t="s">
        <v>296</v>
      </c>
      <c r="B1397" s="5">
        <v>41441</v>
      </c>
      <c r="C1397">
        <v>-12.77</v>
      </c>
      <c r="D1397" t="s">
        <v>305</v>
      </c>
      <c r="E1397" t="s">
        <v>443</v>
      </c>
      <c r="F1397" t="s">
        <v>1293</v>
      </c>
      <c r="G1397" t="s">
        <v>343</v>
      </c>
    </row>
    <row r="1398" spans="1:7" x14ac:dyDescent="0.3">
      <c r="A1398" t="s">
        <v>296</v>
      </c>
      <c r="B1398" s="5">
        <v>41441</v>
      </c>
      <c r="C1398">
        <v>-19</v>
      </c>
      <c r="D1398" t="s">
        <v>305</v>
      </c>
      <c r="E1398" t="s">
        <v>1487</v>
      </c>
      <c r="F1398" t="s">
        <v>1517</v>
      </c>
      <c r="G1398" t="s">
        <v>17</v>
      </c>
    </row>
    <row r="1399" spans="1:7" x14ac:dyDescent="0.3">
      <c r="A1399" t="s">
        <v>296</v>
      </c>
      <c r="B1399" s="5">
        <v>41443</v>
      </c>
      <c r="C1399">
        <v>-15.77</v>
      </c>
      <c r="D1399" t="s">
        <v>305</v>
      </c>
      <c r="E1399" t="s">
        <v>1518</v>
      </c>
      <c r="F1399" t="s">
        <v>1519</v>
      </c>
      <c r="G1399" t="s">
        <v>476</v>
      </c>
    </row>
    <row r="1400" spans="1:7" x14ac:dyDescent="0.3">
      <c r="A1400" t="s">
        <v>296</v>
      </c>
      <c r="B1400" s="5">
        <v>41443</v>
      </c>
      <c r="C1400">
        <v>-20.41</v>
      </c>
      <c r="D1400" t="s">
        <v>305</v>
      </c>
      <c r="E1400" t="s">
        <v>1237</v>
      </c>
      <c r="F1400" t="s">
        <v>1318</v>
      </c>
      <c r="G1400" t="s">
        <v>334</v>
      </c>
    </row>
    <row r="1401" spans="1:7" x14ac:dyDescent="0.3">
      <c r="A1401" t="s">
        <v>296</v>
      </c>
      <c r="B1401" s="5">
        <v>41443</v>
      </c>
      <c r="C1401">
        <v>-37.799999999999997</v>
      </c>
      <c r="D1401" t="s">
        <v>305</v>
      </c>
      <c r="E1401" t="s">
        <v>442</v>
      </c>
      <c r="F1401" t="s">
        <v>1499</v>
      </c>
      <c r="G1401" t="s">
        <v>343</v>
      </c>
    </row>
    <row r="1402" spans="1:7" x14ac:dyDescent="0.3">
      <c r="A1402" t="s">
        <v>296</v>
      </c>
      <c r="B1402" s="5">
        <v>41445</v>
      </c>
      <c r="C1402">
        <v>-36.1</v>
      </c>
      <c r="D1402" t="s">
        <v>305</v>
      </c>
      <c r="E1402" t="s">
        <v>442</v>
      </c>
      <c r="F1402" t="s">
        <v>1499</v>
      </c>
      <c r="G1402" t="s">
        <v>343</v>
      </c>
    </row>
    <row r="1403" spans="1:7" x14ac:dyDescent="0.3">
      <c r="A1403" t="s">
        <v>296</v>
      </c>
      <c r="B1403" s="5">
        <v>41447</v>
      </c>
      <c r="C1403">
        <v>-5.46</v>
      </c>
      <c r="D1403" t="s">
        <v>305</v>
      </c>
      <c r="E1403" t="s">
        <v>1520</v>
      </c>
      <c r="F1403" t="s">
        <v>1521</v>
      </c>
      <c r="G1403" t="s">
        <v>444</v>
      </c>
    </row>
    <row r="1404" spans="1:7" x14ac:dyDescent="0.3">
      <c r="A1404" t="s">
        <v>296</v>
      </c>
      <c r="B1404" s="5">
        <v>41447</v>
      </c>
      <c r="C1404">
        <v>-7.12</v>
      </c>
      <c r="D1404" t="s">
        <v>305</v>
      </c>
      <c r="E1404" t="s">
        <v>1300</v>
      </c>
      <c r="F1404" t="s">
        <v>1522</v>
      </c>
      <c r="G1404" t="s">
        <v>334</v>
      </c>
    </row>
    <row r="1405" spans="1:7" x14ac:dyDescent="0.3">
      <c r="A1405" t="s">
        <v>296</v>
      </c>
      <c r="B1405" s="5">
        <v>41447</v>
      </c>
      <c r="C1405">
        <v>-7.2</v>
      </c>
      <c r="D1405" t="s">
        <v>305</v>
      </c>
      <c r="E1405" t="s">
        <v>1300</v>
      </c>
      <c r="F1405" t="s">
        <v>1522</v>
      </c>
      <c r="G1405" t="s">
        <v>334</v>
      </c>
    </row>
    <row r="1406" spans="1:7" x14ac:dyDescent="0.3">
      <c r="A1406" t="s">
        <v>296</v>
      </c>
      <c r="B1406" s="5">
        <v>41447</v>
      </c>
      <c r="C1406">
        <v>-78.95</v>
      </c>
      <c r="D1406" t="s">
        <v>305</v>
      </c>
      <c r="E1406" t="s">
        <v>442</v>
      </c>
      <c r="F1406" t="s">
        <v>1499</v>
      </c>
      <c r="G1406" t="s">
        <v>343</v>
      </c>
    </row>
    <row r="1407" spans="1:7" x14ac:dyDescent="0.3">
      <c r="A1407" t="s">
        <v>296</v>
      </c>
      <c r="B1407" s="5">
        <v>41447</v>
      </c>
      <c r="C1407">
        <v>-87.58</v>
      </c>
      <c r="D1407" t="s">
        <v>305</v>
      </c>
      <c r="E1407" t="s">
        <v>1523</v>
      </c>
      <c r="F1407" t="s">
        <v>1524</v>
      </c>
      <c r="G1407" t="s">
        <v>346</v>
      </c>
    </row>
    <row r="1408" spans="1:7" x14ac:dyDescent="0.3">
      <c r="A1408" t="s">
        <v>296</v>
      </c>
      <c r="B1408" s="5">
        <v>41448</v>
      </c>
      <c r="C1408">
        <v>-54</v>
      </c>
      <c r="D1408" t="s">
        <v>305</v>
      </c>
      <c r="E1408" t="s">
        <v>1224</v>
      </c>
      <c r="F1408" t="s">
        <v>1311</v>
      </c>
      <c r="G1408" t="s">
        <v>334</v>
      </c>
    </row>
    <row r="1409" spans="1:7" x14ac:dyDescent="0.3">
      <c r="A1409" t="s">
        <v>296</v>
      </c>
      <c r="B1409" s="5">
        <v>41448</v>
      </c>
      <c r="C1409">
        <v>-55.92</v>
      </c>
      <c r="D1409" t="s">
        <v>305</v>
      </c>
      <c r="E1409" t="s">
        <v>1525</v>
      </c>
      <c r="F1409" t="s">
        <v>1526</v>
      </c>
      <c r="G1409" t="s">
        <v>458</v>
      </c>
    </row>
    <row r="1410" spans="1:7" x14ac:dyDescent="0.3">
      <c r="A1410" t="s">
        <v>296</v>
      </c>
      <c r="B1410" s="5">
        <v>41451</v>
      </c>
      <c r="C1410">
        <v>-18</v>
      </c>
      <c r="D1410" t="s">
        <v>305</v>
      </c>
      <c r="E1410" t="s">
        <v>442</v>
      </c>
      <c r="F1410" t="s">
        <v>1499</v>
      </c>
      <c r="G1410" t="s">
        <v>343</v>
      </c>
    </row>
    <row r="1411" spans="1:7" x14ac:dyDescent="0.3">
      <c r="A1411" t="s">
        <v>296</v>
      </c>
      <c r="B1411" s="5">
        <v>41451</v>
      </c>
      <c r="C1411">
        <v>-33.409999999999997</v>
      </c>
      <c r="D1411" t="s">
        <v>305</v>
      </c>
      <c r="E1411" t="s">
        <v>1150</v>
      </c>
      <c r="F1411" t="s">
        <v>1504</v>
      </c>
      <c r="G1411" t="s">
        <v>417</v>
      </c>
    </row>
    <row r="1412" spans="1:7" x14ac:dyDescent="0.3">
      <c r="A1412" t="s">
        <v>296</v>
      </c>
      <c r="B1412" s="5">
        <v>41453</v>
      </c>
      <c r="C1412">
        <v>-7.99</v>
      </c>
      <c r="D1412" t="s">
        <v>305</v>
      </c>
      <c r="E1412" t="s">
        <v>460</v>
      </c>
      <c r="F1412" t="s">
        <v>1527</v>
      </c>
      <c r="G1412" t="s">
        <v>342</v>
      </c>
    </row>
    <row r="1413" spans="1:7" x14ac:dyDescent="0.3">
      <c r="A1413" t="s">
        <v>296</v>
      </c>
      <c r="B1413" s="5">
        <v>41453</v>
      </c>
      <c r="C1413">
        <v>-14.99</v>
      </c>
      <c r="D1413" t="s">
        <v>305</v>
      </c>
      <c r="E1413" t="s">
        <v>433</v>
      </c>
      <c r="F1413" t="s">
        <v>1498</v>
      </c>
      <c r="G1413" t="s">
        <v>343</v>
      </c>
    </row>
    <row r="1414" spans="1:7" x14ac:dyDescent="0.3">
      <c r="A1414" t="s">
        <v>296</v>
      </c>
      <c r="B1414" s="5">
        <v>41454</v>
      </c>
      <c r="C1414">
        <v>-26.35</v>
      </c>
      <c r="D1414" t="s">
        <v>305</v>
      </c>
      <c r="E1414" t="s">
        <v>1528</v>
      </c>
      <c r="G1414" t="s">
        <v>334</v>
      </c>
    </row>
    <row r="1415" spans="1:7" x14ac:dyDescent="0.3">
      <c r="A1415" t="s">
        <v>296</v>
      </c>
      <c r="B1415" s="5">
        <v>41454</v>
      </c>
      <c r="C1415">
        <v>-79</v>
      </c>
      <c r="D1415" t="s">
        <v>305</v>
      </c>
      <c r="E1415" t="s">
        <v>1529</v>
      </c>
      <c r="F1415" t="s">
        <v>1530</v>
      </c>
      <c r="G1415" t="s">
        <v>73</v>
      </c>
    </row>
    <row r="1416" spans="1:7" x14ac:dyDescent="0.3">
      <c r="A1416" t="s">
        <v>296</v>
      </c>
      <c r="B1416" s="5">
        <v>41455</v>
      </c>
      <c r="C1416">
        <v>-15.34</v>
      </c>
      <c r="D1416" t="s">
        <v>305</v>
      </c>
      <c r="E1416" t="s">
        <v>442</v>
      </c>
      <c r="F1416" t="s">
        <v>1499</v>
      </c>
      <c r="G1416" t="s">
        <v>343</v>
      </c>
    </row>
    <row r="1417" spans="1:7" x14ac:dyDescent="0.3">
      <c r="A1417" t="s">
        <v>296</v>
      </c>
      <c r="B1417" s="5">
        <v>41456</v>
      </c>
      <c r="C1417">
        <v>-9.76</v>
      </c>
      <c r="D1417" t="s">
        <v>305</v>
      </c>
      <c r="E1417" t="s">
        <v>1531</v>
      </c>
      <c r="F1417" t="s">
        <v>996</v>
      </c>
      <c r="G1417" t="s">
        <v>614</v>
      </c>
    </row>
    <row r="1418" spans="1:7" x14ac:dyDescent="0.3">
      <c r="A1418" t="s">
        <v>296</v>
      </c>
      <c r="B1418" s="5">
        <v>41456</v>
      </c>
      <c r="C1418">
        <v>-14.11</v>
      </c>
      <c r="D1418" t="s">
        <v>305</v>
      </c>
      <c r="E1418" t="s">
        <v>1532</v>
      </c>
      <c r="F1418" t="s">
        <v>996</v>
      </c>
      <c r="G1418" t="s">
        <v>444</v>
      </c>
    </row>
    <row r="1419" spans="1:7" x14ac:dyDescent="0.3">
      <c r="A1419" t="s">
        <v>296</v>
      </c>
      <c r="B1419" s="5">
        <v>41456</v>
      </c>
      <c r="C1419">
        <v>-17.59</v>
      </c>
      <c r="D1419" t="s">
        <v>305</v>
      </c>
      <c r="E1419" t="s">
        <v>1533</v>
      </c>
      <c r="F1419" t="s">
        <v>996</v>
      </c>
      <c r="G1419" t="s">
        <v>444</v>
      </c>
    </row>
    <row r="1420" spans="1:7" x14ac:dyDescent="0.3">
      <c r="A1420" t="s">
        <v>296</v>
      </c>
      <c r="B1420" s="5">
        <v>41456</v>
      </c>
      <c r="C1420">
        <v>-22.8</v>
      </c>
      <c r="D1420" t="s">
        <v>305</v>
      </c>
      <c r="E1420" t="s">
        <v>1534</v>
      </c>
      <c r="F1420" t="s">
        <v>996</v>
      </c>
      <c r="G1420" t="s">
        <v>444</v>
      </c>
    </row>
    <row r="1421" spans="1:7" x14ac:dyDescent="0.3">
      <c r="A1421" t="s">
        <v>296</v>
      </c>
      <c r="B1421" s="5">
        <v>41456</v>
      </c>
      <c r="C1421">
        <v>-23.89</v>
      </c>
      <c r="D1421" t="s">
        <v>305</v>
      </c>
      <c r="E1421" t="s">
        <v>1535</v>
      </c>
      <c r="F1421" t="s">
        <v>996</v>
      </c>
      <c r="G1421" t="s">
        <v>444</v>
      </c>
    </row>
    <row r="1422" spans="1:7" x14ac:dyDescent="0.3">
      <c r="A1422" t="s">
        <v>296</v>
      </c>
      <c r="B1422" s="5">
        <v>41456</v>
      </c>
      <c r="C1422">
        <v>-33.1</v>
      </c>
      <c r="D1422" t="s">
        <v>305</v>
      </c>
      <c r="E1422" t="s">
        <v>1532</v>
      </c>
      <c r="G1422" t="s">
        <v>444</v>
      </c>
    </row>
    <row r="1423" spans="1:7" x14ac:dyDescent="0.3">
      <c r="A1423" t="s">
        <v>296</v>
      </c>
      <c r="B1423" s="5">
        <v>41456</v>
      </c>
      <c r="C1423">
        <v>-68.11</v>
      </c>
      <c r="D1423" t="s">
        <v>305</v>
      </c>
      <c r="E1423" t="s">
        <v>1536</v>
      </c>
      <c r="F1423" t="s">
        <v>996</v>
      </c>
      <c r="G1423" t="s">
        <v>614</v>
      </c>
    </row>
    <row r="1424" spans="1:7" x14ac:dyDescent="0.3">
      <c r="A1424" t="s">
        <v>296</v>
      </c>
      <c r="B1424" s="5">
        <v>41456</v>
      </c>
      <c r="C1424">
        <v>-118.26</v>
      </c>
      <c r="D1424" t="s">
        <v>305</v>
      </c>
      <c r="E1424" t="s">
        <v>1537</v>
      </c>
      <c r="F1424" t="s">
        <v>1538</v>
      </c>
      <c r="G1424" t="s">
        <v>444</v>
      </c>
    </row>
    <row r="1425" spans="1:9" x14ac:dyDescent="0.3">
      <c r="A1425" t="s">
        <v>296</v>
      </c>
      <c r="B1425" s="5">
        <v>41456</v>
      </c>
      <c r="C1425">
        <v>-129.97999999999999</v>
      </c>
      <c r="D1425" t="s">
        <v>305</v>
      </c>
      <c r="E1425" t="s">
        <v>442</v>
      </c>
      <c r="F1425" t="s">
        <v>1499</v>
      </c>
      <c r="G1425" t="s">
        <v>343</v>
      </c>
    </row>
    <row r="1426" spans="1:9" x14ac:dyDescent="0.3">
      <c r="A1426" t="s">
        <v>296</v>
      </c>
      <c r="B1426" s="5">
        <v>41456</v>
      </c>
      <c r="C1426">
        <v>-131.33000000000001</v>
      </c>
      <c r="D1426" t="s">
        <v>305</v>
      </c>
      <c r="E1426" t="s">
        <v>1539</v>
      </c>
      <c r="F1426" t="s">
        <v>1540</v>
      </c>
      <c r="G1426" t="s">
        <v>444</v>
      </c>
    </row>
    <row r="1427" spans="1:9" x14ac:dyDescent="0.3">
      <c r="A1427" t="s">
        <v>296</v>
      </c>
      <c r="B1427" s="5">
        <v>41457</v>
      </c>
      <c r="C1427" s="4">
        <v>4089.89</v>
      </c>
      <c r="D1427" t="s">
        <v>305</v>
      </c>
      <c r="E1427" t="s">
        <v>322</v>
      </c>
      <c r="F1427" t="s">
        <v>607</v>
      </c>
      <c r="G1427" t="s">
        <v>9</v>
      </c>
    </row>
    <row r="1428" spans="1:9" x14ac:dyDescent="0.3">
      <c r="A1428" t="s">
        <v>296</v>
      </c>
      <c r="B1428" s="5">
        <v>41457</v>
      </c>
      <c r="C1428">
        <v>-36.049999999999997</v>
      </c>
      <c r="D1428" t="s">
        <v>305</v>
      </c>
      <c r="E1428" t="s">
        <v>1541</v>
      </c>
      <c r="F1428" t="s">
        <v>1542</v>
      </c>
      <c r="G1428" t="s">
        <v>334</v>
      </c>
    </row>
    <row r="1429" spans="1:9" x14ac:dyDescent="0.3">
      <c r="A1429" t="s">
        <v>296</v>
      </c>
      <c r="B1429" s="5">
        <v>41457</v>
      </c>
      <c r="C1429">
        <v>-18.579999999999998</v>
      </c>
      <c r="D1429" t="s">
        <v>305</v>
      </c>
      <c r="E1429" t="s">
        <v>452</v>
      </c>
      <c r="F1429" t="s">
        <v>607</v>
      </c>
      <c r="G1429" t="s">
        <v>453</v>
      </c>
      <c r="I1429" t="s">
        <v>272</v>
      </c>
    </row>
    <row r="1430" spans="1:9" x14ac:dyDescent="0.3">
      <c r="A1430" t="s">
        <v>296</v>
      </c>
      <c r="B1430" s="5">
        <v>41457</v>
      </c>
      <c r="C1430">
        <v>-58.2</v>
      </c>
      <c r="D1430" t="s">
        <v>305</v>
      </c>
      <c r="E1430" t="s">
        <v>452</v>
      </c>
      <c r="G1430" t="s">
        <v>454</v>
      </c>
      <c r="I1430" t="s">
        <v>272</v>
      </c>
    </row>
    <row r="1431" spans="1:9" x14ac:dyDescent="0.3">
      <c r="A1431" t="s">
        <v>296</v>
      </c>
      <c r="B1431" s="5">
        <v>41457</v>
      </c>
      <c r="C1431">
        <v>-45.9</v>
      </c>
      <c r="D1431" t="s">
        <v>305</v>
      </c>
      <c r="E1431" t="s">
        <v>452</v>
      </c>
      <c r="G1431" t="s">
        <v>455</v>
      </c>
      <c r="I1431" t="s">
        <v>272</v>
      </c>
    </row>
    <row r="1432" spans="1:9" x14ac:dyDescent="0.3">
      <c r="A1432" t="s">
        <v>296</v>
      </c>
      <c r="B1432" s="5">
        <v>41458</v>
      </c>
      <c r="C1432">
        <v>-29.84</v>
      </c>
      <c r="D1432" t="s">
        <v>305</v>
      </c>
      <c r="E1432" t="s">
        <v>1543</v>
      </c>
      <c r="F1432" t="s">
        <v>1544</v>
      </c>
      <c r="G1432" t="s">
        <v>636</v>
      </c>
    </row>
    <row r="1433" spans="1:9" x14ac:dyDescent="0.3">
      <c r="A1433" t="s">
        <v>296</v>
      </c>
      <c r="B1433" s="5">
        <v>41458</v>
      </c>
      <c r="C1433">
        <v>-34</v>
      </c>
      <c r="D1433" t="s">
        <v>305</v>
      </c>
      <c r="E1433" t="s">
        <v>1545</v>
      </c>
      <c r="F1433" t="s">
        <v>1348</v>
      </c>
      <c r="G1433" t="s">
        <v>404</v>
      </c>
    </row>
    <row r="1434" spans="1:9" x14ac:dyDescent="0.3">
      <c r="A1434" t="s">
        <v>296</v>
      </c>
      <c r="B1434" s="5">
        <v>41458</v>
      </c>
      <c r="C1434">
        <v>-54.98</v>
      </c>
      <c r="D1434" t="s">
        <v>305</v>
      </c>
      <c r="E1434" t="s">
        <v>1546</v>
      </c>
      <c r="F1434" t="s">
        <v>1347</v>
      </c>
      <c r="G1434" t="s">
        <v>334</v>
      </c>
    </row>
    <row r="1435" spans="1:9" x14ac:dyDescent="0.3">
      <c r="A1435" t="s">
        <v>296</v>
      </c>
      <c r="B1435" s="5">
        <v>41459</v>
      </c>
      <c r="C1435">
        <v>25</v>
      </c>
      <c r="D1435" t="s">
        <v>305</v>
      </c>
      <c r="E1435" t="s">
        <v>438</v>
      </c>
      <c r="F1435" t="s">
        <v>436</v>
      </c>
      <c r="G1435" t="s">
        <v>14</v>
      </c>
    </row>
    <row r="1436" spans="1:9" x14ac:dyDescent="0.3">
      <c r="A1436" t="s">
        <v>296</v>
      </c>
      <c r="B1436" s="5">
        <v>41459</v>
      </c>
      <c r="C1436">
        <v>-7.92</v>
      </c>
      <c r="D1436" t="s">
        <v>305</v>
      </c>
      <c r="E1436" t="s">
        <v>1547</v>
      </c>
      <c r="F1436" t="s">
        <v>1548</v>
      </c>
      <c r="G1436" t="s">
        <v>636</v>
      </c>
    </row>
    <row r="1437" spans="1:9" x14ac:dyDescent="0.3">
      <c r="A1437" t="s">
        <v>296</v>
      </c>
      <c r="B1437" s="5">
        <v>41459</v>
      </c>
      <c r="C1437">
        <v>-15.4</v>
      </c>
      <c r="D1437" t="s">
        <v>305</v>
      </c>
      <c r="E1437" t="s">
        <v>1549</v>
      </c>
      <c r="F1437" t="s">
        <v>1548</v>
      </c>
      <c r="G1437" t="s">
        <v>418</v>
      </c>
    </row>
    <row r="1438" spans="1:9" x14ac:dyDescent="0.3">
      <c r="A1438" t="s">
        <v>296</v>
      </c>
      <c r="B1438" s="5">
        <v>41459</v>
      </c>
      <c r="C1438">
        <v>-27</v>
      </c>
      <c r="D1438" t="s">
        <v>305</v>
      </c>
      <c r="E1438" t="s">
        <v>437</v>
      </c>
      <c r="G1438" t="s">
        <v>343</v>
      </c>
    </row>
    <row r="1439" spans="1:9" x14ac:dyDescent="0.3">
      <c r="A1439" t="s">
        <v>296</v>
      </c>
      <c r="B1439" s="5">
        <v>41460</v>
      </c>
      <c r="C1439">
        <v>-5.6</v>
      </c>
      <c r="D1439" t="s">
        <v>305</v>
      </c>
      <c r="E1439" t="s">
        <v>1187</v>
      </c>
      <c r="F1439" t="s">
        <v>1550</v>
      </c>
      <c r="G1439" t="s">
        <v>20</v>
      </c>
    </row>
    <row r="1440" spans="1:9" x14ac:dyDescent="0.3">
      <c r="A1440" t="s">
        <v>296</v>
      </c>
      <c r="B1440" s="5">
        <v>41460</v>
      </c>
      <c r="C1440">
        <v>-7.11</v>
      </c>
      <c r="D1440" t="s">
        <v>305</v>
      </c>
      <c r="E1440" t="s">
        <v>442</v>
      </c>
      <c r="F1440" t="s">
        <v>1551</v>
      </c>
      <c r="G1440" t="s">
        <v>360</v>
      </c>
    </row>
    <row r="1441" spans="1:9" x14ac:dyDescent="0.3">
      <c r="A1441" t="s">
        <v>296</v>
      </c>
      <c r="B1441" s="5">
        <v>41460</v>
      </c>
      <c r="C1441">
        <v>-24.07</v>
      </c>
      <c r="D1441" t="s">
        <v>305</v>
      </c>
      <c r="E1441" t="s">
        <v>442</v>
      </c>
      <c r="F1441" t="s">
        <v>1499</v>
      </c>
      <c r="G1441" t="s">
        <v>343</v>
      </c>
    </row>
    <row r="1442" spans="1:9" x14ac:dyDescent="0.3">
      <c r="A1442" t="s">
        <v>296</v>
      </c>
      <c r="B1442" s="5">
        <v>41460</v>
      </c>
      <c r="C1442">
        <v>-10.94</v>
      </c>
      <c r="D1442" t="s">
        <v>305</v>
      </c>
      <c r="E1442" t="s">
        <v>442</v>
      </c>
      <c r="F1442" t="s">
        <v>1552</v>
      </c>
      <c r="G1442" t="s">
        <v>653</v>
      </c>
      <c r="I1442" t="s">
        <v>272</v>
      </c>
    </row>
    <row r="1443" spans="1:9" x14ac:dyDescent="0.3">
      <c r="A1443" t="s">
        <v>296</v>
      </c>
      <c r="B1443" s="5">
        <v>41460</v>
      </c>
      <c r="C1443">
        <v>-7.64</v>
      </c>
      <c r="D1443" t="s">
        <v>305</v>
      </c>
      <c r="E1443" t="s">
        <v>442</v>
      </c>
      <c r="F1443" t="s">
        <v>1553</v>
      </c>
      <c r="G1443" t="s">
        <v>20</v>
      </c>
      <c r="I1443" t="s">
        <v>272</v>
      </c>
    </row>
    <row r="1444" spans="1:9" x14ac:dyDescent="0.3">
      <c r="A1444" t="s">
        <v>296</v>
      </c>
      <c r="B1444" s="5">
        <v>41460</v>
      </c>
      <c r="C1444">
        <v>-8.1999999999999993</v>
      </c>
      <c r="D1444" t="s">
        <v>305</v>
      </c>
      <c r="E1444" t="s">
        <v>442</v>
      </c>
      <c r="F1444" t="s">
        <v>1554</v>
      </c>
      <c r="G1444" t="s">
        <v>359</v>
      </c>
      <c r="I1444" t="s">
        <v>272</v>
      </c>
    </row>
    <row r="1445" spans="1:9" x14ac:dyDescent="0.3">
      <c r="A1445" t="s">
        <v>296</v>
      </c>
      <c r="B1445" s="5">
        <v>41460</v>
      </c>
      <c r="C1445">
        <v>-3.28</v>
      </c>
      <c r="D1445" t="s">
        <v>305</v>
      </c>
      <c r="E1445" t="s">
        <v>442</v>
      </c>
      <c r="F1445" t="s">
        <v>1555</v>
      </c>
      <c r="G1445" t="s">
        <v>653</v>
      </c>
      <c r="I1445" t="s">
        <v>272</v>
      </c>
    </row>
    <row r="1446" spans="1:9" x14ac:dyDescent="0.3">
      <c r="A1446" t="s">
        <v>296</v>
      </c>
      <c r="B1446" s="5">
        <v>41460</v>
      </c>
      <c r="C1446">
        <v>-43.77</v>
      </c>
      <c r="D1446" t="s">
        <v>305</v>
      </c>
      <c r="E1446" t="s">
        <v>431</v>
      </c>
      <c r="F1446" t="s">
        <v>1556</v>
      </c>
      <c r="G1446" t="s">
        <v>308</v>
      </c>
    </row>
    <row r="1447" spans="1:9" x14ac:dyDescent="0.3">
      <c r="A1447" t="s">
        <v>296</v>
      </c>
      <c r="B1447" s="5">
        <v>41461</v>
      </c>
      <c r="C1447">
        <v>-30.09</v>
      </c>
      <c r="D1447" t="s">
        <v>305</v>
      </c>
      <c r="E1447" t="s">
        <v>442</v>
      </c>
      <c r="F1447" t="s">
        <v>1557</v>
      </c>
      <c r="G1447" t="s">
        <v>360</v>
      </c>
    </row>
    <row r="1448" spans="1:9" x14ac:dyDescent="0.3">
      <c r="A1448" t="s">
        <v>296</v>
      </c>
      <c r="B1448" s="5">
        <v>41461</v>
      </c>
      <c r="C1448">
        <v>-64.13</v>
      </c>
      <c r="D1448" t="s">
        <v>305</v>
      </c>
      <c r="E1448" t="s">
        <v>442</v>
      </c>
      <c r="F1448" t="s">
        <v>1499</v>
      </c>
      <c r="G1448" t="s">
        <v>343</v>
      </c>
    </row>
    <row r="1449" spans="1:9" x14ac:dyDescent="0.3">
      <c r="A1449" t="s">
        <v>296</v>
      </c>
      <c r="B1449" s="5">
        <v>41462</v>
      </c>
      <c r="C1449">
        <v>-20.149999999999999</v>
      </c>
      <c r="D1449" t="s">
        <v>305</v>
      </c>
      <c r="E1449" t="s">
        <v>1558</v>
      </c>
      <c r="F1449" t="s">
        <v>1559</v>
      </c>
      <c r="G1449" t="s">
        <v>334</v>
      </c>
    </row>
    <row r="1450" spans="1:9" x14ac:dyDescent="0.3">
      <c r="A1450" t="s">
        <v>296</v>
      </c>
      <c r="B1450" s="5">
        <v>41463</v>
      </c>
      <c r="C1450">
        <v>-45.95</v>
      </c>
      <c r="D1450" t="s">
        <v>305</v>
      </c>
      <c r="E1450" t="s">
        <v>1560</v>
      </c>
      <c r="F1450" t="s">
        <v>1561</v>
      </c>
      <c r="G1450" t="s">
        <v>360</v>
      </c>
    </row>
    <row r="1451" spans="1:9" x14ac:dyDescent="0.3">
      <c r="A1451" t="s">
        <v>296</v>
      </c>
      <c r="B1451" s="5">
        <v>41464</v>
      </c>
      <c r="C1451">
        <v>-4.28</v>
      </c>
      <c r="D1451" t="s">
        <v>305</v>
      </c>
      <c r="E1451" t="s">
        <v>437</v>
      </c>
      <c r="G1451" t="s">
        <v>343</v>
      </c>
    </row>
    <row r="1452" spans="1:9" x14ac:dyDescent="0.3">
      <c r="A1452" t="s">
        <v>296</v>
      </c>
      <c r="B1452" s="5">
        <v>41466</v>
      </c>
      <c r="C1452">
        <v>-13.43</v>
      </c>
      <c r="D1452" t="s">
        <v>305</v>
      </c>
      <c r="E1452" t="s">
        <v>440</v>
      </c>
      <c r="F1452" t="s">
        <v>1457</v>
      </c>
      <c r="G1452" t="s">
        <v>441</v>
      </c>
    </row>
    <row r="1453" spans="1:9" x14ac:dyDescent="0.3">
      <c r="A1453" t="s">
        <v>296</v>
      </c>
      <c r="B1453" s="5">
        <v>41468</v>
      </c>
      <c r="C1453">
        <v>-2.99</v>
      </c>
      <c r="D1453" t="s">
        <v>305</v>
      </c>
      <c r="E1453" t="s">
        <v>442</v>
      </c>
      <c r="F1453" t="s">
        <v>1499</v>
      </c>
      <c r="G1453" t="s">
        <v>343</v>
      </c>
    </row>
    <row r="1454" spans="1:9" x14ac:dyDescent="0.3">
      <c r="A1454" t="s">
        <v>296</v>
      </c>
      <c r="B1454" s="5">
        <v>41468</v>
      </c>
      <c r="C1454">
        <v>-4.29</v>
      </c>
      <c r="D1454" t="s">
        <v>305</v>
      </c>
      <c r="E1454" t="s">
        <v>437</v>
      </c>
      <c r="G1454" t="s">
        <v>343</v>
      </c>
    </row>
    <row r="1455" spans="1:9" x14ac:dyDescent="0.3">
      <c r="A1455" t="s">
        <v>296</v>
      </c>
      <c r="B1455" s="5">
        <v>41468</v>
      </c>
      <c r="C1455">
        <v>-15.6</v>
      </c>
      <c r="D1455" t="s">
        <v>305</v>
      </c>
      <c r="E1455" t="s">
        <v>433</v>
      </c>
      <c r="F1455" t="s">
        <v>1306</v>
      </c>
      <c r="G1455" t="s">
        <v>343</v>
      </c>
    </row>
    <row r="1456" spans="1:9" x14ac:dyDescent="0.3">
      <c r="A1456" t="s">
        <v>296</v>
      </c>
      <c r="B1456" s="5">
        <v>41468</v>
      </c>
      <c r="C1456">
        <v>-29.18</v>
      </c>
      <c r="D1456" t="s">
        <v>305</v>
      </c>
      <c r="E1456" t="s">
        <v>1562</v>
      </c>
      <c r="F1456" t="s">
        <v>1563</v>
      </c>
      <c r="G1456" t="s">
        <v>334</v>
      </c>
    </row>
    <row r="1457" spans="1:7" x14ac:dyDescent="0.3">
      <c r="A1457" t="s">
        <v>296</v>
      </c>
      <c r="B1457" s="5">
        <v>41468</v>
      </c>
      <c r="C1457">
        <v>-131.51</v>
      </c>
      <c r="D1457" t="s">
        <v>305</v>
      </c>
      <c r="E1457" t="s">
        <v>442</v>
      </c>
      <c r="F1457" t="s">
        <v>1499</v>
      </c>
      <c r="G1457" t="s">
        <v>343</v>
      </c>
    </row>
    <row r="1458" spans="1:7" x14ac:dyDescent="0.3">
      <c r="A1458" t="s">
        <v>296</v>
      </c>
      <c r="B1458" s="5">
        <v>41469</v>
      </c>
      <c r="C1458">
        <v>-38</v>
      </c>
      <c r="D1458" t="s">
        <v>305</v>
      </c>
      <c r="E1458" t="s">
        <v>1152</v>
      </c>
      <c r="F1458" t="s">
        <v>1564</v>
      </c>
      <c r="G1458" t="s">
        <v>317</v>
      </c>
    </row>
    <row r="1459" spans="1:7" x14ac:dyDescent="0.3">
      <c r="A1459" t="s">
        <v>296</v>
      </c>
      <c r="B1459" s="5">
        <v>41470</v>
      </c>
      <c r="C1459">
        <v>-5.46</v>
      </c>
      <c r="D1459" t="s">
        <v>305</v>
      </c>
      <c r="E1459" t="s">
        <v>645</v>
      </c>
      <c r="F1459" t="s">
        <v>1286</v>
      </c>
      <c r="G1459" t="s">
        <v>334</v>
      </c>
    </row>
    <row r="1460" spans="1:7" x14ac:dyDescent="0.3">
      <c r="A1460" t="s">
        <v>296</v>
      </c>
      <c r="B1460" s="5">
        <v>41470</v>
      </c>
      <c r="C1460">
        <v>-8.1999999999999993</v>
      </c>
      <c r="D1460" t="s">
        <v>305</v>
      </c>
      <c r="E1460" t="s">
        <v>645</v>
      </c>
      <c r="F1460" t="s">
        <v>1286</v>
      </c>
      <c r="G1460" t="s">
        <v>334</v>
      </c>
    </row>
    <row r="1461" spans="1:7" x14ac:dyDescent="0.3">
      <c r="A1461" t="s">
        <v>296</v>
      </c>
      <c r="B1461" s="5">
        <v>41470</v>
      </c>
      <c r="C1461">
        <v>-14.64</v>
      </c>
      <c r="D1461" t="s">
        <v>305</v>
      </c>
      <c r="E1461" t="s">
        <v>440</v>
      </c>
      <c r="F1461" t="s">
        <v>1457</v>
      </c>
      <c r="G1461" t="s">
        <v>441</v>
      </c>
    </row>
    <row r="1462" spans="1:7" x14ac:dyDescent="0.3">
      <c r="A1462" t="s">
        <v>296</v>
      </c>
      <c r="B1462" s="5">
        <v>41470</v>
      </c>
      <c r="C1462">
        <v>-15.33</v>
      </c>
      <c r="D1462" t="s">
        <v>305</v>
      </c>
      <c r="E1462" t="s">
        <v>437</v>
      </c>
      <c r="G1462" t="s">
        <v>343</v>
      </c>
    </row>
    <row r="1463" spans="1:7" x14ac:dyDescent="0.3">
      <c r="A1463" t="s">
        <v>296</v>
      </c>
      <c r="B1463" s="5">
        <v>41471</v>
      </c>
      <c r="C1463">
        <v>-8.75</v>
      </c>
      <c r="D1463" t="s">
        <v>305</v>
      </c>
      <c r="E1463" t="s">
        <v>1170</v>
      </c>
      <c r="F1463" t="s">
        <v>1321</v>
      </c>
      <c r="G1463" t="s">
        <v>73</v>
      </c>
    </row>
    <row r="1464" spans="1:7" x14ac:dyDescent="0.3">
      <c r="A1464" t="s">
        <v>296</v>
      </c>
      <c r="B1464" s="5">
        <v>41471</v>
      </c>
      <c r="C1464">
        <v>-50</v>
      </c>
      <c r="D1464" t="s">
        <v>305</v>
      </c>
      <c r="E1464" t="s">
        <v>1565</v>
      </c>
      <c r="F1464" t="s">
        <v>1566</v>
      </c>
      <c r="G1464" t="s">
        <v>621</v>
      </c>
    </row>
    <row r="1465" spans="1:7" x14ac:dyDescent="0.3">
      <c r="A1465" t="s">
        <v>296</v>
      </c>
      <c r="B1465" s="5">
        <v>41473</v>
      </c>
      <c r="C1465">
        <v>-67.17</v>
      </c>
      <c r="D1465" t="s">
        <v>305</v>
      </c>
      <c r="E1465" t="s">
        <v>433</v>
      </c>
      <c r="F1465" t="s">
        <v>1306</v>
      </c>
      <c r="G1465" t="s">
        <v>343</v>
      </c>
    </row>
    <row r="1466" spans="1:7" x14ac:dyDescent="0.3">
      <c r="A1466" t="s">
        <v>296</v>
      </c>
      <c r="B1466" s="5">
        <v>41474</v>
      </c>
      <c r="C1466">
        <v>-4.75</v>
      </c>
      <c r="D1466" t="s">
        <v>305</v>
      </c>
      <c r="E1466" t="s">
        <v>437</v>
      </c>
      <c r="G1466" t="s">
        <v>343</v>
      </c>
    </row>
    <row r="1467" spans="1:7" x14ac:dyDescent="0.3">
      <c r="A1467" t="s">
        <v>296</v>
      </c>
      <c r="B1467" s="5">
        <v>41475</v>
      </c>
      <c r="C1467">
        <v>-40.65</v>
      </c>
      <c r="D1467" t="s">
        <v>305</v>
      </c>
      <c r="E1467" t="s">
        <v>1567</v>
      </c>
      <c r="F1467" t="s">
        <v>1568</v>
      </c>
      <c r="G1467" t="s">
        <v>417</v>
      </c>
    </row>
    <row r="1468" spans="1:7" x14ac:dyDescent="0.3">
      <c r="A1468" t="s">
        <v>296</v>
      </c>
      <c r="B1468" s="5">
        <v>41476</v>
      </c>
      <c r="C1468">
        <v>-54.74</v>
      </c>
      <c r="D1468" t="s">
        <v>305</v>
      </c>
      <c r="E1468" t="s">
        <v>1569</v>
      </c>
      <c r="F1468" t="s">
        <v>1570</v>
      </c>
      <c r="G1468" t="s">
        <v>467</v>
      </c>
    </row>
    <row r="1469" spans="1:7" x14ac:dyDescent="0.3">
      <c r="A1469" t="s">
        <v>296</v>
      </c>
      <c r="B1469" s="5">
        <v>41477</v>
      </c>
      <c r="C1469">
        <v>-14.64</v>
      </c>
      <c r="D1469" t="s">
        <v>305</v>
      </c>
      <c r="E1469" t="s">
        <v>440</v>
      </c>
      <c r="F1469" t="s">
        <v>1457</v>
      </c>
      <c r="G1469" t="s">
        <v>441</v>
      </c>
    </row>
    <row r="1470" spans="1:7" x14ac:dyDescent="0.3">
      <c r="A1470" t="s">
        <v>296</v>
      </c>
      <c r="B1470" s="5">
        <v>41478</v>
      </c>
      <c r="C1470">
        <v>-8.1999999999999993</v>
      </c>
      <c r="D1470" t="s">
        <v>305</v>
      </c>
      <c r="E1470" t="s">
        <v>645</v>
      </c>
      <c r="F1470" t="s">
        <v>1286</v>
      </c>
      <c r="G1470" t="s">
        <v>334</v>
      </c>
    </row>
    <row r="1471" spans="1:7" x14ac:dyDescent="0.3">
      <c r="A1471" t="s">
        <v>296</v>
      </c>
      <c r="B1471" s="5">
        <v>41478</v>
      </c>
      <c r="C1471">
        <v>-15</v>
      </c>
      <c r="D1471" t="s">
        <v>305</v>
      </c>
      <c r="E1471" t="s">
        <v>1237</v>
      </c>
      <c r="F1471" t="s">
        <v>1318</v>
      </c>
      <c r="G1471" t="s">
        <v>334</v>
      </c>
    </row>
    <row r="1472" spans="1:7" x14ac:dyDescent="0.3">
      <c r="A1472" t="s">
        <v>296</v>
      </c>
      <c r="B1472" s="5">
        <v>41479</v>
      </c>
      <c r="C1472">
        <v>-13.02</v>
      </c>
      <c r="D1472" t="s">
        <v>305</v>
      </c>
      <c r="E1472" t="s">
        <v>1300</v>
      </c>
      <c r="F1472" t="s">
        <v>1301</v>
      </c>
      <c r="G1472" t="s">
        <v>334</v>
      </c>
    </row>
    <row r="1473" spans="1:9" x14ac:dyDescent="0.3">
      <c r="A1473" t="s">
        <v>296</v>
      </c>
      <c r="B1473" s="5">
        <v>41479</v>
      </c>
      <c r="C1473">
        <v>-234.6</v>
      </c>
      <c r="D1473" t="s">
        <v>305</v>
      </c>
      <c r="E1473" t="s">
        <v>1571</v>
      </c>
      <c r="F1473" t="s">
        <v>1572</v>
      </c>
      <c r="G1473" t="s">
        <v>620</v>
      </c>
    </row>
    <row r="1474" spans="1:9" x14ac:dyDescent="0.3">
      <c r="A1474" t="s">
        <v>296</v>
      </c>
      <c r="B1474" s="5">
        <v>41480</v>
      </c>
      <c r="C1474">
        <v>-20</v>
      </c>
      <c r="D1474" t="s">
        <v>305</v>
      </c>
      <c r="E1474" t="s">
        <v>439</v>
      </c>
      <c r="F1474" t="s">
        <v>1370</v>
      </c>
      <c r="G1474" t="s">
        <v>334</v>
      </c>
    </row>
    <row r="1475" spans="1:9" x14ac:dyDescent="0.3">
      <c r="A1475" t="s">
        <v>296</v>
      </c>
      <c r="B1475" s="5">
        <v>41480</v>
      </c>
      <c r="C1475">
        <v>-88.16</v>
      </c>
      <c r="D1475" t="s">
        <v>305</v>
      </c>
      <c r="E1475" t="s">
        <v>442</v>
      </c>
      <c r="F1475" t="s">
        <v>1573</v>
      </c>
      <c r="G1475" t="s">
        <v>632</v>
      </c>
    </row>
    <row r="1476" spans="1:9" x14ac:dyDescent="0.3">
      <c r="A1476" t="s">
        <v>296</v>
      </c>
      <c r="B1476" s="5">
        <v>41481</v>
      </c>
      <c r="C1476">
        <v>-15.52</v>
      </c>
      <c r="D1476" t="s">
        <v>305</v>
      </c>
      <c r="E1476" t="s">
        <v>437</v>
      </c>
      <c r="G1476" t="s">
        <v>343</v>
      </c>
    </row>
    <row r="1477" spans="1:9" x14ac:dyDescent="0.3">
      <c r="A1477" t="s">
        <v>296</v>
      </c>
      <c r="B1477" s="5">
        <v>41481</v>
      </c>
      <c r="C1477">
        <v>-28.34</v>
      </c>
      <c r="D1477" t="s">
        <v>305</v>
      </c>
      <c r="E1477" t="s">
        <v>1567</v>
      </c>
      <c r="F1477" t="s">
        <v>1574</v>
      </c>
      <c r="G1477" t="s">
        <v>417</v>
      </c>
    </row>
    <row r="1478" spans="1:9" x14ac:dyDescent="0.3">
      <c r="A1478" t="s">
        <v>296</v>
      </c>
      <c r="B1478" s="5">
        <v>41481</v>
      </c>
      <c r="C1478">
        <v>-39.47</v>
      </c>
      <c r="D1478" t="s">
        <v>305</v>
      </c>
      <c r="E1478" t="s">
        <v>442</v>
      </c>
      <c r="F1478" t="s">
        <v>1575</v>
      </c>
      <c r="G1478" t="s">
        <v>343</v>
      </c>
    </row>
    <row r="1479" spans="1:9" x14ac:dyDescent="0.3">
      <c r="A1479" t="s">
        <v>296</v>
      </c>
      <c r="B1479" s="5">
        <v>41482</v>
      </c>
      <c r="C1479">
        <v>-21.62</v>
      </c>
      <c r="D1479" t="s">
        <v>305</v>
      </c>
      <c r="E1479" t="s">
        <v>1576</v>
      </c>
      <c r="F1479" t="s">
        <v>1577</v>
      </c>
      <c r="G1479" t="s">
        <v>334</v>
      </c>
    </row>
    <row r="1480" spans="1:9" x14ac:dyDescent="0.3">
      <c r="A1480" t="s">
        <v>296</v>
      </c>
      <c r="B1480" s="5">
        <v>41482</v>
      </c>
      <c r="C1480">
        <v>-41.86</v>
      </c>
      <c r="D1480" t="s">
        <v>305</v>
      </c>
      <c r="E1480" t="s">
        <v>1578</v>
      </c>
      <c r="F1480" t="s">
        <v>1579</v>
      </c>
      <c r="G1480" t="s">
        <v>334</v>
      </c>
    </row>
    <row r="1481" spans="1:9" x14ac:dyDescent="0.3">
      <c r="A1481" t="s">
        <v>296</v>
      </c>
      <c r="B1481" s="5">
        <v>41482</v>
      </c>
      <c r="C1481">
        <v>-48.88</v>
      </c>
      <c r="D1481" t="s">
        <v>305</v>
      </c>
      <c r="E1481" t="s">
        <v>446</v>
      </c>
      <c r="F1481" t="s">
        <v>1580</v>
      </c>
      <c r="G1481" t="s">
        <v>20</v>
      </c>
    </row>
    <row r="1482" spans="1:9" x14ac:dyDescent="0.3">
      <c r="A1482" t="s">
        <v>296</v>
      </c>
      <c r="B1482" s="5">
        <v>41483</v>
      </c>
      <c r="C1482">
        <v>-9.94</v>
      </c>
      <c r="D1482" t="s">
        <v>305</v>
      </c>
      <c r="E1482" t="s">
        <v>447</v>
      </c>
      <c r="F1482" t="s">
        <v>1581</v>
      </c>
      <c r="G1482" t="s">
        <v>334</v>
      </c>
    </row>
    <row r="1483" spans="1:9" x14ac:dyDescent="0.3">
      <c r="A1483" t="s">
        <v>296</v>
      </c>
      <c r="B1483" s="5">
        <v>41483</v>
      </c>
      <c r="C1483">
        <v>-10.71</v>
      </c>
      <c r="D1483" t="s">
        <v>305</v>
      </c>
      <c r="E1483" t="s">
        <v>448</v>
      </c>
      <c r="F1483" t="s">
        <v>1281</v>
      </c>
      <c r="G1483" t="s">
        <v>343</v>
      </c>
    </row>
    <row r="1484" spans="1:9" x14ac:dyDescent="0.3">
      <c r="A1484" t="s">
        <v>296</v>
      </c>
      <c r="B1484" s="5">
        <v>41483</v>
      </c>
      <c r="C1484">
        <v>-19.420000000000002</v>
      </c>
      <c r="D1484" t="s">
        <v>305</v>
      </c>
      <c r="E1484" t="s">
        <v>1582</v>
      </c>
      <c r="F1484" t="s">
        <v>1583</v>
      </c>
      <c r="G1484" t="s">
        <v>658</v>
      </c>
    </row>
    <row r="1485" spans="1:9" x14ac:dyDescent="0.3">
      <c r="A1485" t="s">
        <v>296</v>
      </c>
      <c r="B1485" s="5">
        <v>41483</v>
      </c>
      <c r="C1485">
        <v>-68.53</v>
      </c>
      <c r="D1485" t="s">
        <v>305</v>
      </c>
      <c r="E1485" t="s">
        <v>443</v>
      </c>
      <c r="F1485" t="s">
        <v>1293</v>
      </c>
      <c r="G1485" t="s">
        <v>343</v>
      </c>
    </row>
    <row r="1486" spans="1:9" x14ac:dyDescent="0.3">
      <c r="A1486" t="s">
        <v>296</v>
      </c>
      <c r="B1486" s="5">
        <v>41483</v>
      </c>
      <c r="C1486">
        <v>-96.07</v>
      </c>
      <c r="D1486" t="s">
        <v>305</v>
      </c>
      <c r="E1486" t="s">
        <v>442</v>
      </c>
      <c r="F1486" t="s">
        <v>1499</v>
      </c>
      <c r="G1486" t="s">
        <v>343</v>
      </c>
    </row>
    <row r="1487" spans="1:9" x14ac:dyDescent="0.3">
      <c r="A1487" t="s">
        <v>296</v>
      </c>
      <c r="B1487" s="5">
        <v>41484</v>
      </c>
      <c r="C1487">
        <v>-45.91</v>
      </c>
      <c r="D1487" t="s">
        <v>305</v>
      </c>
      <c r="E1487" t="s">
        <v>433</v>
      </c>
      <c r="F1487" t="s">
        <v>1306</v>
      </c>
      <c r="G1487" t="s">
        <v>343</v>
      </c>
    </row>
    <row r="1488" spans="1:9" x14ac:dyDescent="0.3">
      <c r="A1488" t="s">
        <v>296</v>
      </c>
      <c r="B1488" s="5">
        <v>41484</v>
      </c>
      <c r="C1488">
        <v>-9.68</v>
      </c>
      <c r="D1488" t="s">
        <v>305</v>
      </c>
      <c r="E1488">
        <v>76</v>
      </c>
      <c r="F1488" t="s">
        <v>1584</v>
      </c>
      <c r="G1488" t="s">
        <v>417</v>
      </c>
      <c r="I1488" t="s">
        <v>272</v>
      </c>
    </row>
    <row r="1489" spans="1:9" x14ac:dyDescent="0.3">
      <c r="A1489" t="s">
        <v>296</v>
      </c>
      <c r="B1489" s="5">
        <v>41484</v>
      </c>
      <c r="C1489">
        <v>-40</v>
      </c>
      <c r="D1489" t="s">
        <v>305</v>
      </c>
      <c r="E1489">
        <v>76</v>
      </c>
      <c r="F1489" t="s">
        <v>1011</v>
      </c>
      <c r="G1489" t="s">
        <v>418</v>
      </c>
      <c r="I1489" t="s">
        <v>272</v>
      </c>
    </row>
    <row r="1490" spans="1:9" x14ac:dyDescent="0.3">
      <c r="A1490" t="s">
        <v>296</v>
      </c>
      <c r="B1490" s="5">
        <v>41484</v>
      </c>
      <c r="C1490">
        <v>-438.08</v>
      </c>
      <c r="D1490" t="s">
        <v>305</v>
      </c>
      <c r="E1490" t="s">
        <v>1585</v>
      </c>
      <c r="F1490" t="s">
        <v>1586</v>
      </c>
      <c r="G1490" t="s">
        <v>789</v>
      </c>
    </row>
    <row r="1491" spans="1:9" x14ac:dyDescent="0.3">
      <c r="A1491" t="s">
        <v>296</v>
      </c>
      <c r="B1491" s="5">
        <v>41484</v>
      </c>
      <c r="C1491">
        <v>-595</v>
      </c>
      <c r="D1491" t="s">
        <v>305</v>
      </c>
      <c r="E1491" t="s">
        <v>1587</v>
      </c>
      <c r="F1491" t="s">
        <v>1588</v>
      </c>
      <c r="G1491" t="s">
        <v>659</v>
      </c>
    </row>
    <row r="1492" spans="1:9" x14ac:dyDescent="0.3">
      <c r="A1492" t="s">
        <v>296</v>
      </c>
      <c r="B1492" s="5">
        <v>41485</v>
      </c>
      <c r="C1492">
        <v>-30.66</v>
      </c>
      <c r="D1492" t="s">
        <v>305</v>
      </c>
      <c r="E1492" t="s">
        <v>1585</v>
      </c>
      <c r="F1492" t="s">
        <v>1586</v>
      </c>
      <c r="G1492" t="s">
        <v>789</v>
      </c>
    </row>
    <row r="1493" spans="1:9" x14ac:dyDescent="0.3">
      <c r="A1493" t="s">
        <v>296</v>
      </c>
      <c r="B1493" s="5">
        <v>41486</v>
      </c>
      <c r="C1493">
        <v>25</v>
      </c>
      <c r="D1493" t="s">
        <v>305</v>
      </c>
      <c r="E1493" t="s">
        <v>438</v>
      </c>
      <c r="F1493" t="s">
        <v>436</v>
      </c>
      <c r="G1493" t="s">
        <v>14</v>
      </c>
    </row>
    <row r="1494" spans="1:9" x14ac:dyDescent="0.3">
      <c r="A1494" t="s">
        <v>296</v>
      </c>
      <c r="B1494" s="5">
        <v>41486</v>
      </c>
      <c r="C1494">
        <v>-25</v>
      </c>
      <c r="D1494" t="s">
        <v>305</v>
      </c>
      <c r="E1494" t="s">
        <v>477</v>
      </c>
      <c r="F1494" t="s">
        <v>1589</v>
      </c>
      <c r="G1494" t="s">
        <v>417</v>
      </c>
    </row>
    <row r="1495" spans="1:9" x14ac:dyDescent="0.3">
      <c r="A1495" t="s">
        <v>296</v>
      </c>
      <c r="B1495" s="5">
        <v>41487</v>
      </c>
      <c r="C1495" s="4">
        <v>2180.29</v>
      </c>
      <c r="D1495" t="s">
        <v>305</v>
      </c>
      <c r="E1495" t="s">
        <v>322</v>
      </c>
      <c r="F1495" t="s">
        <v>607</v>
      </c>
      <c r="G1495" t="s">
        <v>9</v>
      </c>
    </row>
    <row r="1496" spans="1:9" x14ac:dyDescent="0.3">
      <c r="A1496" t="s">
        <v>296</v>
      </c>
      <c r="B1496" s="5">
        <v>41488</v>
      </c>
      <c r="C1496">
        <v>-18.510000000000002</v>
      </c>
      <c r="D1496" t="s">
        <v>305</v>
      </c>
      <c r="E1496" t="s">
        <v>452</v>
      </c>
      <c r="F1496" t="s">
        <v>1590</v>
      </c>
      <c r="G1496" t="s">
        <v>453</v>
      </c>
      <c r="I1496" t="s">
        <v>272</v>
      </c>
    </row>
    <row r="1497" spans="1:9" x14ac:dyDescent="0.3">
      <c r="A1497" t="s">
        <v>296</v>
      </c>
      <c r="B1497" s="5">
        <v>41488</v>
      </c>
      <c r="C1497">
        <v>-61.12</v>
      </c>
      <c r="D1497" t="s">
        <v>305</v>
      </c>
      <c r="E1497" t="s">
        <v>452</v>
      </c>
      <c r="G1497" t="s">
        <v>454</v>
      </c>
      <c r="I1497" t="s">
        <v>272</v>
      </c>
    </row>
    <row r="1498" spans="1:9" x14ac:dyDescent="0.3">
      <c r="A1498" t="s">
        <v>296</v>
      </c>
      <c r="B1498" s="5">
        <v>41488</v>
      </c>
      <c r="C1498">
        <v>-45.87</v>
      </c>
      <c r="D1498" t="s">
        <v>305</v>
      </c>
      <c r="E1498" t="s">
        <v>452</v>
      </c>
      <c r="G1498" t="s">
        <v>455</v>
      </c>
      <c r="I1498" t="s">
        <v>272</v>
      </c>
    </row>
    <row r="1499" spans="1:9" x14ac:dyDescent="0.3">
      <c r="A1499" t="s">
        <v>296</v>
      </c>
      <c r="B1499" s="5">
        <v>41489</v>
      </c>
      <c r="C1499">
        <v>-2.59</v>
      </c>
      <c r="D1499" t="s">
        <v>305</v>
      </c>
      <c r="E1499" t="s">
        <v>433</v>
      </c>
      <c r="F1499" t="s">
        <v>1591</v>
      </c>
      <c r="G1499" t="s">
        <v>343</v>
      </c>
    </row>
    <row r="1500" spans="1:9" x14ac:dyDescent="0.3">
      <c r="A1500" t="s">
        <v>296</v>
      </c>
      <c r="B1500" s="5">
        <v>41489</v>
      </c>
      <c r="C1500">
        <v>-25.98</v>
      </c>
      <c r="D1500" t="s">
        <v>305</v>
      </c>
      <c r="E1500" t="s">
        <v>1408</v>
      </c>
      <c r="F1500" t="s">
        <v>1409</v>
      </c>
      <c r="G1500" t="s">
        <v>334</v>
      </c>
    </row>
    <row r="1501" spans="1:9" x14ac:dyDescent="0.3">
      <c r="A1501" t="s">
        <v>296</v>
      </c>
      <c r="B1501" s="5">
        <v>41489</v>
      </c>
      <c r="C1501">
        <v>-20</v>
      </c>
      <c r="D1501" t="s">
        <v>305</v>
      </c>
      <c r="E1501" t="s">
        <v>437</v>
      </c>
      <c r="G1501" t="s">
        <v>343</v>
      </c>
    </row>
    <row r="1502" spans="1:9" x14ac:dyDescent="0.3">
      <c r="A1502" t="s">
        <v>296</v>
      </c>
      <c r="B1502" s="5">
        <v>41490</v>
      </c>
      <c r="C1502">
        <v>-32.85</v>
      </c>
      <c r="D1502" t="s">
        <v>305</v>
      </c>
      <c r="E1502" t="s">
        <v>1592</v>
      </c>
      <c r="F1502" t="s">
        <v>1593</v>
      </c>
      <c r="G1502" t="s">
        <v>73</v>
      </c>
    </row>
    <row r="1503" spans="1:9" x14ac:dyDescent="0.3">
      <c r="A1503" t="s">
        <v>296</v>
      </c>
      <c r="B1503" s="5">
        <v>41491</v>
      </c>
      <c r="C1503">
        <v>-6.55</v>
      </c>
      <c r="D1503" t="s">
        <v>305</v>
      </c>
      <c r="E1503" t="s">
        <v>645</v>
      </c>
      <c r="F1503" t="s">
        <v>1286</v>
      </c>
      <c r="G1503" t="s">
        <v>334</v>
      </c>
    </row>
    <row r="1504" spans="1:9" x14ac:dyDescent="0.3">
      <c r="A1504" t="s">
        <v>296</v>
      </c>
      <c r="B1504" s="5">
        <v>41491</v>
      </c>
      <c r="C1504">
        <v>-7.65</v>
      </c>
      <c r="D1504" t="s">
        <v>305</v>
      </c>
      <c r="E1504" t="s">
        <v>645</v>
      </c>
      <c r="F1504" t="s">
        <v>1286</v>
      </c>
      <c r="G1504" t="s">
        <v>334</v>
      </c>
    </row>
    <row r="1505" spans="1:9" x14ac:dyDescent="0.3">
      <c r="A1505" t="s">
        <v>296</v>
      </c>
      <c r="B1505" s="5">
        <v>41491</v>
      </c>
      <c r="C1505">
        <v>-39.880000000000003</v>
      </c>
      <c r="D1505" t="s">
        <v>305</v>
      </c>
      <c r="E1505" t="s">
        <v>443</v>
      </c>
      <c r="F1505" t="s">
        <v>1293</v>
      </c>
      <c r="G1505" t="s">
        <v>343</v>
      </c>
    </row>
    <row r="1506" spans="1:9" x14ac:dyDescent="0.3">
      <c r="A1506" t="s">
        <v>296</v>
      </c>
      <c r="B1506" s="5">
        <v>41491</v>
      </c>
      <c r="C1506">
        <v>-76.31</v>
      </c>
      <c r="D1506" t="s">
        <v>305</v>
      </c>
      <c r="E1506" t="s">
        <v>442</v>
      </c>
      <c r="F1506" t="s">
        <v>1575</v>
      </c>
      <c r="G1506" t="s">
        <v>343</v>
      </c>
    </row>
    <row r="1507" spans="1:9" x14ac:dyDescent="0.3">
      <c r="A1507" t="s">
        <v>296</v>
      </c>
      <c r="B1507" s="5">
        <v>41494</v>
      </c>
      <c r="C1507">
        <v>-101.93</v>
      </c>
      <c r="D1507" t="s">
        <v>305</v>
      </c>
      <c r="E1507" t="s">
        <v>442</v>
      </c>
      <c r="F1507" t="s">
        <v>1575</v>
      </c>
      <c r="G1507" t="s">
        <v>343</v>
      </c>
    </row>
    <row r="1508" spans="1:9" x14ac:dyDescent="0.3">
      <c r="A1508" t="s">
        <v>296</v>
      </c>
      <c r="B1508" s="5">
        <v>41494</v>
      </c>
      <c r="C1508">
        <v>-4</v>
      </c>
      <c r="D1508" t="s">
        <v>305</v>
      </c>
      <c r="E1508" t="s">
        <v>473</v>
      </c>
      <c r="F1508" t="s">
        <v>1469</v>
      </c>
      <c r="G1508" t="s">
        <v>441</v>
      </c>
    </row>
    <row r="1509" spans="1:9" x14ac:dyDescent="0.3">
      <c r="A1509" t="s">
        <v>296</v>
      </c>
      <c r="B1509" s="5">
        <v>41495</v>
      </c>
      <c r="C1509">
        <v>-100</v>
      </c>
      <c r="D1509" t="s">
        <v>305</v>
      </c>
      <c r="E1509" t="s">
        <v>1594</v>
      </c>
      <c r="F1509" t="s">
        <v>1595</v>
      </c>
      <c r="G1509" t="s">
        <v>458</v>
      </c>
    </row>
    <row r="1510" spans="1:9" x14ac:dyDescent="0.3">
      <c r="A1510" t="s">
        <v>296</v>
      </c>
      <c r="B1510" s="5">
        <v>41495</v>
      </c>
      <c r="C1510">
        <v>-548.29</v>
      </c>
      <c r="D1510" t="s">
        <v>305</v>
      </c>
      <c r="E1510" t="s">
        <v>603</v>
      </c>
      <c r="F1510" t="s">
        <v>1596</v>
      </c>
      <c r="G1510" t="s">
        <v>600</v>
      </c>
    </row>
    <row r="1511" spans="1:9" x14ac:dyDescent="0.3">
      <c r="A1511" t="s">
        <v>296</v>
      </c>
      <c r="B1511" s="5">
        <v>41495</v>
      </c>
      <c r="C1511">
        <v>-14.07</v>
      </c>
      <c r="D1511" t="s">
        <v>305</v>
      </c>
      <c r="E1511" t="s">
        <v>1597</v>
      </c>
      <c r="F1511" t="s">
        <v>1271</v>
      </c>
      <c r="G1511" t="s">
        <v>636</v>
      </c>
    </row>
    <row r="1512" spans="1:9" x14ac:dyDescent="0.3">
      <c r="A1512" t="s">
        <v>296</v>
      </c>
      <c r="B1512" s="5">
        <v>41495</v>
      </c>
      <c r="C1512">
        <v>-1.5</v>
      </c>
      <c r="D1512" t="s">
        <v>305</v>
      </c>
      <c r="E1512" t="s">
        <v>1598</v>
      </c>
      <c r="F1512" t="s">
        <v>1599</v>
      </c>
      <c r="G1512" t="s">
        <v>343</v>
      </c>
      <c r="I1512" t="s">
        <v>272</v>
      </c>
    </row>
    <row r="1513" spans="1:9" x14ac:dyDescent="0.3">
      <c r="A1513" t="s">
        <v>296</v>
      </c>
      <c r="B1513" s="5">
        <v>41495</v>
      </c>
      <c r="C1513">
        <v>-26.63</v>
      </c>
      <c r="D1513" t="s">
        <v>305</v>
      </c>
      <c r="E1513" t="s">
        <v>1598</v>
      </c>
      <c r="F1513" t="s">
        <v>1600</v>
      </c>
      <c r="G1513" t="s">
        <v>418</v>
      </c>
      <c r="I1513" t="s">
        <v>272</v>
      </c>
    </row>
    <row r="1514" spans="1:9" x14ac:dyDescent="0.3">
      <c r="A1514" t="s">
        <v>296</v>
      </c>
      <c r="B1514" s="5">
        <v>41496</v>
      </c>
      <c r="C1514">
        <v>-15</v>
      </c>
      <c r="D1514" t="s">
        <v>305</v>
      </c>
      <c r="E1514" t="s">
        <v>1601</v>
      </c>
      <c r="F1514" t="s">
        <v>1271</v>
      </c>
      <c r="G1514" t="s">
        <v>655</v>
      </c>
    </row>
    <row r="1515" spans="1:9" x14ac:dyDescent="0.3">
      <c r="A1515" t="s">
        <v>296</v>
      </c>
      <c r="B1515" s="5">
        <v>41496</v>
      </c>
      <c r="C1515">
        <v>-44.89</v>
      </c>
      <c r="D1515" t="s">
        <v>305</v>
      </c>
      <c r="E1515" t="s">
        <v>1567</v>
      </c>
      <c r="F1515" t="s">
        <v>1271</v>
      </c>
      <c r="G1515" t="s">
        <v>418</v>
      </c>
    </row>
    <row r="1516" spans="1:9" x14ac:dyDescent="0.3">
      <c r="A1516" t="s">
        <v>296</v>
      </c>
      <c r="B1516" s="5">
        <v>41496</v>
      </c>
      <c r="C1516">
        <v>-11.08</v>
      </c>
      <c r="D1516" t="s">
        <v>305</v>
      </c>
      <c r="E1516" t="s">
        <v>1598</v>
      </c>
      <c r="F1516" t="s">
        <v>1602</v>
      </c>
      <c r="G1516" t="s">
        <v>444</v>
      </c>
    </row>
    <row r="1517" spans="1:9" x14ac:dyDescent="0.3">
      <c r="A1517" t="s">
        <v>296</v>
      </c>
      <c r="B1517" s="5">
        <v>41497</v>
      </c>
      <c r="C1517">
        <v>-19.02</v>
      </c>
      <c r="D1517" t="s">
        <v>305</v>
      </c>
      <c r="E1517" t="s">
        <v>470</v>
      </c>
      <c r="F1517" t="s">
        <v>1271</v>
      </c>
      <c r="G1517" t="s">
        <v>636</v>
      </c>
    </row>
    <row r="1518" spans="1:9" x14ac:dyDescent="0.3">
      <c r="A1518" t="s">
        <v>296</v>
      </c>
      <c r="B1518" s="5">
        <v>41498</v>
      </c>
      <c r="C1518">
        <v>-8.8000000000000007</v>
      </c>
      <c r="D1518" t="s">
        <v>305</v>
      </c>
      <c r="E1518" t="s">
        <v>460</v>
      </c>
      <c r="F1518" t="s">
        <v>1603</v>
      </c>
      <c r="G1518" t="s">
        <v>342</v>
      </c>
    </row>
    <row r="1519" spans="1:9" x14ac:dyDescent="0.3">
      <c r="A1519" t="s">
        <v>296</v>
      </c>
      <c r="B1519" s="5">
        <v>41499</v>
      </c>
      <c r="C1519">
        <v>-0.5</v>
      </c>
      <c r="D1519" t="s">
        <v>305</v>
      </c>
      <c r="E1519" t="s">
        <v>462</v>
      </c>
      <c r="F1519" t="s">
        <v>1287</v>
      </c>
      <c r="G1519" t="s">
        <v>441</v>
      </c>
    </row>
    <row r="1520" spans="1:9" x14ac:dyDescent="0.3">
      <c r="A1520" t="s">
        <v>296</v>
      </c>
      <c r="B1520" s="5">
        <v>41499</v>
      </c>
      <c r="C1520">
        <v>-6.99</v>
      </c>
      <c r="D1520" t="s">
        <v>305</v>
      </c>
      <c r="E1520" t="s">
        <v>437</v>
      </c>
      <c r="G1520" t="s">
        <v>343</v>
      </c>
    </row>
    <row r="1521" spans="1:7" x14ac:dyDescent="0.3">
      <c r="A1521" t="s">
        <v>296</v>
      </c>
      <c r="B1521" s="5">
        <v>41499</v>
      </c>
      <c r="C1521">
        <v>-7.63</v>
      </c>
      <c r="D1521" t="s">
        <v>305</v>
      </c>
      <c r="E1521" t="s">
        <v>1204</v>
      </c>
      <c r="F1521" t="s">
        <v>1355</v>
      </c>
      <c r="G1521" t="s">
        <v>334</v>
      </c>
    </row>
    <row r="1522" spans="1:7" x14ac:dyDescent="0.3">
      <c r="A1522" t="s">
        <v>296</v>
      </c>
      <c r="B1522" s="5">
        <v>41499</v>
      </c>
      <c r="C1522">
        <v>-24.17</v>
      </c>
      <c r="D1522" t="s">
        <v>305</v>
      </c>
      <c r="E1522" t="s">
        <v>1604</v>
      </c>
      <c r="F1522" t="s">
        <v>1605</v>
      </c>
      <c r="G1522" t="s">
        <v>69</v>
      </c>
    </row>
    <row r="1523" spans="1:7" x14ac:dyDescent="0.3">
      <c r="A1523" t="s">
        <v>296</v>
      </c>
      <c r="B1523" s="5">
        <v>41499</v>
      </c>
      <c r="C1523">
        <v>-26.39</v>
      </c>
      <c r="D1523" t="s">
        <v>305</v>
      </c>
      <c r="E1523" t="s">
        <v>1606</v>
      </c>
      <c r="F1523" t="s">
        <v>996</v>
      </c>
      <c r="G1523" t="s">
        <v>444</v>
      </c>
    </row>
    <row r="1524" spans="1:7" x14ac:dyDescent="0.3">
      <c r="A1524" t="s">
        <v>296</v>
      </c>
      <c r="B1524" s="5">
        <v>41499</v>
      </c>
      <c r="C1524">
        <v>-26.91</v>
      </c>
      <c r="D1524" t="s">
        <v>305</v>
      </c>
      <c r="E1524" t="s">
        <v>1607</v>
      </c>
      <c r="F1524" t="s">
        <v>996</v>
      </c>
      <c r="G1524" t="s">
        <v>444</v>
      </c>
    </row>
    <row r="1525" spans="1:7" x14ac:dyDescent="0.3">
      <c r="A1525" t="s">
        <v>296</v>
      </c>
      <c r="B1525" s="5">
        <v>41499</v>
      </c>
      <c r="C1525">
        <v>-41.09</v>
      </c>
      <c r="D1525" t="s">
        <v>305</v>
      </c>
      <c r="E1525" t="s">
        <v>442</v>
      </c>
      <c r="F1525" t="s">
        <v>1499</v>
      </c>
      <c r="G1525" t="s">
        <v>343</v>
      </c>
    </row>
    <row r="1526" spans="1:7" x14ac:dyDescent="0.3">
      <c r="A1526" t="s">
        <v>296</v>
      </c>
      <c r="B1526" s="5">
        <v>41499</v>
      </c>
      <c r="C1526">
        <v>-102.02</v>
      </c>
      <c r="D1526" t="s">
        <v>305</v>
      </c>
      <c r="E1526" t="s">
        <v>1608</v>
      </c>
      <c r="F1526" t="s">
        <v>996</v>
      </c>
      <c r="G1526" t="s">
        <v>444</v>
      </c>
    </row>
    <row r="1527" spans="1:7" x14ac:dyDescent="0.3">
      <c r="A1527" t="s">
        <v>296</v>
      </c>
      <c r="B1527" s="5">
        <v>41499</v>
      </c>
      <c r="C1527">
        <v>-200.29</v>
      </c>
      <c r="D1527" t="s">
        <v>305</v>
      </c>
      <c r="E1527" t="s">
        <v>1539</v>
      </c>
      <c r="F1527" t="s">
        <v>996</v>
      </c>
      <c r="G1527" t="s">
        <v>444</v>
      </c>
    </row>
    <row r="1528" spans="1:7" x14ac:dyDescent="0.3">
      <c r="A1528" t="s">
        <v>296</v>
      </c>
      <c r="B1528" s="5">
        <v>41500</v>
      </c>
      <c r="C1528">
        <v>-22.86</v>
      </c>
      <c r="D1528" t="s">
        <v>305</v>
      </c>
      <c r="E1528" t="s">
        <v>1322</v>
      </c>
      <c r="F1528" t="s">
        <v>1609</v>
      </c>
      <c r="G1528" t="s">
        <v>652</v>
      </c>
    </row>
    <row r="1529" spans="1:7" x14ac:dyDescent="0.3">
      <c r="A1529" t="s">
        <v>296</v>
      </c>
      <c r="B1529" s="5">
        <v>41500</v>
      </c>
      <c r="C1529">
        <v>-727.06</v>
      </c>
      <c r="D1529" t="s">
        <v>305</v>
      </c>
      <c r="E1529" t="s">
        <v>431</v>
      </c>
      <c r="F1529" t="s">
        <v>1610</v>
      </c>
      <c r="G1529" t="s">
        <v>1611</v>
      </c>
    </row>
    <row r="1530" spans="1:7" x14ac:dyDescent="0.3">
      <c r="A1530" t="s">
        <v>296</v>
      </c>
      <c r="B1530" s="5">
        <v>41500</v>
      </c>
      <c r="C1530">
        <v>-119.36</v>
      </c>
      <c r="D1530" t="s">
        <v>305</v>
      </c>
      <c r="E1530" t="s">
        <v>478</v>
      </c>
      <c r="F1530" t="s">
        <v>1612</v>
      </c>
      <c r="G1530" t="s">
        <v>308</v>
      </c>
    </row>
    <row r="1531" spans="1:7" x14ac:dyDescent="0.3">
      <c r="A1531" t="s">
        <v>296</v>
      </c>
      <c r="B1531" s="5">
        <v>41500</v>
      </c>
      <c r="C1531">
        <v>-163.44</v>
      </c>
      <c r="D1531" t="s">
        <v>305</v>
      </c>
      <c r="E1531" t="s">
        <v>1613</v>
      </c>
      <c r="F1531" t="s">
        <v>1614</v>
      </c>
      <c r="G1531" t="s">
        <v>789</v>
      </c>
    </row>
    <row r="1532" spans="1:7" x14ac:dyDescent="0.3">
      <c r="A1532" t="s">
        <v>296</v>
      </c>
      <c r="B1532" s="5">
        <v>41501</v>
      </c>
      <c r="C1532">
        <v>8.1</v>
      </c>
      <c r="D1532" t="s">
        <v>305</v>
      </c>
      <c r="E1532" t="s">
        <v>431</v>
      </c>
      <c r="F1532" t="s">
        <v>1615</v>
      </c>
      <c r="G1532" t="s">
        <v>613</v>
      </c>
    </row>
    <row r="1533" spans="1:7" x14ac:dyDescent="0.3">
      <c r="A1533" t="s">
        <v>296</v>
      </c>
      <c r="B1533" s="5">
        <v>41501</v>
      </c>
      <c r="C1533">
        <v>-78.42</v>
      </c>
      <c r="D1533" t="s">
        <v>305</v>
      </c>
      <c r="E1533" t="s">
        <v>431</v>
      </c>
      <c r="F1533" t="s">
        <v>1616</v>
      </c>
      <c r="G1533" t="s">
        <v>660</v>
      </c>
    </row>
    <row r="1534" spans="1:7" x14ac:dyDescent="0.3">
      <c r="A1534" t="s">
        <v>296</v>
      </c>
      <c r="B1534" s="5">
        <v>41502</v>
      </c>
      <c r="C1534">
        <v>-6.6</v>
      </c>
      <c r="D1534" t="s">
        <v>305</v>
      </c>
      <c r="E1534" t="s">
        <v>645</v>
      </c>
      <c r="G1534" t="s">
        <v>334</v>
      </c>
    </row>
    <row r="1535" spans="1:7" x14ac:dyDescent="0.3">
      <c r="A1535" t="s">
        <v>296</v>
      </c>
      <c r="B1535" s="5">
        <v>41502</v>
      </c>
      <c r="C1535">
        <v>-8.75</v>
      </c>
      <c r="D1535" t="s">
        <v>305</v>
      </c>
      <c r="E1535" t="s">
        <v>1170</v>
      </c>
      <c r="F1535" t="s">
        <v>1321</v>
      </c>
      <c r="G1535" t="s">
        <v>73</v>
      </c>
    </row>
    <row r="1536" spans="1:7" x14ac:dyDescent="0.3">
      <c r="A1536" t="s">
        <v>296</v>
      </c>
      <c r="B1536" s="5">
        <v>41502</v>
      </c>
      <c r="C1536">
        <v>-95.95</v>
      </c>
      <c r="D1536" t="s">
        <v>305</v>
      </c>
      <c r="E1536" t="s">
        <v>1617</v>
      </c>
      <c r="G1536" t="s">
        <v>334</v>
      </c>
    </row>
    <row r="1537" spans="1:7" x14ac:dyDescent="0.3">
      <c r="A1537" t="s">
        <v>296</v>
      </c>
      <c r="B1537" s="5">
        <v>41503</v>
      </c>
      <c r="C1537">
        <v>25</v>
      </c>
      <c r="D1537" t="s">
        <v>305</v>
      </c>
      <c r="E1537" t="s">
        <v>438</v>
      </c>
      <c r="F1537" t="s">
        <v>436</v>
      </c>
      <c r="G1537" t="s">
        <v>14</v>
      </c>
    </row>
    <row r="1538" spans="1:7" x14ac:dyDescent="0.3">
      <c r="A1538" t="s">
        <v>296</v>
      </c>
      <c r="B1538" s="5">
        <v>41503</v>
      </c>
      <c r="C1538">
        <v>-5</v>
      </c>
      <c r="D1538" t="s">
        <v>305</v>
      </c>
      <c r="E1538" t="s">
        <v>1618</v>
      </c>
      <c r="G1538" t="s">
        <v>441</v>
      </c>
    </row>
    <row r="1539" spans="1:7" x14ac:dyDescent="0.3">
      <c r="A1539" t="s">
        <v>296</v>
      </c>
      <c r="B1539" s="5">
        <v>41503</v>
      </c>
      <c r="C1539">
        <v>-9.1</v>
      </c>
      <c r="D1539" t="s">
        <v>305</v>
      </c>
      <c r="E1539" t="s">
        <v>431</v>
      </c>
      <c r="F1539" t="s">
        <v>1616</v>
      </c>
      <c r="G1539" t="s">
        <v>660</v>
      </c>
    </row>
    <row r="1540" spans="1:7" x14ac:dyDescent="0.3">
      <c r="A1540" t="s">
        <v>296</v>
      </c>
      <c r="B1540" s="5">
        <v>41503</v>
      </c>
      <c r="C1540">
        <v>-16.41</v>
      </c>
      <c r="D1540" t="s">
        <v>305</v>
      </c>
      <c r="E1540" t="s">
        <v>442</v>
      </c>
      <c r="G1540" t="s">
        <v>614</v>
      </c>
    </row>
    <row r="1541" spans="1:7" x14ac:dyDescent="0.3">
      <c r="A1541" t="s">
        <v>296</v>
      </c>
      <c r="B1541" s="5">
        <v>41503</v>
      </c>
      <c r="C1541">
        <v>-144.44999999999999</v>
      </c>
      <c r="D1541" t="s">
        <v>305</v>
      </c>
      <c r="E1541" t="s">
        <v>1324</v>
      </c>
      <c r="G1541" t="s">
        <v>334</v>
      </c>
    </row>
    <row r="1542" spans="1:7" x14ac:dyDescent="0.3">
      <c r="A1542" t="s">
        <v>296</v>
      </c>
      <c r="B1542" s="5">
        <v>41503</v>
      </c>
      <c r="C1542">
        <v>-200.51</v>
      </c>
      <c r="D1542" t="s">
        <v>305</v>
      </c>
      <c r="E1542" t="s">
        <v>442</v>
      </c>
      <c r="G1542" t="s">
        <v>343</v>
      </c>
    </row>
    <row r="1543" spans="1:7" x14ac:dyDescent="0.3">
      <c r="A1543" t="s">
        <v>296</v>
      </c>
      <c r="B1543" s="5">
        <v>41505</v>
      </c>
      <c r="C1543">
        <v>-29.95</v>
      </c>
      <c r="D1543" t="s">
        <v>305</v>
      </c>
      <c r="E1543" t="s">
        <v>1619</v>
      </c>
      <c r="F1543" t="s">
        <v>1620</v>
      </c>
      <c r="G1543" t="s">
        <v>1621</v>
      </c>
    </row>
    <row r="1544" spans="1:7" x14ac:dyDescent="0.3">
      <c r="A1544" t="s">
        <v>296</v>
      </c>
      <c r="B1544" s="5">
        <v>41506</v>
      </c>
      <c r="C1544">
        <v>2.73</v>
      </c>
      <c r="D1544" t="s">
        <v>305</v>
      </c>
      <c r="E1544" t="s">
        <v>442</v>
      </c>
      <c r="F1544" t="s">
        <v>1622</v>
      </c>
      <c r="G1544" t="s">
        <v>360</v>
      </c>
    </row>
    <row r="1545" spans="1:7" x14ac:dyDescent="0.3">
      <c r="A1545" t="s">
        <v>296</v>
      </c>
      <c r="B1545" s="5">
        <v>41506</v>
      </c>
      <c r="C1545">
        <v>6.56</v>
      </c>
      <c r="D1545" t="s">
        <v>305</v>
      </c>
      <c r="E1545" t="s">
        <v>446</v>
      </c>
      <c r="F1545" t="s">
        <v>1623</v>
      </c>
      <c r="G1545" t="s">
        <v>20</v>
      </c>
    </row>
    <row r="1546" spans="1:7" x14ac:dyDescent="0.3">
      <c r="A1546" t="s">
        <v>296</v>
      </c>
      <c r="B1546" s="5">
        <v>41506</v>
      </c>
      <c r="C1546">
        <v>-6.79</v>
      </c>
      <c r="D1546" t="s">
        <v>305</v>
      </c>
      <c r="E1546" t="s">
        <v>1300</v>
      </c>
      <c r="F1546" t="s">
        <v>1301</v>
      </c>
      <c r="G1546" t="s">
        <v>334</v>
      </c>
    </row>
    <row r="1547" spans="1:7" x14ac:dyDescent="0.3">
      <c r="A1547" t="s">
        <v>296</v>
      </c>
      <c r="B1547" s="5">
        <v>41506</v>
      </c>
      <c r="C1547">
        <v>-9.01</v>
      </c>
      <c r="D1547" t="s">
        <v>305</v>
      </c>
      <c r="E1547" t="s">
        <v>1300</v>
      </c>
      <c r="F1547" t="s">
        <v>1301</v>
      </c>
      <c r="G1547" t="s">
        <v>334</v>
      </c>
    </row>
    <row r="1548" spans="1:7" x14ac:dyDescent="0.3">
      <c r="A1548" t="s">
        <v>296</v>
      </c>
      <c r="B1548" s="5">
        <v>41506</v>
      </c>
      <c r="C1548">
        <v>-20</v>
      </c>
      <c r="D1548" t="s">
        <v>305</v>
      </c>
      <c r="E1548" t="s">
        <v>439</v>
      </c>
      <c r="F1548" t="s">
        <v>1370</v>
      </c>
      <c r="G1548" t="s">
        <v>334</v>
      </c>
    </row>
    <row r="1549" spans="1:7" x14ac:dyDescent="0.3">
      <c r="A1549" t="s">
        <v>296</v>
      </c>
      <c r="B1549" s="5">
        <v>41507</v>
      </c>
      <c r="C1549">
        <v>-3.5</v>
      </c>
      <c r="D1549" t="s">
        <v>305</v>
      </c>
      <c r="E1549" t="s">
        <v>661</v>
      </c>
      <c r="G1549" t="s">
        <v>334</v>
      </c>
    </row>
    <row r="1550" spans="1:7" x14ac:dyDescent="0.3">
      <c r="A1550" t="s">
        <v>296</v>
      </c>
      <c r="B1550" s="5">
        <v>41507</v>
      </c>
      <c r="C1550">
        <v>-13.43</v>
      </c>
      <c r="D1550" t="s">
        <v>305</v>
      </c>
      <c r="E1550" t="s">
        <v>440</v>
      </c>
      <c r="F1550" t="s">
        <v>1457</v>
      </c>
      <c r="G1550" t="s">
        <v>441</v>
      </c>
    </row>
    <row r="1551" spans="1:7" x14ac:dyDescent="0.3">
      <c r="A1551" t="s">
        <v>296</v>
      </c>
      <c r="B1551" s="5">
        <v>41509</v>
      </c>
      <c r="C1551">
        <v>-9.84</v>
      </c>
      <c r="D1551" t="s">
        <v>305</v>
      </c>
      <c r="E1551" t="s">
        <v>662</v>
      </c>
      <c r="G1551" t="s">
        <v>346</v>
      </c>
    </row>
    <row r="1552" spans="1:7" x14ac:dyDescent="0.3">
      <c r="A1552" t="s">
        <v>296</v>
      </c>
      <c r="B1552" s="5">
        <v>41510</v>
      </c>
      <c r="C1552">
        <v>-7.12</v>
      </c>
      <c r="D1552" t="s">
        <v>305</v>
      </c>
      <c r="E1552" t="s">
        <v>437</v>
      </c>
      <c r="G1552" t="s">
        <v>343</v>
      </c>
    </row>
    <row r="1553" spans="1:9" x14ac:dyDescent="0.3">
      <c r="A1553" t="s">
        <v>296</v>
      </c>
      <c r="B1553" s="5">
        <v>41510</v>
      </c>
      <c r="C1553">
        <v>-8.27</v>
      </c>
      <c r="D1553" t="s">
        <v>305</v>
      </c>
      <c r="E1553" t="s">
        <v>437</v>
      </c>
      <c r="G1553" t="s">
        <v>343</v>
      </c>
    </row>
    <row r="1554" spans="1:9" x14ac:dyDescent="0.3">
      <c r="A1554" t="s">
        <v>296</v>
      </c>
      <c r="B1554" s="5">
        <v>41510</v>
      </c>
      <c r="C1554">
        <v>-20</v>
      </c>
      <c r="D1554" t="s">
        <v>305</v>
      </c>
      <c r="E1554" t="s">
        <v>639</v>
      </c>
      <c r="F1554" t="s">
        <v>797</v>
      </c>
      <c r="G1554" t="s">
        <v>418</v>
      </c>
    </row>
    <row r="1555" spans="1:9" x14ac:dyDescent="0.3">
      <c r="A1555" t="s">
        <v>296</v>
      </c>
      <c r="B1555" s="5">
        <v>41510</v>
      </c>
      <c r="C1555">
        <v>-20.76</v>
      </c>
      <c r="D1555" t="s">
        <v>305</v>
      </c>
      <c r="E1555" t="s">
        <v>1200</v>
      </c>
      <c r="G1555" t="s">
        <v>334</v>
      </c>
    </row>
    <row r="1556" spans="1:9" x14ac:dyDescent="0.3">
      <c r="A1556" t="s">
        <v>296</v>
      </c>
      <c r="B1556" s="5">
        <v>41510</v>
      </c>
      <c r="C1556">
        <v>-18.59</v>
      </c>
      <c r="D1556" t="s">
        <v>305</v>
      </c>
      <c r="E1556" t="s">
        <v>1200</v>
      </c>
      <c r="F1556" t="s">
        <v>1624</v>
      </c>
      <c r="G1556" t="s">
        <v>346</v>
      </c>
      <c r="I1556" t="s">
        <v>272</v>
      </c>
    </row>
    <row r="1557" spans="1:9" x14ac:dyDescent="0.3">
      <c r="A1557" t="s">
        <v>296</v>
      </c>
      <c r="B1557" s="5">
        <v>41510</v>
      </c>
      <c r="C1557">
        <v>-10.94</v>
      </c>
      <c r="D1557" t="s">
        <v>305</v>
      </c>
      <c r="E1557" t="s">
        <v>1200</v>
      </c>
      <c r="F1557" t="s">
        <v>1625</v>
      </c>
      <c r="G1557" t="s">
        <v>652</v>
      </c>
      <c r="I1557" t="s">
        <v>272</v>
      </c>
    </row>
    <row r="1558" spans="1:9" x14ac:dyDescent="0.3">
      <c r="A1558" t="s">
        <v>296</v>
      </c>
      <c r="B1558" s="5">
        <v>41510</v>
      </c>
      <c r="C1558">
        <v>-2.1800000000000002</v>
      </c>
      <c r="D1558" t="s">
        <v>305</v>
      </c>
      <c r="E1558" t="s">
        <v>1200</v>
      </c>
      <c r="F1558" t="s">
        <v>1626</v>
      </c>
      <c r="G1558" t="s">
        <v>360</v>
      </c>
      <c r="I1558" t="s">
        <v>272</v>
      </c>
    </row>
    <row r="1559" spans="1:9" x14ac:dyDescent="0.3">
      <c r="A1559" t="s">
        <v>296</v>
      </c>
      <c r="B1559" s="5">
        <v>41510</v>
      </c>
      <c r="C1559">
        <v>-34</v>
      </c>
      <c r="D1559" t="s">
        <v>305</v>
      </c>
      <c r="E1559" t="s">
        <v>1159</v>
      </c>
      <c r="G1559" t="s">
        <v>404</v>
      </c>
    </row>
    <row r="1560" spans="1:9" x14ac:dyDescent="0.3">
      <c r="A1560" t="s">
        <v>296</v>
      </c>
      <c r="B1560" s="5">
        <v>41510</v>
      </c>
      <c r="C1560">
        <v>-41.38</v>
      </c>
      <c r="D1560" t="s">
        <v>305</v>
      </c>
      <c r="E1560" t="s">
        <v>1567</v>
      </c>
      <c r="G1560" t="s">
        <v>417</v>
      </c>
    </row>
    <row r="1561" spans="1:9" x14ac:dyDescent="0.3">
      <c r="A1561" t="s">
        <v>296</v>
      </c>
      <c r="B1561" s="5">
        <v>41510</v>
      </c>
      <c r="C1561">
        <v>-156.96</v>
      </c>
      <c r="D1561" t="s">
        <v>305</v>
      </c>
      <c r="E1561" t="s">
        <v>372</v>
      </c>
      <c r="F1561" t="s">
        <v>1627</v>
      </c>
      <c r="G1561" t="s">
        <v>346</v>
      </c>
    </row>
    <row r="1562" spans="1:9" x14ac:dyDescent="0.3">
      <c r="A1562" t="s">
        <v>296</v>
      </c>
      <c r="B1562" s="5">
        <v>41511</v>
      </c>
      <c r="C1562">
        <v>-87.44</v>
      </c>
      <c r="D1562" t="s">
        <v>305</v>
      </c>
      <c r="E1562" t="s">
        <v>1628</v>
      </c>
      <c r="F1562" t="s">
        <v>797</v>
      </c>
      <c r="G1562" t="s">
        <v>636</v>
      </c>
    </row>
    <row r="1563" spans="1:9" x14ac:dyDescent="0.3">
      <c r="A1563" t="s">
        <v>296</v>
      </c>
      <c r="B1563" s="5">
        <v>41511</v>
      </c>
      <c r="C1563">
        <v>-180.17</v>
      </c>
      <c r="D1563" t="s">
        <v>305</v>
      </c>
      <c r="E1563" t="s">
        <v>1629</v>
      </c>
      <c r="F1563" t="s">
        <v>797</v>
      </c>
      <c r="G1563" t="s">
        <v>636</v>
      </c>
    </row>
    <row r="1564" spans="1:9" x14ac:dyDescent="0.3">
      <c r="A1564" t="s">
        <v>296</v>
      </c>
      <c r="B1564" s="5">
        <v>41512</v>
      </c>
      <c r="C1564">
        <v>-15</v>
      </c>
      <c r="D1564" t="s">
        <v>305</v>
      </c>
      <c r="E1564" t="s">
        <v>1630</v>
      </c>
      <c r="F1564" t="s">
        <v>1631</v>
      </c>
      <c r="G1564" t="s">
        <v>418</v>
      </c>
    </row>
    <row r="1565" spans="1:9" x14ac:dyDescent="0.3">
      <c r="A1565" t="s">
        <v>296</v>
      </c>
      <c r="B1565" s="5">
        <v>41512</v>
      </c>
      <c r="C1565">
        <v>-22.86</v>
      </c>
      <c r="D1565" t="s">
        <v>305</v>
      </c>
      <c r="E1565" t="s">
        <v>1630</v>
      </c>
      <c r="F1565" t="s">
        <v>797</v>
      </c>
      <c r="G1565" t="s">
        <v>636</v>
      </c>
    </row>
    <row r="1566" spans="1:9" x14ac:dyDescent="0.3">
      <c r="A1566" t="s">
        <v>296</v>
      </c>
      <c r="B1566" s="5">
        <v>41512</v>
      </c>
      <c r="C1566">
        <v>-26</v>
      </c>
      <c r="D1566" t="s">
        <v>305</v>
      </c>
      <c r="E1566" t="s">
        <v>639</v>
      </c>
      <c r="F1566" t="s">
        <v>1632</v>
      </c>
      <c r="G1566" t="s">
        <v>636</v>
      </c>
    </row>
    <row r="1567" spans="1:9" x14ac:dyDescent="0.3">
      <c r="A1567" t="s">
        <v>296</v>
      </c>
      <c r="B1567" s="5">
        <v>41512</v>
      </c>
      <c r="C1567">
        <v>-35.53</v>
      </c>
      <c r="D1567" t="s">
        <v>305</v>
      </c>
      <c r="E1567" t="s">
        <v>1633</v>
      </c>
      <c r="F1567" t="s">
        <v>797</v>
      </c>
      <c r="G1567" t="s">
        <v>636</v>
      </c>
    </row>
    <row r="1568" spans="1:9" x14ac:dyDescent="0.3">
      <c r="A1568" t="s">
        <v>296</v>
      </c>
      <c r="B1568" s="5">
        <v>41512</v>
      </c>
      <c r="C1568">
        <v>-40.71</v>
      </c>
      <c r="D1568" t="s">
        <v>305</v>
      </c>
      <c r="E1568" t="s">
        <v>372</v>
      </c>
      <c r="F1568" t="s">
        <v>1634</v>
      </c>
      <c r="G1568" t="s">
        <v>360</v>
      </c>
    </row>
    <row r="1569" spans="1:7" x14ac:dyDescent="0.3">
      <c r="A1569" t="s">
        <v>296</v>
      </c>
      <c r="B1569" s="5">
        <v>41512</v>
      </c>
      <c r="C1569">
        <v>-484</v>
      </c>
      <c r="D1569" t="s">
        <v>305</v>
      </c>
      <c r="E1569" t="s">
        <v>1630</v>
      </c>
      <c r="F1569" t="s">
        <v>797</v>
      </c>
      <c r="G1569" t="s">
        <v>655</v>
      </c>
    </row>
    <row r="1570" spans="1:7" x14ac:dyDescent="0.3">
      <c r="A1570" t="s">
        <v>296</v>
      </c>
      <c r="B1570" s="5">
        <v>41513</v>
      </c>
      <c r="C1570">
        <v>-3.77</v>
      </c>
      <c r="D1570" t="s">
        <v>305</v>
      </c>
      <c r="E1570" t="s">
        <v>1635</v>
      </c>
      <c r="F1570" t="s">
        <v>797</v>
      </c>
      <c r="G1570" t="s">
        <v>632</v>
      </c>
    </row>
    <row r="1571" spans="1:7" x14ac:dyDescent="0.3">
      <c r="A1571" t="s">
        <v>296</v>
      </c>
      <c r="B1571" s="5">
        <v>41513</v>
      </c>
      <c r="C1571">
        <v>-11.87</v>
      </c>
      <c r="D1571" t="s">
        <v>305</v>
      </c>
      <c r="E1571" t="s">
        <v>1636</v>
      </c>
      <c r="F1571" t="s">
        <v>1637</v>
      </c>
      <c r="G1571" t="s">
        <v>650</v>
      </c>
    </row>
    <row r="1572" spans="1:7" x14ac:dyDescent="0.3">
      <c r="A1572" t="s">
        <v>296</v>
      </c>
      <c r="B1572" s="5">
        <v>41513</v>
      </c>
      <c r="C1572">
        <v>-60.99</v>
      </c>
      <c r="D1572" t="s">
        <v>305</v>
      </c>
      <c r="E1572" t="s">
        <v>1638</v>
      </c>
      <c r="F1572" t="s">
        <v>797</v>
      </c>
      <c r="G1572" t="s">
        <v>636</v>
      </c>
    </row>
    <row r="1573" spans="1:7" x14ac:dyDescent="0.3">
      <c r="A1573" t="s">
        <v>296</v>
      </c>
      <c r="B1573" s="5">
        <v>41514</v>
      </c>
      <c r="C1573">
        <v>-10</v>
      </c>
      <c r="D1573" t="s">
        <v>305</v>
      </c>
      <c r="E1573" t="s">
        <v>1639</v>
      </c>
      <c r="F1573" t="s">
        <v>1640</v>
      </c>
      <c r="G1573" t="s">
        <v>418</v>
      </c>
    </row>
    <row r="1574" spans="1:7" x14ac:dyDescent="0.3">
      <c r="A1574" t="s">
        <v>296</v>
      </c>
      <c r="B1574" s="5">
        <v>41514</v>
      </c>
      <c r="C1574">
        <v>-10.56</v>
      </c>
      <c r="D1574" t="s">
        <v>305</v>
      </c>
      <c r="E1574" t="s">
        <v>1641</v>
      </c>
      <c r="F1574" t="s">
        <v>1642</v>
      </c>
      <c r="G1574" t="s">
        <v>636</v>
      </c>
    </row>
    <row r="1575" spans="1:7" x14ac:dyDescent="0.3">
      <c r="A1575" t="s">
        <v>296</v>
      </c>
      <c r="B1575" s="5">
        <v>41514</v>
      </c>
      <c r="C1575">
        <v>-12</v>
      </c>
      <c r="D1575" t="s">
        <v>305</v>
      </c>
      <c r="E1575" t="s">
        <v>1643</v>
      </c>
      <c r="F1575" t="s">
        <v>1644</v>
      </c>
      <c r="G1575" t="s">
        <v>655</v>
      </c>
    </row>
    <row r="1576" spans="1:7" x14ac:dyDescent="0.3">
      <c r="A1576" t="s">
        <v>296</v>
      </c>
      <c r="B1576" s="5">
        <v>41514</v>
      </c>
      <c r="C1576">
        <v>-71.400000000000006</v>
      </c>
      <c r="D1576" t="s">
        <v>305</v>
      </c>
      <c r="E1576" t="s">
        <v>1645</v>
      </c>
      <c r="F1576" t="s">
        <v>797</v>
      </c>
      <c r="G1576" t="s">
        <v>636</v>
      </c>
    </row>
    <row r="1577" spans="1:7" x14ac:dyDescent="0.3">
      <c r="A1577" t="s">
        <v>296</v>
      </c>
      <c r="B1577" s="5">
        <v>41515</v>
      </c>
      <c r="C1577">
        <v>25</v>
      </c>
      <c r="D1577" t="s">
        <v>305</v>
      </c>
      <c r="E1577" t="s">
        <v>438</v>
      </c>
      <c r="F1577" t="s">
        <v>436</v>
      </c>
      <c r="G1577" t="s">
        <v>14</v>
      </c>
    </row>
    <row r="1578" spans="1:7" x14ac:dyDescent="0.3">
      <c r="A1578" t="s">
        <v>296</v>
      </c>
      <c r="B1578" s="5">
        <v>41515</v>
      </c>
      <c r="C1578">
        <v>-5.39</v>
      </c>
      <c r="D1578" t="s">
        <v>305</v>
      </c>
      <c r="E1578" t="s">
        <v>1630</v>
      </c>
      <c r="F1578" t="s">
        <v>797</v>
      </c>
      <c r="G1578" t="s">
        <v>636</v>
      </c>
    </row>
    <row r="1579" spans="1:7" x14ac:dyDescent="0.3">
      <c r="A1579" t="s">
        <v>296</v>
      </c>
      <c r="B1579" s="5">
        <v>41515</v>
      </c>
      <c r="C1579">
        <v>-6.34</v>
      </c>
      <c r="D1579" t="s">
        <v>305</v>
      </c>
      <c r="E1579" t="s">
        <v>1629</v>
      </c>
      <c r="F1579" t="s">
        <v>797</v>
      </c>
      <c r="G1579" t="s">
        <v>636</v>
      </c>
    </row>
    <row r="1580" spans="1:7" x14ac:dyDescent="0.3">
      <c r="A1580" t="s">
        <v>296</v>
      </c>
      <c r="B1580" s="5">
        <v>41515</v>
      </c>
      <c r="C1580">
        <v>-8.2899999999999991</v>
      </c>
      <c r="D1580" t="s">
        <v>305</v>
      </c>
      <c r="E1580" t="s">
        <v>1630</v>
      </c>
      <c r="F1580" t="s">
        <v>797</v>
      </c>
      <c r="G1580" t="s">
        <v>636</v>
      </c>
    </row>
    <row r="1581" spans="1:7" x14ac:dyDescent="0.3">
      <c r="A1581" t="s">
        <v>296</v>
      </c>
      <c r="B1581" s="5">
        <v>41515</v>
      </c>
      <c r="C1581">
        <v>-15</v>
      </c>
      <c r="D1581" t="s">
        <v>305</v>
      </c>
      <c r="E1581" t="s">
        <v>1630</v>
      </c>
      <c r="F1581" t="s">
        <v>1631</v>
      </c>
      <c r="G1581" t="s">
        <v>418</v>
      </c>
    </row>
    <row r="1582" spans="1:7" x14ac:dyDescent="0.3">
      <c r="A1582" t="s">
        <v>296</v>
      </c>
      <c r="B1582" s="5">
        <v>41515</v>
      </c>
      <c r="C1582">
        <v>-16.04</v>
      </c>
      <c r="D1582" t="s">
        <v>305</v>
      </c>
      <c r="E1582" t="s">
        <v>1646</v>
      </c>
      <c r="G1582" t="s">
        <v>334</v>
      </c>
    </row>
    <row r="1583" spans="1:7" x14ac:dyDescent="0.3">
      <c r="A1583" t="s">
        <v>296</v>
      </c>
      <c r="B1583" s="5">
        <v>41515</v>
      </c>
      <c r="C1583">
        <v>-26.89</v>
      </c>
      <c r="D1583" t="s">
        <v>305</v>
      </c>
      <c r="E1583" t="s">
        <v>1630</v>
      </c>
      <c r="F1583" t="s">
        <v>797</v>
      </c>
      <c r="G1583" t="s">
        <v>636</v>
      </c>
    </row>
    <row r="1584" spans="1:7" x14ac:dyDescent="0.3">
      <c r="A1584" t="s">
        <v>296</v>
      </c>
      <c r="B1584" s="5">
        <v>41515</v>
      </c>
      <c r="C1584">
        <v>-37.22</v>
      </c>
      <c r="D1584" t="s">
        <v>305</v>
      </c>
      <c r="E1584" t="s">
        <v>1630</v>
      </c>
      <c r="F1584" t="s">
        <v>797</v>
      </c>
      <c r="G1584" t="s">
        <v>636</v>
      </c>
    </row>
    <row r="1585" spans="1:9" x14ac:dyDescent="0.3">
      <c r="A1585" t="s">
        <v>296</v>
      </c>
      <c r="B1585" s="5">
        <v>41516</v>
      </c>
      <c r="C1585">
        <v>-98</v>
      </c>
      <c r="D1585" t="s">
        <v>305</v>
      </c>
      <c r="E1585" t="s">
        <v>1647</v>
      </c>
      <c r="F1585" t="s">
        <v>797</v>
      </c>
      <c r="G1585" t="s">
        <v>636</v>
      </c>
    </row>
    <row r="1586" spans="1:9" x14ac:dyDescent="0.3">
      <c r="A1586" t="s">
        <v>296</v>
      </c>
      <c r="B1586" s="5">
        <v>41517</v>
      </c>
      <c r="C1586">
        <v>-17.510000000000002</v>
      </c>
      <c r="D1586" t="s">
        <v>305</v>
      </c>
      <c r="E1586" t="s">
        <v>1312</v>
      </c>
      <c r="G1586" t="s">
        <v>334</v>
      </c>
    </row>
    <row r="1587" spans="1:9" x14ac:dyDescent="0.3">
      <c r="A1587" t="s">
        <v>296</v>
      </c>
      <c r="B1587" s="5">
        <v>41517</v>
      </c>
      <c r="C1587">
        <v>-36.49</v>
      </c>
      <c r="D1587" t="s">
        <v>305</v>
      </c>
      <c r="E1587" t="s">
        <v>1648</v>
      </c>
      <c r="F1587" t="s">
        <v>1649</v>
      </c>
      <c r="G1587" t="s">
        <v>418</v>
      </c>
    </row>
    <row r="1588" spans="1:9" x14ac:dyDescent="0.3">
      <c r="A1588" t="s">
        <v>296</v>
      </c>
      <c r="B1588" s="5">
        <v>41517</v>
      </c>
      <c r="C1588">
        <v>-55.21</v>
      </c>
      <c r="D1588" t="s">
        <v>305</v>
      </c>
      <c r="E1588" t="s">
        <v>1650</v>
      </c>
      <c r="F1588" t="s">
        <v>797</v>
      </c>
      <c r="G1588" t="s">
        <v>418</v>
      </c>
    </row>
    <row r="1589" spans="1:9" x14ac:dyDescent="0.3">
      <c r="A1589" t="s">
        <v>296</v>
      </c>
      <c r="B1589" s="5">
        <v>41518</v>
      </c>
      <c r="C1589" s="4">
        <v>2973.01</v>
      </c>
      <c r="D1589" t="s">
        <v>305</v>
      </c>
      <c r="E1589" t="s">
        <v>322</v>
      </c>
      <c r="F1589" t="s">
        <v>607</v>
      </c>
      <c r="G1589" t="s">
        <v>9</v>
      </c>
    </row>
    <row r="1590" spans="1:9" x14ac:dyDescent="0.3">
      <c r="A1590" t="s">
        <v>296</v>
      </c>
      <c r="B1590" s="5">
        <v>41518</v>
      </c>
      <c r="C1590">
        <v>-23.18</v>
      </c>
      <c r="D1590" t="s">
        <v>305</v>
      </c>
      <c r="E1590" t="s">
        <v>1651</v>
      </c>
      <c r="G1590" t="s">
        <v>334</v>
      </c>
    </row>
    <row r="1591" spans="1:9" x14ac:dyDescent="0.3">
      <c r="A1591" t="s">
        <v>296</v>
      </c>
      <c r="B1591" s="5">
        <v>41518</v>
      </c>
      <c r="C1591">
        <v>-52.06</v>
      </c>
      <c r="D1591" t="s">
        <v>305</v>
      </c>
      <c r="E1591" t="s">
        <v>442</v>
      </c>
      <c r="G1591" t="s">
        <v>343</v>
      </c>
    </row>
    <row r="1592" spans="1:9" x14ac:dyDescent="0.3">
      <c r="A1592" t="s">
        <v>296</v>
      </c>
      <c r="B1592" s="5">
        <v>41518</v>
      </c>
      <c r="C1592">
        <v>-57.3</v>
      </c>
      <c r="D1592" t="s">
        <v>305</v>
      </c>
      <c r="E1592" t="s">
        <v>443</v>
      </c>
      <c r="G1592" t="s">
        <v>343</v>
      </c>
    </row>
    <row r="1593" spans="1:9" x14ac:dyDescent="0.3">
      <c r="A1593" t="s">
        <v>296</v>
      </c>
      <c r="B1593" s="5">
        <v>41518</v>
      </c>
      <c r="C1593">
        <v>-87.91</v>
      </c>
      <c r="D1593" t="s">
        <v>305</v>
      </c>
      <c r="E1593" t="s">
        <v>1652</v>
      </c>
      <c r="G1593" t="s">
        <v>334</v>
      </c>
    </row>
    <row r="1594" spans="1:9" x14ac:dyDescent="0.3">
      <c r="A1594" t="s">
        <v>296</v>
      </c>
      <c r="B1594" s="5">
        <v>41519</v>
      </c>
      <c r="C1594">
        <v>-3.04</v>
      </c>
      <c r="D1594" t="s">
        <v>305</v>
      </c>
      <c r="E1594" t="s">
        <v>1322</v>
      </c>
      <c r="F1594" t="s">
        <v>1653</v>
      </c>
      <c r="G1594" t="s">
        <v>308</v>
      </c>
    </row>
    <row r="1595" spans="1:9" x14ac:dyDescent="0.3">
      <c r="A1595" t="s">
        <v>296</v>
      </c>
      <c r="B1595" s="5">
        <v>41519</v>
      </c>
      <c r="C1595">
        <v>-3.04</v>
      </c>
      <c r="D1595" t="s">
        <v>305</v>
      </c>
      <c r="E1595" t="s">
        <v>1322</v>
      </c>
      <c r="F1595" t="s">
        <v>1653</v>
      </c>
      <c r="G1595" t="s">
        <v>308</v>
      </c>
    </row>
    <row r="1596" spans="1:9" x14ac:dyDescent="0.3">
      <c r="A1596" t="s">
        <v>296</v>
      </c>
      <c r="B1596" s="5">
        <v>41519</v>
      </c>
      <c r="C1596">
        <v>-26.99</v>
      </c>
      <c r="D1596" t="s">
        <v>305</v>
      </c>
      <c r="E1596" t="s">
        <v>1654</v>
      </c>
      <c r="G1596" t="s">
        <v>334</v>
      </c>
    </row>
    <row r="1597" spans="1:9" x14ac:dyDescent="0.3">
      <c r="A1597" t="s">
        <v>296</v>
      </c>
      <c r="B1597" s="5">
        <v>41519</v>
      </c>
      <c r="C1597">
        <v>-57.4</v>
      </c>
      <c r="D1597" t="s">
        <v>305</v>
      </c>
      <c r="E1597" t="s">
        <v>1322</v>
      </c>
      <c r="F1597" t="s">
        <v>1655</v>
      </c>
      <c r="G1597" t="s">
        <v>308</v>
      </c>
    </row>
    <row r="1598" spans="1:9" x14ac:dyDescent="0.3">
      <c r="A1598" t="s">
        <v>296</v>
      </c>
      <c r="B1598" s="5">
        <v>41519</v>
      </c>
      <c r="C1598">
        <v>-74.930000000000007</v>
      </c>
      <c r="D1598" t="s">
        <v>305</v>
      </c>
      <c r="E1598" t="s">
        <v>442</v>
      </c>
      <c r="G1598" t="s">
        <v>343</v>
      </c>
    </row>
    <row r="1599" spans="1:9" x14ac:dyDescent="0.3">
      <c r="A1599" t="s">
        <v>296</v>
      </c>
      <c r="B1599" s="5">
        <v>41519</v>
      </c>
      <c r="C1599">
        <v>-19.21</v>
      </c>
      <c r="D1599" t="s">
        <v>305</v>
      </c>
      <c r="E1599" t="s">
        <v>452</v>
      </c>
      <c r="F1599" t="s">
        <v>1364</v>
      </c>
      <c r="G1599" t="s">
        <v>453</v>
      </c>
      <c r="I1599" t="s">
        <v>272</v>
      </c>
    </row>
    <row r="1600" spans="1:9" x14ac:dyDescent="0.3">
      <c r="A1600" t="s">
        <v>296</v>
      </c>
      <c r="B1600" s="5">
        <v>41519</v>
      </c>
      <c r="C1600">
        <v>-61.81</v>
      </c>
      <c r="D1600" t="s">
        <v>305</v>
      </c>
      <c r="E1600" t="s">
        <v>452</v>
      </c>
      <c r="G1600" t="s">
        <v>454</v>
      </c>
      <c r="I1600" t="s">
        <v>272</v>
      </c>
    </row>
    <row r="1601" spans="1:9" x14ac:dyDescent="0.3">
      <c r="A1601" t="s">
        <v>296</v>
      </c>
      <c r="B1601" s="5">
        <v>41519</v>
      </c>
      <c r="C1601">
        <v>-46.17</v>
      </c>
      <c r="D1601" t="s">
        <v>305</v>
      </c>
      <c r="E1601" t="s">
        <v>452</v>
      </c>
      <c r="G1601" t="s">
        <v>455</v>
      </c>
      <c r="I1601" t="s">
        <v>272</v>
      </c>
    </row>
    <row r="1602" spans="1:9" x14ac:dyDescent="0.3">
      <c r="A1602" t="s">
        <v>296</v>
      </c>
      <c r="B1602" s="5">
        <v>41519</v>
      </c>
      <c r="C1602">
        <v>-125.86</v>
      </c>
      <c r="D1602" t="s">
        <v>305</v>
      </c>
      <c r="E1602" t="s">
        <v>431</v>
      </c>
      <c r="F1602" t="s">
        <v>1656</v>
      </c>
      <c r="G1602" t="s">
        <v>308</v>
      </c>
      <c r="I1602" t="s">
        <v>272</v>
      </c>
    </row>
    <row r="1603" spans="1:9" x14ac:dyDescent="0.3">
      <c r="A1603" t="s">
        <v>296</v>
      </c>
      <c r="B1603" s="5">
        <v>41519</v>
      </c>
      <c r="C1603">
        <v>-8.4600000000000009</v>
      </c>
      <c r="D1603" t="s">
        <v>305</v>
      </c>
      <c r="E1603" t="s">
        <v>431</v>
      </c>
      <c r="F1603" t="s">
        <v>1657</v>
      </c>
      <c r="G1603" t="s">
        <v>660</v>
      </c>
      <c r="I1603" t="s">
        <v>272</v>
      </c>
    </row>
    <row r="1604" spans="1:9" x14ac:dyDescent="0.3">
      <c r="A1604" t="s">
        <v>296</v>
      </c>
      <c r="B1604" s="5">
        <v>41520</v>
      </c>
      <c r="C1604">
        <v>-26</v>
      </c>
      <c r="D1604" t="s">
        <v>305</v>
      </c>
      <c r="E1604" t="s">
        <v>639</v>
      </c>
      <c r="F1604" t="s">
        <v>1632</v>
      </c>
      <c r="G1604" t="s">
        <v>636</v>
      </c>
    </row>
    <row r="1605" spans="1:9" x14ac:dyDescent="0.3">
      <c r="A1605" t="s">
        <v>296</v>
      </c>
      <c r="B1605" s="5">
        <v>41521</v>
      </c>
      <c r="C1605">
        <v>-4</v>
      </c>
      <c r="D1605" t="s">
        <v>305</v>
      </c>
      <c r="E1605" t="s">
        <v>473</v>
      </c>
      <c r="F1605" t="s">
        <v>1469</v>
      </c>
      <c r="G1605" t="s">
        <v>441</v>
      </c>
    </row>
    <row r="1606" spans="1:9" x14ac:dyDescent="0.3">
      <c r="A1606" t="s">
        <v>296</v>
      </c>
      <c r="B1606" s="5">
        <v>41522</v>
      </c>
      <c r="C1606">
        <v>-19.46</v>
      </c>
      <c r="D1606" t="s">
        <v>305</v>
      </c>
      <c r="E1606" t="s">
        <v>435</v>
      </c>
      <c r="F1606" t="s">
        <v>1426</v>
      </c>
      <c r="G1606" t="s">
        <v>479</v>
      </c>
    </row>
    <row r="1607" spans="1:9" x14ac:dyDescent="0.3">
      <c r="A1607" t="s">
        <v>296</v>
      </c>
      <c r="B1607" s="5">
        <v>41523</v>
      </c>
      <c r="C1607">
        <v>-37.83</v>
      </c>
      <c r="D1607" t="s">
        <v>305</v>
      </c>
      <c r="E1607" t="s">
        <v>1156</v>
      </c>
      <c r="F1607" t="s">
        <v>1658</v>
      </c>
      <c r="G1607" t="s">
        <v>359</v>
      </c>
    </row>
    <row r="1608" spans="1:9" x14ac:dyDescent="0.3">
      <c r="A1608" t="s">
        <v>296</v>
      </c>
      <c r="B1608" s="5">
        <v>41523</v>
      </c>
      <c r="C1608">
        <v>-66.53</v>
      </c>
      <c r="D1608" t="s">
        <v>305</v>
      </c>
      <c r="E1608" t="s">
        <v>1436</v>
      </c>
      <c r="G1608" t="s">
        <v>334</v>
      </c>
    </row>
    <row r="1609" spans="1:9" x14ac:dyDescent="0.3">
      <c r="A1609" t="s">
        <v>296</v>
      </c>
      <c r="B1609" s="5">
        <v>41524</v>
      </c>
      <c r="C1609">
        <v>-1.04</v>
      </c>
      <c r="D1609" t="s">
        <v>305</v>
      </c>
      <c r="E1609" t="s">
        <v>446</v>
      </c>
      <c r="F1609" t="s">
        <v>996</v>
      </c>
      <c r="G1609" t="s">
        <v>346</v>
      </c>
    </row>
    <row r="1610" spans="1:9" x14ac:dyDescent="0.3">
      <c r="A1610" t="s">
        <v>296</v>
      </c>
      <c r="B1610" s="5">
        <v>41524</v>
      </c>
      <c r="C1610">
        <v>-3</v>
      </c>
      <c r="D1610" t="s">
        <v>305</v>
      </c>
      <c r="E1610" t="s">
        <v>440</v>
      </c>
      <c r="F1610" t="s">
        <v>1457</v>
      </c>
      <c r="G1610" t="s">
        <v>441</v>
      </c>
    </row>
    <row r="1611" spans="1:9" x14ac:dyDescent="0.3">
      <c r="A1611" t="s">
        <v>296</v>
      </c>
      <c r="B1611" s="5">
        <v>41524</v>
      </c>
      <c r="C1611">
        <v>-8.65</v>
      </c>
      <c r="D1611" t="s">
        <v>305</v>
      </c>
      <c r="E1611" t="s">
        <v>446</v>
      </c>
      <c r="F1611" t="s">
        <v>1659</v>
      </c>
      <c r="G1611" t="s">
        <v>360</v>
      </c>
    </row>
    <row r="1612" spans="1:9" x14ac:dyDescent="0.3">
      <c r="A1612" t="s">
        <v>296</v>
      </c>
      <c r="B1612" s="5">
        <v>41524</v>
      </c>
      <c r="C1612">
        <v>-12.05</v>
      </c>
      <c r="D1612" t="s">
        <v>305</v>
      </c>
      <c r="E1612" t="s">
        <v>433</v>
      </c>
      <c r="G1612" t="s">
        <v>343</v>
      </c>
    </row>
    <row r="1613" spans="1:9" x14ac:dyDescent="0.3">
      <c r="A1613" t="s">
        <v>296</v>
      </c>
      <c r="B1613" s="5">
        <v>41524</v>
      </c>
      <c r="C1613">
        <v>-20</v>
      </c>
      <c r="D1613" t="s">
        <v>305</v>
      </c>
      <c r="E1613" t="s">
        <v>433</v>
      </c>
      <c r="G1613" t="s">
        <v>343</v>
      </c>
    </row>
    <row r="1614" spans="1:9" x14ac:dyDescent="0.3">
      <c r="A1614" t="s">
        <v>296</v>
      </c>
      <c r="B1614" s="5">
        <v>41524</v>
      </c>
      <c r="C1614">
        <v>-23.08</v>
      </c>
      <c r="D1614" t="s">
        <v>305</v>
      </c>
      <c r="E1614" t="s">
        <v>1204</v>
      </c>
      <c r="G1614" t="s">
        <v>334</v>
      </c>
    </row>
    <row r="1615" spans="1:9" x14ac:dyDescent="0.3">
      <c r="A1615" t="s">
        <v>296</v>
      </c>
      <c r="B1615" s="5">
        <v>41524</v>
      </c>
      <c r="C1615">
        <v>-69.19</v>
      </c>
      <c r="D1615" t="s">
        <v>305</v>
      </c>
      <c r="E1615" t="s">
        <v>442</v>
      </c>
      <c r="G1615" t="s">
        <v>343</v>
      </c>
    </row>
    <row r="1616" spans="1:9" x14ac:dyDescent="0.3">
      <c r="A1616" t="s">
        <v>296</v>
      </c>
      <c r="B1616" s="5">
        <v>41525</v>
      </c>
      <c r="C1616">
        <v>-21.56</v>
      </c>
      <c r="D1616" t="s">
        <v>305</v>
      </c>
      <c r="E1616" t="s">
        <v>442</v>
      </c>
      <c r="G1616" t="s">
        <v>343</v>
      </c>
    </row>
    <row r="1617" spans="1:7" x14ac:dyDescent="0.3">
      <c r="A1617" t="s">
        <v>296</v>
      </c>
      <c r="B1617" s="5">
        <v>41525</v>
      </c>
      <c r="C1617">
        <v>-27.69</v>
      </c>
      <c r="D1617" t="s">
        <v>305</v>
      </c>
      <c r="E1617" t="s">
        <v>1660</v>
      </c>
      <c r="G1617" t="s">
        <v>458</v>
      </c>
    </row>
    <row r="1618" spans="1:7" x14ac:dyDescent="0.3">
      <c r="A1618" t="s">
        <v>296</v>
      </c>
      <c r="B1618" s="5">
        <v>41526</v>
      </c>
      <c r="C1618">
        <v>-5.76</v>
      </c>
      <c r="D1618" t="s">
        <v>305</v>
      </c>
      <c r="E1618" t="s">
        <v>442</v>
      </c>
      <c r="G1618" t="s">
        <v>343</v>
      </c>
    </row>
    <row r="1619" spans="1:7" x14ac:dyDescent="0.3">
      <c r="A1619" t="s">
        <v>296</v>
      </c>
      <c r="B1619" s="5">
        <v>41526</v>
      </c>
      <c r="C1619">
        <v>-61.86</v>
      </c>
      <c r="D1619" t="s">
        <v>305</v>
      </c>
      <c r="E1619" t="s">
        <v>442</v>
      </c>
      <c r="F1619" t="s">
        <v>1661</v>
      </c>
      <c r="G1619" t="s">
        <v>20</v>
      </c>
    </row>
    <row r="1620" spans="1:7" x14ac:dyDescent="0.3">
      <c r="A1620" t="s">
        <v>296</v>
      </c>
      <c r="B1620" s="5">
        <v>41527</v>
      </c>
      <c r="C1620">
        <v>-9.66</v>
      </c>
      <c r="D1620" t="s">
        <v>305</v>
      </c>
      <c r="E1620" t="s">
        <v>1150</v>
      </c>
      <c r="F1620" t="s">
        <v>1504</v>
      </c>
      <c r="G1620" t="s">
        <v>417</v>
      </c>
    </row>
    <row r="1621" spans="1:7" x14ac:dyDescent="0.3">
      <c r="A1621" t="s">
        <v>296</v>
      </c>
      <c r="B1621" s="5">
        <v>41527</v>
      </c>
      <c r="C1621">
        <v>-14.2</v>
      </c>
      <c r="D1621" t="s">
        <v>305</v>
      </c>
      <c r="E1621" t="s">
        <v>1662</v>
      </c>
      <c r="F1621" t="s">
        <v>863</v>
      </c>
      <c r="G1621" t="s">
        <v>620</v>
      </c>
    </row>
    <row r="1622" spans="1:7" x14ac:dyDescent="0.3">
      <c r="A1622" t="s">
        <v>296</v>
      </c>
      <c r="B1622" s="5">
        <v>41528</v>
      </c>
      <c r="C1622">
        <v>-8.69</v>
      </c>
      <c r="D1622" t="s">
        <v>305</v>
      </c>
      <c r="E1622" t="s">
        <v>1099</v>
      </c>
      <c r="F1622" t="s">
        <v>1663</v>
      </c>
      <c r="G1622" t="s">
        <v>620</v>
      </c>
    </row>
    <row r="1623" spans="1:7" x14ac:dyDescent="0.3">
      <c r="A1623" t="s">
        <v>296</v>
      </c>
      <c r="B1623" s="5">
        <v>41528</v>
      </c>
      <c r="C1623">
        <v>-12.86</v>
      </c>
      <c r="D1623" t="s">
        <v>305</v>
      </c>
      <c r="E1623" t="s">
        <v>1664</v>
      </c>
      <c r="F1623" t="s">
        <v>863</v>
      </c>
      <c r="G1623" t="s">
        <v>620</v>
      </c>
    </row>
    <row r="1624" spans="1:7" x14ac:dyDescent="0.3">
      <c r="A1624" t="s">
        <v>296</v>
      </c>
      <c r="B1624" s="5">
        <v>41528</v>
      </c>
      <c r="C1624">
        <v>-15</v>
      </c>
      <c r="D1624" t="s">
        <v>305</v>
      </c>
      <c r="E1624" t="s">
        <v>1664</v>
      </c>
      <c r="F1624" t="s">
        <v>863</v>
      </c>
      <c r="G1624" t="s">
        <v>620</v>
      </c>
    </row>
    <row r="1625" spans="1:7" x14ac:dyDescent="0.3">
      <c r="A1625" t="s">
        <v>296</v>
      </c>
      <c r="B1625" s="5">
        <v>41529</v>
      </c>
      <c r="C1625">
        <v>-6.95</v>
      </c>
      <c r="D1625" t="s">
        <v>305</v>
      </c>
      <c r="E1625" t="s">
        <v>1665</v>
      </c>
      <c r="F1625" t="s">
        <v>996</v>
      </c>
      <c r="G1625" t="s">
        <v>20</v>
      </c>
    </row>
    <row r="1626" spans="1:7" x14ac:dyDescent="0.3">
      <c r="A1626" t="s">
        <v>296</v>
      </c>
      <c r="B1626" s="5">
        <v>41529</v>
      </c>
      <c r="C1626">
        <v>-7</v>
      </c>
      <c r="D1626" t="s">
        <v>305</v>
      </c>
      <c r="E1626" t="s">
        <v>1666</v>
      </c>
      <c r="G1626" t="s">
        <v>417</v>
      </c>
    </row>
    <row r="1627" spans="1:7" x14ac:dyDescent="0.3">
      <c r="A1627" t="s">
        <v>296</v>
      </c>
      <c r="B1627" s="5">
        <v>41529</v>
      </c>
      <c r="C1627">
        <v>-8.98</v>
      </c>
      <c r="D1627" t="s">
        <v>305</v>
      </c>
      <c r="E1627" t="s">
        <v>437</v>
      </c>
      <c r="G1627" t="s">
        <v>343</v>
      </c>
    </row>
    <row r="1628" spans="1:7" x14ac:dyDescent="0.3">
      <c r="A1628" t="s">
        <v>296</v>
      </c>
      <c r="B1628" s="5">
        <v>41529</v>
      </c>
      <c r="C1628">
        <v>-10.63</v>
      </c>
      <c r="D1628" t="s">
        <v>305</v>
      </c>
      <c r="E1628" t="s">
        <v>1300</v>
      </c>
      <c r="F1628" t="s">
        <v>1301</v>
      </c>
      <c r="G1628" t="s">
        <v>334</v>
      </c>
    </row>
    <row r="1629" spans="1:7" x14ac:dyDescent="0.3">
      <c r="A1629" t="s">
        <v>296</v>
      </c>
      <c r="B1629" s="5">
        <v>41529</v>
      </c>
      <c r="C1629">
        <v>-10.94</v>
      </c>
      <c r="D1629" t="s">
        <v>305</v>
      </c>
      <c r="E1629" t="s">
        <v>1667</v>
      </c>
      <c r="G1629" t="s">
        <v>360</v>
      </c>
    </row>
    <row r="1630" spans="1:7" x14ac:dyDescent="0.3">
      <c r="A1630" t="s">
        <v>296</v>
      </c>
      <c r="B1630" s="5">
        <v>41529</v>
      </c>
      <c r="C1630">
        <v>-16.37</v>
      </c>
      <c r="D1630" t="s">
        <v>305</v>
      </c>
      <c r="E1630" t="s">
        <v>1668</v>
      </c>
      <c r="F1630" t="s">
        <v>1669</v>
      </c>
      <c r="G1630" t="s">
        <v>20</v>
      </c>
    </row>
    <row r="1631" spans="1:7" x14ac:dyDescent="0.3">
      <c r="A1631" t="s">
        <v>296</v>
      </c>
      <c r="B1631" s="5">
        <v>41529</v>
      </c>
      <c r="C1631">
        <v>-17.84</v>
      </c>
      <c r="D1631" t="s">
        <v>305</v>
      </c>
      <c r="E1631" t="s">
        <v>1670</v>
      </c>
      <c r="F1631" t="s">
        <v>1671</v>
      </c>
      <c r="G1631" t="s">
        <v>620</v>
      </c>
    </row>
    <row r="1632" spans="1:7" x14ac:dyDescent="0.3">
      <c r="A1632" t="s">
        <v>296</v>
      </c>
      <c r="B1632" s="5">
        <v>41530</v>
      </c>
      <c r="C1632">
        <v>-45.47</v>
      </c>
      <c r="D1632" t="s">
        <v>305</v>
      </c>
      <c r="E1632" t="s">
        <v>1434</v>
      </c>
      <c r="G1632" t="s">
        <v>334</v>
      </c>
    </row>
    <row r="1633" spans="1:7" x14ac:dyDescent="0.3">
      <c r="A1633" t="s">
        <v>296</v>
      </c>
      <c r="B1633" s="5">
        <v>41531</v>
      </c>
      <c r="C1633">
        <v>-3.04</v>
      </c>
      <c r="D1633" t="s">
        <v>305</v>
      </c>
      <c r="E1633" t="s">
        <v>433</v>
      </c>
      <c r="G1633" t="s">
        <v>343</v>
      </c>
    </row>
    <row r="1634" spans="1:7" x14ac:dyDescent="0.3">
      <c r="A1634" t="s">
        <v>296</v>
      </c>
      <c r="B1634" s="5">
        <v>41531</v>
      </c>
      <c r="C1634">
        <v>-27.05</v>
      </c>
      <c r="D1634" t="s">
        <v>305</v>
      </c>
      <c r="E1634" t="s">
        <v>1672</v>
      </c>
      <c r="F1634" t="s">
        <v>996</v>
      </c>
      <c r="G1634" t="s">
        <v>614</v>
      </c>
    </row>
    <row r="1635" spans="1:7" x14ac:dyDescent="0.3">
      <c r="A1635" t="s">
        <v>296</v>
      </c>
      <c r="B1635" s="5">
        <v>41531</v>
      </c>
      <c r="C1635">
        <v>-28.13</v>
      </c>
      <c r="D1635" t="s">
        <v>305</v>
      </c>
      <c r="E1635" t="s">
        <v>1673</v>
      </c>
      <c r="F1635" t="s">
        <v>1674</v>
      </c>
      <c r="G1635" t="s">
        <v>614</v>
      </c>
    </row>
    <row r="1636" spans="1:7" x14ac:dyDescent="0.3">
      <c r="A1636" t="s">
        <v>296</v>
      </c>
      <c r="B1636" s="5">
        <v>41531</v>
      </c>
      <c r="C1636">
        <v>-260</v>
      </c>
      <c r="D1636" t="s">
        <v>305</v>
      </c>
      <c r="E1636" t="s">
        <v>1675</v>
      </c>
      <c r="F1636" t="s">
        <v>1676</v>
      </c>
      <c r="G1636" t="s">
        <v>20</v>
      </c>
    </row>
    <row r="1637" spans="1:7" x14ac:dyDescent="0.3">
      <c r="A1637" t="s">
        <v>296</v>
      </c>
      <c r="B1637" s="5">
        <v>41532</v>
      </c>
      <c r="C1637">
        <v>-14.86</v>
      </c>
      <c r="D1637" t="s">
        <v>305</v>
      </c>
      <c r="E1637" t="s">
        <v>1677</v>
      </c>
      <c r="G1637" t="s">
        <v>334</v>
      </c>
    </row>
    <row r="1638" spans="1:7" x14ac:dyDescent="0.3">
      <c r="A1638" t="s">
        <v>296</v>
      </c>
      <c r="B1638" s="5">
        <v>41532</v>
      </c>
      <c r="C1638">
        <v>-16.97</v>
      </c>
      <c r="D1638" t="s">
        <v>305</v>
      </c>
      <c r="E1638" t="s">
        <v>472</v>
      </c>
      <c r="F1638" t="s">
        <v>1448</v>
      </c>
      <c r="G1638" t="s">
        <v>334</v>
      </c>
    </row>
    <row r="1639" spans="1:7" x14ac:dyDescent="0.3">
      <c r="A1639" t="s">
        <v>296</v>
      </c>
      <c r="B1639" s="5">
        <v>41533</v>
      </c>
      <c r="C1639">
        <v>-0.49</v>
      </c>
      <c r="D1639" t="s">
        <v>305</v>
      </c>
      <c r="E1639" t="s">
        <v>437</v>
      </c>
      <c r="G1639" t="s">
        <v>343</v>
      </c>
    </row>
    <row r="1640" spans="1:7" x14ac:dyDescent="0.3">
      <c r="A1640" t="s">
        <v>296</v>
      </c>
      <c r="B1640" s="5">
        <v>41533</v>
      </c>
      <c r="C1640">
        <v>-8.75</v>
      </c>
      <c r="D1640" t="s">
        <v>305</v>
      </c>
      <c r="E1640" t="s">
        <v>1170</v>
      </c>
      <c r="F1640" t="s">
        <v>1321</v>
      </c>
      <c r="G1640" t="s">
        <v>73</v>
      </c>
    </row>
    <row r="1641" spans="1:7" x14ac:dyDescent="0.3">
      <c r="A1641" t="s">
        <v>296</v>
      </c>
      <c r="B1641" s="5">
        <v>41533</v>
      </c>
      <c r="C1641">
        <v>-63.89</v>
      </c>
      <c r="D1641" t="s">
        <v>305</v>
      </c>
      <c r="E1641" t="s">
        <v>442</v>
      </c>
      <c r="G1641" t="s">
        <v>343</v>
      </c>
    </row>
    <row r="1642" spans="1:7" x14ac:dyDescent="0.3">
      <c r="A1642" t="s">
        <v>296</v>
      </c>
      <c r="B1642" s="5">
        <v>41534</v>
      </c>
      <c r="C1642">
        <v>-296</v>
      </c>
      <c r="D1642" t="s">
        <v>305</v>
      </c>
      <c r="E1642" t="s">
        <v>1678</v>
      </c>
      <c r="G1642" t="s">
        <v>17</v>
      </c>
    </row>
    <row r="1643" spans="1:7" x14ac:dyDescent="0.3">
      <c r="A1643" t="s">
        <v>296</v>
      </c>
      <c r="B1643" s="5">
        <v>41536</v>
      </c>
      <c r="C1643">
        <v>25</v>
      </c>
      <c r="D1643" t="s">
        <v>305</v>
      </c>
      <c r="E1643" t="s">
        <v>438</v>
      </c>
      <c r="F1643" t="s">
        <v>436</v>
      </c>
      <c r="G1643" t="s">
        <v>14</v>
      </c>
    </row>
    <row r="1644" spans="1:7" x14ac:dyDescent="0.3">
      <c r="A1644" t="s">
        <v>296</v>
      </c>
      <c r="B1644" s="5">
        <v>41536</v>
      </c>
      <c r="C1644">
        <v>-7.1</v>
      </c>
      <c r="D1644" t="s">
        <v>305</v>
      </c>
      <c r="E1644" t="s">
        <v>645</v>
      </c>
      <c r="G1644" t="s">
        <v>334</v>
      </c>
    </row>
    <row r="1645" spans="1:7" x14ac:dyDescent="0.3">
      <c r="A1645" t="s">
        <v>296</v>
      </c>
      <c r="B1645" s="5">
        <v>41536</v>
      </c>
      <c r="C1645">
        <v>-8.1999999999999993</v>
      </c>
      <c r="D1645" t="s">
        <v>305</v>
      </c>
      <c r="E1645" t="s">
        <v>645</v>
      </c>
      <c r="G1645" t="s">
        <v>334</v>
      </c>
    </row>
    <row r="1646" spans="1:7" x14ac:dyDescent="0.3">
      <c r="A1646" t="s">
        <v>296</v>
      </c>
      <c r="B1646" s="5">
        <v>41536</v>
      </c>
      <c r="C1646">
        <v>-30</v>
      </c>
      <c r="D1646" t="s">
        <v>305</v>
      </c>
      <c r="E1646" t="s">
        <v>893</v>
      </c>
      <c r="F1646" t="s">
        <v>1679</v>
      </c>
      <c r="G1646" t="s">
        <v>621</v>
      </c>
    </row>
    <row r="1647" spans="1:7" x14ac:dyDescent="0.3">
      <c r="A1647" t="s">
        <v>296</v>
      </c>
      <c r="B1647" s="5">
        <v>41537</v>
      </c>
      <c r="C1647">
        <v>-11.93</v>
      </c>
      <c r="D1647" t="s">
        <v>305</v>
      </c>
      <c r="E1647" t="s">
        <v>437</v>
      </c>
      <c r="G1647" t="s">
        <v>343</v>
      </c>
    </row>
    <row r="1648" spans="1:7" x14ac:dyDescent="0.3">
      <c r="A1648" t="s">
        <v>296</v>
      </c>
      <c r="B1648" s="5">
        <v>41537</v>
      </c>
      <c r="C1648">
        <v>-50</v>
      </c>
      <c r="D1648" t="s">
        <v>305</v>
      </c>
      <c r="E1648" t="s">
        <v>1234</v>
      </c>
      <c r="F1648" t="s">
        <v>1346</v>
      </c>
      <c r="G1648" t="s">
        <v>457</v>
      </c>
    </row>
    <row r="1649" spans="1:7" x14ac:dyDescent="0.3">
      <c r="A1649" t="s">
        <v>296</v>
      </c>
      <c r="B1649" s="5">
        <v>41538</v>
      </c>
      <c r="C1649">
        <v>-17.5</v>
      </c>
      <c r="D1649" t="s">
        <v>305</v>
      </c>
      <c r="E1649" t="s">
        <v>1680</v>
      </c>
      <c r="G1649" t="s">
        <v>17</v>
      </c>
    </row>
    <row r="1650" spans="1:7" x14ac:dyDescent="0.3">
      <c r="A1650" t="s">
        <v>296</v>
      </c>
      <c r="B1650" s="5">
        <v>41538</v>
      </c>
      <c r="C1650">
        <v>-18</v>
      </c>
      <c r="D1650" t="s">
        <v>305</v>
      </c>
      <c r="E1650" t="s">
        <v>1680</v>
      </c>
      <c r="G1650" t="s">
        <v>17</v>
      </c>
    </row>
    <row r="1651" spans="1:7" x14ac:dyDescent="0.3">
      <c r="A1651" t="s">
        <v>296</v>
      </c>
      <c r="B1651" s="5">
        <v>41538</v>
      </c>
      <c r="C1651">
        <v>-21.06</v>
      </c>
      <c r="D1651" t="s">
        <v>305</v>
      </c>
      <c r="E1651" t="s">
        <v>1681</v>
      </c>
      <c r="G1651" t="s">
        <v>334</v>
      </c>
    </row>
    <row r="1652" spans="1:7" x14ac:dyDescent="0.3">
      <c r="A1652" t="s">
        <v>296</v>
      </c>
      <c r="B1652" s="5">
        <v>41538</v>
      </c>
      <c r="C1652">
        <v>-30</v>
      </c>
      <c r="D1652" t="s">
        <v>305</v>
      </c>
      <c r="E1652" t="s">
        <v>1682</v>
      </c>
      <c r="F1652" t="s">
        <v>1683</v>
      </c>
      <c r="G1652" t="s">
        <v>308</v>
      </c>
    </row>
    <row r="1653" spans="1:7" x14ac:dyDescent="0.3">
      <c r="A1653" t="s">
        <v>296</v>
      </c>
      <c r="B1653" s="5">
        <v>41538</v>
      </c>
      <c r="C1653">
        <v>-61.47</v>
      </c>
      <c r="D1653" t="s">
        <v>305</v>
      </c>
      <c r="E1653" t="s">
        <v>1684</v>
      </c>
      <c r="G1653" t="s">
        <v>334</v>
      </c>
    </row>
    <row r="1654" spans="1:7" x14ac:dyDescent="0.3">
      <c r="A1654" t="s">
        <v>296</v>
      </c>
      <c r="B1654" s="5">
        <v>41539</v>
      </c>
      <c r="C1654">
        <v>-7.97</v>
      </c>
      <c r="D1654" t="s">
        <v>305</v>
      </c>
      <c r="E1654" t="s">
        <v>1569</v>
      </c>
      <c r="F1654" t="s">
        <v>1685</v>
      </c>
      <c r="G1654" t="s">
        <v>467</v>
      </c>
    </row>
    <row r="1655" spans="1:7" x14ac:dyDescent="0.3">
      <c r="A1655" t="s">
        <v>296</v>
      </c>
      <c r="B1655" s="5">
        <v>41539</v>
      </c>
      <c r="C1655">
        <v>-10.79</v>
      </c>
      <c r="D1655" t="s">
        <v>305</v>
      </c>
      <c r="E1655" t="s">
        <v>431</v>
      </c>
      <c r="F1655" t="s">
        <v>1616</v>
      </c>
      <c r="G1655" t="s">
        <v>660</v>
      </c>
    </row>
    <row r="1656" spans="1:7" x14ac:dyDescent="0.3">
      <c r="A1656" t="s">
        <v>296</v>
      </c>
      <c r="B1656" s="5">
        <v>41539</v>
      </c>
      <c r="C1656">
        <v>-20.47</v>
      </c>
      <c r="D1656" t="s">
        <v>305</v>
      </c>
      <c r="E1656" t="s">
        <v>431</v>
      </c>
      <c r="F1656" t="s">
        <v>1686</v>
      </c>
      <c r="G1656" t="s">
        <v>660</v>
      </c>
    </row>
    <row r="1657" spans="1:7" x14ac:dyDescent="0.3">
      <c r="A1657" t="s">
        <v>296</v>
      </c>
      <c r="B1657" s="5">
        <v>41539</v>
      </c>
      <c r="C1657">
        <v>-23.98</v>
      </c>
      <c r="D1657" t="s">
        <v>305</v>
      </c>
      <c r="E1657" t="s">
        <v>1687</v>
      </c>
      <c r="G1657" t="s">
        <v>334</v>
      </c>
    </row>
    <row r="1658" spans="1:7" x14ac:dyDescent="0.3">
      <c r="A1658" t="s">
        <v>296</v>
      </c>
      <c r="B1658" s="5">
        <v>41539</v>
      </c>
      <c r="C1658">
        <v>-50.92</v>
      </c>
      <c r="D1658" t="s">
        <v>305</v>
      </c>
      <c r="E1658" t="s">
        <v>1688</v>
      </c>
      <c r="G1658" t="s">
        <v>458</v>
      </c>
    </row>
    <row r="1659" spans="1:7" x14ac:dyDescent="0.3">
      <c r="A1659" t="s">
        <v>296</v>
      </c>
      <c r="B1659" s="5">
        <v>41539</v>
      </c>
      <c r="C1659">
        <v>-113.74</v>
      </c>
      <c r="D1659" t="s">
        <v>305</v>
      </c>
      <c r="E1659" t="s">
        <v>442</v>
      </c>
      <c r="G1659" t="s">
        <v>343</v>
      </c>
    </row>
    <row r="1660" spans="1:7" x14ac:dyDescent="0.3">
      <c r="A1660" t="s">
        <v>296</v>
      </c>
      <c r="B1660" s="5">
        <v>41540</v>
      </c>
      <c r="C1660">
        <v>-508.21</v>
      </c>
      <c r="D1660" t="s">
        <v>305</v>
      </c>
      <c r="E1660" t="s">
        <v>1689</v>
      </c>
      <c r="F1660" t="s">
        <v>1690</v>
      </c>
      <c r="G1660" t="s">
        <v>660</v>
      </c>
    </row>
    <row r="1661" spans="1:7" x14ac:dyDescent="0.3">
      <c r="A1661" t="s">
        <v>296</v>
      </c>
      <c r="B1661" s="5">
        <v>41541</v>
      </c>
      <c r="C1661">
        <v>5</v>
      </c>
      <c r="D1661" t="s">
        <v>305</v>
      </c>
      <c r="E1661" t="s">
        <v>1691</v>
      </c>
      <c r="G1661" t="s">
        <v>308</v>
      </c>
    </row>
    <row r="1662" spans="1:7" x14ac:dyDescent="0.3">
      <c r="A1662" t="s">
        <v>296</v>
      </c>
      <c r="B1662" s="5">
        <v>41541</v>
      </c>
      <c r="C1662">
        <v>-5.05</v>
      </c>
      <c r="D1662" t="s">
        <v>305</v>
      </c>
      <c r="E1662" t="s">
        <v>437</v>
      </c>
      <c r="G1662" t="s">
        <v>343</v>
      </c>
    </row>
    <row r="1663" spans="1:7" x14ac:dyDescent="0.3">
      <c r="A1663" t="s">
        <v>296</v>
      </c>
      <c r="B1663" s="5">
        <v>41543</v>
      </c>
      <c r="C1663">
        <v>-7.28</v>
      </c>
      <c r="D1663" t="s">
        <v>305</v>
      </c>
      <c r="E1663" t="s">
        <v>437</v>
      </c>
      <c r="G1663" t="s">
        <v>343</v>
      </c>
    </row>
    <row r="1664" spans="1:7" x14ac:dyDescent="0.3">
      <c r="A1664" t="s">
        <v>296</v>
      </c>
      <c r="B1664" s="5">
        <v>41543</v>
      </c>
      <c r="C1664">
        <v>-11.8</v>
      </c>
      <c r="D1664" t="s">
        <v>305</v>
      </c>
      <c r="E1664" t="s">
        <v>1692</v>
      </c>
      <c r="G1664" t="s">
        <v>334</v>
      </c>
    </row>
    <row r="1665" spans="1:7" x14ac:dyDescent="0.3">
      <c r="A1665" t="s">
        <v>296</v>
      </c>
      <c r="B1665" s="5">
        <v>41545</v>
      </c>
      <c r="C1665">
        <v>6.8</v>
      </c>
      <c r="D1665" t="s">
        <v>305</v>
      </c>
      <c r="E1665" t="s">
        <v>431</v>
      </c>
      <c r="F1665" t="s">
        <v>1693</v>
      </c>
      <c r="G1665" t="s">
        <v>660</v>
      </c>
    </row>
    <row r="1666" spans="1:7" x14ac:dyDescent="0.3">
      <c r="A1666" t="s">
        <v>296</v>
      </c>
      <c r="B1666" s="5">
        <v>41545</v>
      </c>
      <c r="C1666">
        <v>57.4</v>
      </c>
      <c r="D1666" t="s">
        <v>305</v>
      </c>
      <c r="E1666" t="s">
        <v>1322</v>
      </c>
      <c r="F1666" t="s">
        <v>1655</v>
      </c>
      <c r="G1666" t="s">
        <v>308</v>
      </c>
    </row>
    <row r="1667" spans="1:7" x14ac:dyDescent="0.3">
      <c r="A1667" t="s">
        <v>296</v>
      </c>
      <c r="B1667" s="5">
        <v>41545</v>
      </c>
      <c r="C1667">
        <v>82.09</v>
      </c>
      <c r="D1667" t="s">
        <v>305</v>
      </c>
      <c r="E1667" t="s">
        <v>431</v>
      </c>
      <c r="F1667" t="s">
        <v>1694</v>
      </c>
      <c r="G1667" t="s">
        <v>308</v>
      </c>
    </row>
    <row r="1668" spans="1:7" x14ac:dyDescent="0.3">
      <c r="A1668" t="s">
        <v>296</v>
      </c>
      <c r="B1668" s="5">
        <v>41545</v>
      </c>
      <c r="C1668">
        <v>-0.56999999999999995</v>
      </c>
      <c r="D1668" t="s">
        <v>305</v>
      </c>
      <c r="E1668" t="s">
        <v>431</v>
      </c>
      <c r="F1668" t="s">
        <v>1616</v>
      </c>
      <c r="G1668" t="s">
        <v>660</v>
      </c>
    </row>
    <row r="1669" spans="1:7" x14ac:dyDescent="0.3">
      <c r="A1669" t="s">
        <v>296</v>
      </c>
      <c r="B1669" s="5">
        <v>41545</v>
      </c>
      <c r="C1669">
        <v>-3.03</v>
      </c>
      <c r="D1669" t="s">
        <v>305</v>
      </c>
      <c r="E1669" t="s">
        <v>462</v>
      </c>
      <c r="G1669" t="s">
        <v>441</v>
      </c>
    </row>
    <row r="1670" spans="1:7" x14ac:dyDescent="0.3">
      <c r="A1670" t="s">
        <v>296</v>
      </c>
      <c r="B1670" s="5">
        <v>41545</v>
      </c>
      <c r="C1670">
        <v>-6.48</v>
      </c>
      <c r="D1670" t="s">
        <v>305</v>
      </c>
      <c r="E1670" t="s">
        <v>433</v>
      </c>
      <c r="G1670" t="s">
        <v>343</v>
      </c>
    </row>
    <row r="1671" spans="1:7" x14ac:dyDescent="0.3">
      <c r="A1671" t="s">
        <v>296</v>
      </c>
      <c r="B1671" s="5">
        <v>41545</v>
      </c>
      <c r="C1671">
        <v>-38.04</v>
      </c>
      <c r="D1671" t="s">
        <v>305</v>
      </c>
      <c r="E1671" t="s">
        <v>431</v>
      </c>
      <c r="F1671" t="s">
        <v>1616</v>
      </c>
      <c r="G1671" t="s">
        <v>660</v>
      </c>
    </row>
    <row r="1672" spans="1:7" x14ac:dyDescent="0.3">
      <c r="A1672" t="s">
        <v>296</v>
      </c>
      <c r="B1672" s="5">
        <v>41545</v>
      </c>
      <c r="C1672">
        <v>-68.8</v>
      </c>
      <c r="D1672" t="s">
        <v>305</v>
      </c>
      <c r="E1672" t="s">
        <v>1695</v>
      </c>
      <c r="F1672" t="s">
        <v>1696</v>
      </c>
      <c r="G1672" t="s">
        <v>334</v>
      </c>
    </row>
    <row r="1673" spans="1:7" x14ac:dyDescent="0.3">
      <c r="A1673" t="s">
        <v>296</v>
      </c>
      <c r="B1673" s="5">
        <v>41545</v>
      </c>
      <c r="C1673">
        <v>-77.42</v>
      </c>
      <c r="D1673" t="s">
        <v>305</v>
      </c>
      <c r="E1673" t="s">
        <v>442</v>
      </c>
      <c r="G1673" t="s">
        <v>343</v>
      </c>
    </row>
    <row r="1674" spans="1:7" x14ac:dyDescent="0.3">
      <c r="A1674" t="s">
        <v>296</v>
      </c>
      <c r="B1674" s="5">
        <v>41546</v>
      </c>
      <c r="C1674">
        <v>-4.93</v>
      </c>
      <c r="D1674" t="s">
        <v>305</v>
      </c>
      <c r="E1674" t="s">
        <v>1688</v>
      </c>
      <c r="G1674" t="s">
        <v>458</v>
      </c>
    </row>
    <row r="1675" spans="1:7" x14ac:dyDescent="0.3">
      <c r="A1675" t="s">
        <v>296</v>
      </c>
      <c r="B1675" s="5">
        <v>41547</v>
      </c>
      <c r="C1675">
        <v>-18.899999999999999</v>
      </c>
      <c r="D1675" t="s">
        <v>305</v>
      </c>
      <c r="E1675" t="s">
        <v>1697</v>
      </c>
      <c r="G1675" t="s">
        <v>334</v>
      </c>
    </row>
    <row r="1676" spans="1:7" x14ac:dyDescent="0.3">
      <c r="A1676" t="s">
        <v>296</v>
      </c>
      <c r="B1676" s="5">
        <v>41547</v>
      </c>
      <c r="C1676">
        <v>-46.32</v>
      </c>
      <c r="D1676" t="s">
        <v>305</v>
      </c>
      <c r="E1676" t="s">
        <v>480</v>
      </c>
      <c r="G1676" t="s">
        <v>334</v>
      </c>
    </row>
    <row r="1677" spans="1:7" x14ac:dyDescent="0.3">
      <c r="A1677" t="s">
        <v>296</v>
      </c>
      <c r="B1677" s="5">
        <v>41547</v>
      </c>
      <c r="C1677">
        <v>-91</v>
      </c>
      <c r="D1677" t="s">
        <v>305</v>
      </c>
      <c r="E1677" t="s">
        <v>1698</v>
      </c>
      <c r="F1677" t="s">
        <v>1699</v>
      </c>
      <c r="G1677" t="s">
        <v>660</v>
      </c>
    </row>
    <row r="1678" spans="1:7" x14ac:dyDescent="0.3">
      <c r="A1678" t="s">
        <v>296</v>
      </c>
      <c r="B1678" s="5">
        <v>41548</v>
      </c>
      <c r="C1678">
        <v>250</v>
      </c>
      <c r="D1678" t="s">
        <v>305</v>
      </c>
      <c r="E1678" t="s">
        <v>438</v>
      </c>
      <c r="F1678" t="s">
        <v>436</v>
      </c>
      <c r="G1678" t="s">
        <v>14</v>
      </c>
    </row>
    <row r="1679" spans="1:7" x14ac:dyDescent="0.3">
      <c r="A1679" t="s">
        <v>296</v>
      </c>
      <c r="B1679" s="5">
        <v>41548</v>
      </c>
      <c r="C1679" s="4">
        <v>5528.29</v>
      </c>
      <c r="D1679" t="s">
        <v>305</v>
      </c>
      <c r="E1679" t="s">
        <v>322</v>
      </c>
      <c r="F1679" t="s">
        <v>607</v>
      </c>
      <c r="G1679" t="s">
        <v>9</v>
      </c>
    </row>
    <row r="1680" spans="1:7" x14ac:dyDescent="0.3">
      <c r="A1680" t="s">
        <v>296</v>
      </c>
      <c r="B1680" s="5">
        <v>41548</v>
      </c>
      <c r="C1680">
        <v>-6</v>
      </c>
      <c r="D1680" t="s">
        <v>305</v>
      </c>
      <c r="E1680" t="s">
        <v>1666</v>
      </c>
      <c r="G1680" t="s">
        <v>417</v>
      </c>
    </row>
    <row r="1681" spans="1:9" x14ac:dyDescent="0.3">
      <c r="A1681" t="s">
        <v>296</v>
      </c>
      <c r="B1681" s="5">
        <v>41548</v>
      </c>
      <c r="C1681">
        <v>-6</v>
      </c>
      <c r="D1681" t="s">
        <v>305</v>
      </c>
      <c r="E1681" t="s">
        <v>1666</v>
      </c>
      <c r="G1681" t="s">
        <v>417</v>
      </c>
    </row>
    <row r="1682" spans="1:9" x14ac:dyDescent="0.3">
      <c r="A1682" t="s">
        <v>296</v>
      </c>
      <c r="B1682" s="5">
        <v>41548</v>
      </c>
      <c r="C1682">
        <v>-15.8</v>
      </c>
      <c r="D1682" t="s">
        <v>305</v>
      </c>
      <c r="E1682" t="s">
        <v>1300</v>
      </c>
      <c r="F1682" t="s">
        <v>1301</v>
      </c>
      <c r="G1682" t="s">
        <v>334</v>
      </c>
    </row>
    <row r="1683" spans="1:9" x14ac:dyDescent="0.3">
      <c r="A1683" t="s">
        <v>296</v>
      </c>
      <c r="B1683" s="5">
        <v>41548</v>
      </c>
      <c r="C1683">
        <v>-28</v>
      </c>
      <c r="D1683" t="s">
        <v>305</v>
      </c>
      <c r="E1683" t="s">
        <v>1700</v>
      </c>
      <c r="G1683" t="s">
        <v>17</v>
      </c>
    </row>
    <row r="1684" spans="1:9" x14ac:dyDescent="0.3">
      <c r="A1684" t="s">
        <v>296</v>
      </c>
      <c r="B1684" s="5">
        <v>41549</v>
      </c>
      <c r="C1684">
        <v>6</v>
      </c>
      <c r="D1684" t="s">
        <v>305</v>
      </c>
      <c r="E1684" t="s">
        <v>1666</v>
      </c>
      <c r="G1684" t="s">
        <v>417</v>
      </c>
    </row>
    <row r="1685" spans="1:9" x14ac:dyDescent="0.3">
      <c r="A1685" t="s">
        <v>296</v>
      </c>
      <c r="B1685" s="5">
        <v>41549</v>
      </c>
      <c r="C1685">
        <v>-6</v>
      </c>
      <c r="D1685" t="s">
        <v>305</v>
      </c>
      <c r="E1685" t="s">
        <v>473</v>
      </c>
      <c r="F1685" t="s">
        <v>1469</v>
      </c>
      <c r="G1685" t="s">
        <v>441</v>
      </c>
    </row>
    <row r="1686" spans="1:9" x14ac:dyDescent="0.3">
      <c r="A1686" t="s">
        <v>296</v>
      </c>
      <c r="B1686" s="5">
        <v>41549</v>
      </c>
      <c r="C1686">
        <v>-7.68</v>
      </c>
      <c r="D1686" t="s">
        <v>305</v>
      </c>
      <c r="E1686" t="s">
        <v>433</v>
      </c>
      <c r="G1686" t="s">
        <v>343</v>
      </c>
    </row>
    <row r="1687" spans="1:9" x14ac:dyDescent="0.3">
      <c r="A1687" t="s">
        <v>296</v>
      </c>
      <c r="B1687" s="5">
        <v>41549</v>
      </c>
      <c r="C1687">
        <v>-19.21</v>
      </c>
      <c r="D1687" t="s">
        <v>305</v>
      </c>
      <c r="E1687" t="s">
        <v>452</v>
      </c>
      <c r="F1687" t="s">
        <v>1364</v>
      </c>
      <c r="G1687" t="s">
        <v>453</v>
      </c>
      <c r="I1687" t="s">
        <v>272</v>
      </c>
    </row>
    <row r="1688" spans="1:9" x14ac:dyDescent="0.3">
      <c r="A1688" t="s">
        <v>296</v>
      </c>
      <c r="B1688" s="5">
        <v>41549</v>
      </c>
      <c r="C1688">
        <v>-61.81</v>
      </c>
      <c r="D1688" t="s">
        <v>305</v>
      </c>
      <c r="E1688" t="s">
        <v>452</v>
      </c>
      <c r="G1688" t="s">
        <v>454</v>
      </c>
      <c r="I1688" t="s">
        <v>272</v>
      </c>
    </row>
    <row r="1689" spans="1:9" x14ac:dyDescent="0.3">
      <c r="A1689" t="s">
        <v>296</v>
      </c>
      <c r="B1689" s="5">
        <v>41549</v>
      </c>
      <c r="C1689">
        <v>-46.17</v>
      </c>
      <c r="D1689" t="s">
        <v>305</v>
      </c>
      <c r="E1689" t="s">
        <v>452</v>
      </c>
      <c r="G1689" t="s">
        <v>455</v>
      </c>
      <c r="I1689" t="s">
        <v>272</v>
      </c>
    </row>
    <row r="1690" spans="1:9" x14ac:dyDescent="0.3">
      <c r="A1690" t="s">
        <v>296</v>
      </c>
      <c r="B1690" s="5">
        <v>41550</v>
      </c>
      <c r="C1690">
        <v>-13.12</v>
      </c>
      <c r="D1690" t="s">
        <v>305</v>
      </c>
      <c r="E1690" t="s">
        <v>1196</v>
      </c>
      <c r="F1690" t="s">
        <v>1701</v>
      </c>
      <c r="G1690" t="s">
        <v>615</v>
      </c>
    </row>
    <row r="1691" spans="1:9" x14ac:dyDescent="0.3">
      <c r="A1691" t="s">
        <v>296</v>
      </c>
      <c r="B1691" s="5">
        <v>41550</v>
      </c>
      <c r="C1691">
        <v>-13.43</v>
      </c>
      <c r="D1691" t="s">
        <v>305</v>
      </c>
      <c r="E1691" t="s">
        <v>440</v>
      </c>
      <c r="F1691" t="s">
        <v>1702</v>
      </c>
      <c r="G1691" t="s">
        <v>441</v>
      </c>
    </row>
    <row r="1692" spans="1:9" x14ac:dyDescent="0.3">
      <c r="A1692" t="s">
        <v>296</v>
      </c>
      <c r="B1692" s="5">
        <v>41551</v>
      </c>
      <c r="C1692">
        <v>-1.3</v>
      </c>
      <c r="D1692" t="s">
        <v>305</v>
      </c>
      <c r="E1692" t="s">
        <v>431</v>
      </c>
      <c r="F1692" t="s">
        <v>1703</v>
      </c>
      <c r="G1692" t="s">
        <v>660</v>
      </c>
    </row>
    <row r="1693" spans="1:9" x14ac:dyDescent="0.3">
      <c r="A1693" t="s">
        <v>296</v>
      </c>
      <c r="B1693" s="5">
        <v>41551</v>
      </c>
      <c r="C1693">
        <v>-17.79</v>
      </c>
      <c r="D1693" t="s">
        <v>305</v>
      </c>
      <c r="E1693" t="s">
        <v>1204</v>
      </c>
      <c r="G1693" t="s">
        <v>334</v>
      </c>
    </row>
    <row r="1694" spans="1:9" x14ac:dyDescent="0.3">
      <c r="A1694" t="s">
        <v>296</v>
      </c>
      <c r="B1694" s="5">
        <v>41551</v>
      </c>
      <c r="C1694">
        <v>-248.48</v>
      </c>
      <c r="D1694" t="s">
        <v>305</v>
      </c>
      <c r="E1694" t="s">
        <v>1704</v>
      </c>
      <c r="F1694" t="s">
        <v>1705</v>
      </c>
      <c r="G1694" t="s">
        <v>348</v>
      </c>
      <c r="I1694" t="s">
        <v>272</v>
      </c>
    </row>
    <row r="1695" spans="1:9" x14ac:dyDescent="0.3">
      <c r="A1695" t="s">
        <v>296</v>
      </c>
      <c r="B1695" s="5">
        <v>41551</v>
      </c>
      <c r="C1695">
        <v>-55</v>
      </c>
      <c r="D1695" t="s">
        <v>305</v>
      </c>
      <c r="E1695" t="s">
        <v>1704</v>
      </c>
      <c r="F1695" t="s">
        <v>1706</v>
      </c>
      <c r="G1695" t="s">
        <v>323</v>
      </c>
      <c r="I1695" t="s">
        <v>272</v>
      </c>
    </row>
    <row r="1696" spans="1:9" x14ac:dyDescent="0.3">
      <c r="A1696" t="s">
        <v>296</v>
      </c>
      <c r="B1696" s="5">
        <v>41551</v>
      </c>
      <c r="C1696">
        <v>-50</v>
      </c>
      <c r="D1696" t="s">
        <v>305</v>
      </c>
      <c r="E1696" t="s">
        <v>1704</v>
      </c>
      <c r="F1696" t="s">
        <v>1707</v>
      </c>
      <c r="G1696" t="s">
        <v>334</v>
      </c>
      <c r="I1696" t="s">
        <v>272</v>
      </c>
    </row>
    <row r="1697" spans="1:9" x14ac:dyDescent="0.3">
      <c r="A1697" t="s">
        <v>296</v>
      </c>
      <c r="B1697" s="5">
        <v>41551</v>
      </c>
      <c r="C1697">
        <v>-5</v>
      </c>
      <c r="D1697" t="s">
        <v>305</v>
      </c>
      <c r="E1697" t="s">
        <v>1704</v>
      </c>
      <c r="F1697" t="s">
        <v>1708</v>
      </c>
      <c r="G1697" t="s">
        <v>404</v>
      </c>
      <c r="I1697" t="s">
        <v>272</v>
      </c>
    </row>
    <row r="1698" spans="1:9" x14ac:dyDescent="0.3">
      <c r="A1698" t="s">
        <v>296</v>
      </c>
      <c r="B1698" s="5">
        <v>41551</v>
      </c>
      <c r="C1698">
        <v>-120</v>
      </c>
      <c r="D1698" t="s">
        <v>305</v>
      </c>
      <c r="E1698" t="s">
        <v>1704</v>
      </c>
      <c r="F1698" t="s">
        <v>1709</v>
      </c>
      <c r="G1698" t="s">
        <v>334</v>
      </c>
      <c r="I1698" t="s">
        <v>272</v>
      </c>
    </row>
    <row r="1699" spans="1:9" x14ac:dyDescent="0.3">
      <c r="A1699" t="s">
        <v>296</v>
      </c>
      <c r="B1699" s="5">
        <v>41552</v>
      </c>
      <c r="C1699">
        <v>37.83</v>
      </c>
      <c r="D1699" t="s">
        <v>305</v>
      </c>
      <c r="E1699" t="s">
        <v>1156</v>
      </c>
      <c r="F1699" t="s">
        <v>1710</v>
      </c>
      <c r="G1699" t="s">
        <v>359</v>
      </c>
    </row>
    <row r="1700" spans="1:9" x14ac:dyDescent="0.3">
      <c r="A1700" t="s">
        <v>296</v>
      </c>
      <c r="B1700" s="5">
        <v>41552</v>
      </c>
      <c r="C1700">
        <v>-16.98</v>
      </c>
      <c r="D1700" t="s">
        <v>305</v>
      </c>
      <c r="E1700" t="s">
        <v>442</v>
      </c>
      <c r="F1700" t="s">
        <v>1701</v>
      </c>
      <c r="G1700" t="s">
        <v>615</v>
      </c>
    </row>
    <row r="1701" spans="1:9" x14ac:dyDescent="0.3">
      <c r="A1701" t="s">
        <v>296</v>
      </c>
      <c r="B1701" s="5">
        <v>41552</v>
      </c>
      <c r="C1701">
        <v>-21.1</v>
      </c>
      <c r="D1701" t="s">
        <v>305</v>
      </c>
      <c r="E1701" t="s">
        <v>1383</v>
      </c>
      <c r="F1701" t="s">
        <v>1711</v>
      </c>
      <c r="G1701" t="s">
        <v>334</v>
      </c>
    </row>
    <row r="1702" spans="1:9" x14ac:dyDescent="0.3">
      <c r="A1702" t="s">
        <v>296</v>
      </c>
      <c r="B1702" s="5">
        <v>41552</v>
      </c>
      <c r="C1702">
        <v>-44.05</v>
      </c>
      <c r="D1702" t="s">
        <v>305</v>
      </c>
      <c r="E1702" t="s">
        <v>1712</v>
      </c>
      <c r="G1702" t="s">
        <v>334</v>
      </c>
    </row>
    <row r="1703" spans="1:9" x14ac:dyDescent="0.3">
      <c r="A1703" t="s">
        <v>296</v>
      </c>
      <c r="B1703" s="5">
        <v>41553</v>
      </c>
      <c r="C1703">
        <v>25</v>
      </c>
      <c r="D1703" t="s">
        <v>305</v>
      </c>
      <c r="E1703" t="s">
        <v>438</v>
      </c>
      <c r="F1703" t="s">
        <v>436</v>
      </c>
      <c r="G1703" t="s">
        <v>14</v>
      </c>
    </row>
    <row r="1704" spans="1:9" x14ac:dyDescent="0.3">
      <c r="A1704" t="s">
        <v>296</v>
      </c>
      <c r="B1704" s="5">
        <v>41553</v>
      </c>
      <c r="C1704">
        <v>-33.770000000000003</v>
      </c>
      <c r="D1704" t="s">
        <v>305</v>
      </c>
      <c r="E1704" t="s">
        <v>1156</v>
      </c>
      <c r="F1704" t="s">
        <v>1713</v>
      </c>
      <c r="G1704" t="s">
        <v>614</v>
      </c>
    </row>
    <row r="1705" spans="1:9" x14ac:dyDescent="0.3">
      <c r="A1705" t="s">
        <v>296</v>
      </c>
      <c r="B1705" s="5">
        <v>41553</v>
      </c>
      <c r="C1705">
        <v>-34</v>
      </c>
      <c r="D1705" t="s">
        <v>305</v>
      </c>
      <c r="E1705" t="s">
        <v>1159</v>
      </c>
      <c r="G1705" t="s">
        <v>404</v>
      </c>
    </row>
    <row r="1706" spans="1:9" x14ac:dyDescent="0.3">
      <c r="A1706" t="s">
        <v>296</v>
      </c>
      <c r="B1706" s="5">
        <v>41553</v>
      </c>
      <c r="C1706">
        <v>-47.24</v>
      </c>
      <c r="D1706" t="s">
        <v>305</v>
      </c>
      <c r="E1706" t="s">
        <v>442</v>
      </c>
      <c r="G1706" t="s">
        <v>343</v>
      </c>
    </row>
    <row r="1707" spans="1:9" x14ac:dyDescent="0.3">
      <c r="A1707" t="s">
        <v>296</v>
      </c>
      <c r="B1707" s="5">
        <v>41553</v>
      </c>
      <c r="C1707">
        <v>-50</v>
      </c>
      <c r="D1707" t="s">
        <v>305</v>
      </c>
      <c r="E1707" t="s">
        <v>1714</v>
      </c>
      <c r="F1707" t="s">
        <v>1715</v>
      </c>
      <c r="G1707" t="s">
        <v>334</v>
      </c>
    </row>
    <row r="1708" spans="1:9" x14ac:dyDescent="0.3">
      <c r="A1708" t="s">
        <v>296</v>
      </c>
      <c r="B1708" s="5">
        <v>41553</v>
      </c>
      <c r="C1708">
        <v>-123.8</v>
      </c>
      <c r="D1708" t="s">
        <v>305</v>
      </c>
      <c r="E1708" t="s">
        <v>443</v>
      </c>
      <c r="G1708" t="s">
        <v>343</v>
      </c>
    </row>
    <row r="1709" spans="1:9" x14ac:dyDescent="0.3">
      <c r="A1709" t="s">
        <v>296</v>
      </c>
      <c r="B1709" s="5">
        <v>41554</v>
      </c>
      <c r="C1709">
        <v>-12.15</v>
      </c>
      <c r="D1709" t="s">
        <v>305</v>
      </c>
      <c r="E1709" t="s">
        <v>442</v>
      </c>
      <c r="G1709" t="s">
        <v>343</v>
      </c>
    </row>
    <row r="1710" spans="1:9" x14ac:dyDescent="0.3">
      <c r="A1710" t="s">
        <v>296</v>
      </c>
      <c r="B1710" s="5">
        <v>41555</v>
      </c>
      <c r="C1710">
        <v>-6.79</v>
      </c>
      <c r="D1710" t="s">
        <v>305</v>
      </c>
      <c r="E1710" t="s">
        <v>1716</v>
      </c>
      <c r="F1710" t="s">
        <v>1717</v>
      </c>
      <c r="G1710" t="s">
        <v>623</v>
      </c>
    </row>
    <row r="1711" spans="1:9" x14ac:dyDescent="0.3">
      <c r="A1711" t="s">
        <v>296</v>
      </c>
      <c r="B1711" s="5">
        <v>41555</v>
      </c>
      <c r="C1711">
        <v>-21.56</v>
      </c>
      <c r="D1711" t="s">
        <v>305</v>
      </c>
      <c r="E1711" t="s">
        <v>1718</v>
      </c>
      <c r="F1711" t="s">
        <v>895</v>
      </c>
      <c r="G1711" t="s">
        <v>620</v>
      </c>
    </row>
    <row r="1712" spans="1:9" x14ac:dyDescent="0.3">
      <c r="A1712" t="s">
        <v>296</v>
      </c>
      <c r="B1712" s="5">
        <v>41555</v>
      </c>
      <c r="C1712">
        <v>-40.700000000000003</v>
      </c>
      <c r="D1712" t="s">
        <v>305</v>
      </c>
      <c r="E1712" t="s">
        <v>1719</v>
      </c>
      <c r="F1712" t="s">
        <v>895</v>
      </c>
      <c r="G1712" t="s">
        <v>620</v>
      </c>
    </row>
    <row r="1713" spans="1:7" x14ac:dyDescent="0.3">
      <c r="A1713" t="s">
        <v>296</v>
      </c>
      <c r="B1713" s="5">
        <v>41556</v>
      </c>
      <c r="C1713">
        <v>64.739999999999995</v>
      </c>
      <c r="D1713" t="s">
        <v>305</v>
      </c>
      <c r="E1713" t="s">
        <v>431</v>
      </c>
      <c r="F1713" t="s">
        <v>1720</v>
      </c>
      <c r="G1713" t="s">
        <v>660</v>
      </c>
    </row>
    <row r="1714" spans="1:7" x14ac:dyDescent="0.3">
      <c r="A1714" t="s">
        <v>296</v>
      </c>
      <c r="B1714" s="5">
        <v>41556</v>
      </c>
      <c r="C1714">
        <v>-5.29</v>
      </c>
      <c r="D1714" t="s">
        <v>305</v>
      </c>
      <c r="E1714" t="s">
        <v>433</v>
      </c>
      <c r="G1714" t="s">
        <v>343</v>
      </c>
    </row>
    <row r="1715" spans="1:7" x14ac:dyDescent="0.3">
      <c r="A1715" t="s">
        <v>296</v>
      </c>
      <c r="B1715" s="5">
        <v>41556</v>
      </c>
      <c r="C1715">
        <v>-8.18</v>
      </c>
      <c r="D1715" t="s">
        <v>305</v>
      </c>
      <c r="E1715" t="s">
        <v>1721</v>
      </c>
      <c r="G1715" t="s">
        <v>343</v>
      </c>
    </row>
    <row r="1716" spans="1:7" x14ac:dyDescent="0.3">
      <c r="A1716" t="s">
        <v>296</v>
      </c>
      <c r="B1716" s="5">
        <v>41556</v>
      </c>
      <c r="C1716">
        <v>-18.579999999999998</v>
      </c>
      <c r="D1716" t="s">
        <v>305</v>
      </c>
      <c r="E1716" t="s">
        <v>431</v>
      </c>
      <c r="F1716" t="s">
        <v>1722</v>
      </c>
      <c r="G1716" t="s">
        <v>308</v>
      </c>
    </row>
    <row r="1717" spans="1:7" x14ac:dyDescent="0.3">
      <c r="A1717" t="s">
        <v>296</v>
      </c>
      <c r="B1717" s="5">
        <v>41556</v>
      </c>
      <c r="C1717">
        <v>-30.63</v>
      </c>
      <c r="D1717" t="s">
        <v>305</v>
      </c>
      <c r="E1717" t="s">
        <v>431</v>
      </c>
      <c r="F1717" t="s">
        <v>1723</v>
      </c>
      <c r="G1717" t="s">
        <v>360</v>
      </c>
    </row>
    <row r="1718" spans="1:7" x14ac:dyDescent="0.3">
      <c r="A1718" t="s">
        <v>296</v>
      </c>
      <c r="B1718" s="5">
        <v>41556</v>
      </c>
      <c r="C1718">
        <v>-43.58</v>
      </c>
      <c r="D1718" t="s">
        <v>305</v>
      </c>
      <c r="E1718" t="s">
        <v>1724</v>
      </c>
      <c r="F1718" t="s">
        <v>895</v>
      </c>
      <c r="G1718" t="s">
        <v>620</v>
      </c>
    </row>
    <row r="1719" spans="1:7" x14ac:dyDescent="0.3">
      <c r="A1719" t="s">
        <v>296</v>
      </c>
      <c r="B1719" s="5">
        <v>41557</v>
      </c>
      <c r="C1719">
        <v>-6.57</v>
      </c>
      <c r="D1719" t="s">
        <v>305</v>
      </c>
      <c r="E1719" t="s">
        <v>1438</v>
      </c>
      <c r="F1719" t="s">
        <v>895</v>
      </c>
      <c r="G1719" t="s">
        <v>620</v>
      </c>
    </row>
    <row r="1720" spans="1:7" x14ac:dyDescent="0.3">
      <c r="A1720" t="s">
        <v>296</v>
      </c>
      <c r="B1720" s="5">
        <v>41557</v>
      </c>
      <c r="C1720">
        <v>-65.28</v>
      </c>
      <c r="D1720" t="s">
        <v>305</v>
      </c>
      <c r="E1720" t="s">
        <v>1725</v>
      </c>
      <c r="F1720" t="s">
        <v>895</v>
      </c>
      <c r="G1720" t="s">
        <v>620</v>
      </c>
    </row>
    <row r="1721" spans="1:7" x14ac:dyDescent="0.3">
      <c r="A1721" t="s">
        <v>296</v>
      </c>
      <c r="B1721" s="5">
        <v>41558</v>
      </c>
      <c r="C1721">
        <v>-11.44</v>
      </c>
      <c r="D1721" t="s">
        <v>305</v>
      </c>
      <c r="E1721" t="s">
        <v>442</v>
      </c>
      <c r="F1721" t="s">
        <v>1575</v>
      </c>
      <c r="G1721" t="s">
        <v>343</v>
      </c>
    </row>
    <row r="1722" spans="1:7" x14ac:dyDescent="0.3">
      <c r="A1722" t="s">
        <v>296</v>
      </c>
      <c r="B1722" s="5">
        <v>41558</v>
      </c>
      <c r="C1722">
        <v>-16.8</v>
      </c>
      <c r="D1722" t="s">
        <v>305</v>
      </c>
      <c r="E1722" t="s">
        <v>1726</v>
      </c>
      <c r="F1722" t="s">
        <v>895</v>
      </c>
      <c r="G1722" t="s">
        <v>620</v>
      </c>
    </row>
    <row r="1723" spans="1:7" x14ac:dyDescent="0.3">
      <c r="A1723" t="s">
        <v>296</v>
      </c>
      <c r="B1723" s="5">
        <v>41558</v>
      </c>
      <c r="C1723">
        <v>-46.36</v>
      </c>
      <c r="D1723" t="s">
        <v>305</v>
      </c>
      <c r="E1723" t="s">
        <v>443</v>
      </c>
      <c r="F1723" t="s">
        <v>1293</v>
      </c>
      <c r="G1723" t="s">
        <v>343</v>
      </c>
    </row>
    <row r="1724" spans="1:7" x14ac:dyDescent="0.3">
      <c r="A1724" t="s">
        <v>296</v>
      </c>
      <c r="B1724" s="5">
        <v>41558</v>
      </c>
      <c r="C1724">
        <v>-53.93</v>
      </c>
      <c r="D1724" t="s">
        <v>305</v>
      </c>
      <c r="E1724" t="s">
        <v>1071</v>
      </c>
      <c r="F1724" t="s">
        <v>895</v>
      </c>
      <c r="G1724" t="s">
        <v>633</v>
      </c>
    </row>
    <row r="1725" spans="1:7" x14ac:dyDescent="0.3">
      <c r="A1725" t="s">
        <v>296</v>
      </c>
      <c r="B1725" s="5">
        <v>41559</v>
      </c>
      <c r="C1725">
        <v>-6</v>
      </c>
      <c r="D1725" t="s">
        <v>305</v>
      </c>
      <c r="E1725" t="s">
        <v>1169</v>
      </c>
      <c r="F1725" t="s">
        <v>1287</v>
      </c>
      <c r="G1725" t="s">
        <v>441</v>
      </c>
    </row>
    <row r="1726" spans="1:7" x14ac:dyDescent="0.3">
      <c r="A1726" t="s">
        <v>296</v>
      </c>
      <c r="B1726" s="5">
        <v>41559</v>
      </c>
      <c r="C1726">
        <v>-11.72</v>
      </c>
      <c r="D1726" t="s">
        <v>305</v>
      </c>
      <c r="E1726" t="s">
        <v>1727</v>
      </c>
      <c r="F1726" t="s">
        <v>1358</v>
      </c>
      <c r="G1726" t="s">
        <v>334</v>
      </c>
    </row>
    <row r="1727" spans="1:7" x14ac:dyDescent="0.3">
      <c r="A1727" t="s">
        <v>296</v>
      </c>
      <c r="B1727" s="5">
        <v>41559</v>
      </c>
      <c r="C1727">
        <v>-18.600000000000001</v>
      </c>
      <c r="D1727" t="s">
        <v>305</v>
      </c>
      <c r="E1727" t="s">
        <v>1728</v>
      </c>
      <c r="F1727" t="s">
        <v>1357</v>
      </c>
      <c r="G1727" t="s">
        <v>334</v>
      </c>
    </row>
    <row r="1728" spans="1:7" x14ac:dyDescent="0.3">
      <c r="A1728" t="s">
        <v>296</v>
      </c>
      <c r="B1728" s="5">
        <v>41559</v>
      </c>
      <c r="C1728">
        <v>-22</v>
      </c>
      <c r="D1728" t="s">
        <v>305</v>
      </c>
      <c r="E1728" t="s">
        <v>1729</v>
      </c>
      <c r="F1728" t="s">
        <v>1730</v>
      </c>
      <c r="G1728" t="s">
        <v>458</v>
      </c>
    </row>
    <row r="1729" spans="1:7" x14ac:dyDescent="0.3">
      <c r="A1729" t="s">
        <v>296</v>
      </c>
      <c r="B1729" s="5">
        <v>41560</v>
      </c>
      <c r="C1729">
        <v>-10.27</v>
      </c>
      <c r="D1729" t="s">
        <v>305</v>
      </c>
      <c r="E1729" t="s">
        <v>437</v>
      </c>
      <c r="G1729" t="s">
        <v>343</v>
      </c>
    </row>
    <row r="1730" spans="1:7" x14ac:dyDescent="0.3">
      <c r="A1730" t="s">
        <v>296</v>
      </c>
      <c r="B1730" s="5">
        <v>41560</v>
      </c>
      <c r="C1730">
        <v>-13.56</v>
      </c>
      <c r="D1730" t="s">
        <v>305</v>
      </c>
      <c r="E1730" t="s">
        <v>1731</v>
      </c>
      <c r="F1730" t="s">
        <v>1732</v>
      </c>
      <c r="G1730" t="s">
        <v>334</v>
      </c>
    </row>
    <row r="1731" spans="1:7" x14ac:dyDescent="0.3">
      <c r="A1731" t="s">
        <v>296</v>
      </c>
      <c r="B1731" s="5">
        <v>41560</v>
      </c>
      <c r="C1731">
        <v>-16.38</v>
      </c>
      <c r="D1731" t="s">
        <v>305</v>
      </c>
      <c r="E1731" t="s">
        <v>1731</v>
      </c>
      <c r="F1731" t="s">
        <v>1732</v>
      </c>
      <c r="G1731" t="s">
        <v>334</v>
      </c>
    </row>
    <row r="1732" spans="1:7" x14ac:dyDescent="0.3">
      <c r="A1732" t="s">
        <v>296</v>
      </c>
      <c r="B1732" s="5">
        <v>41560</v>
      </c>
      <c r="C1732">
        <v>-698.34</v>
      </c>
      <c r="D1732" t="s">
        <v>305</v>
      </c>
      <c r="E1732" t="s">
        <v>1438</v>
      </c>
      <c r="F1732" t="s">
        <v>1733</v>
      </c>
      <c r="G1732" t="s">
        <v>641</v>
      </c>
    </row>
    <row r="1733" spans="1:7" x14ac:dyDescent="0.3">
      <c r="A1733" t="s">
        <v>296</v>
      </c>
      <c r="B1733" s="5">
        <v>41562</v>
      </c>
      <c r="C1733">
        <v>-2.1800000000000002</v>
      </c>
      <c r="D1733" t="s">
        <v>305</v>
      </c>
      <c r="E1733" t="s">
        <v>1734</v>
      </c>
      <c r="F1733" t="s">
        <v>1735</v>
      </c>
      <c r="G1733" t="s">
        <v>17</v>
      </c>
    </row>
    <row r="1734" spans="1:7" x14ac:dyDescent="0.3">
      <c r="A1734" t="s">
        <v>296</v>
      </c>
      <c r="B1734" s="5">
        <v>41562</v>
      </c>
      <c r="C1734">
        <v>-34</v>
      </c>
      <c r="D1734" t="s">
        <v>305</v>
      </c>
      <c r="E1734" t="s">
        <v>1736</v>
      </c>
      <c r="F1734" t="s">
        <v>1737</v>
      </c>
      <c r="G1734" t="s">
        <v>73</v>
      </c>
    </row>
    <row r="1735" spans="1:7" x14ac:dyDescent="0.3">
      <c r="A1735" t="s">
        <v>296</v>
      </c>
      <c r="B1735" s="5">
        <v>41563</v>
      </c>
      <c r="C1735">
        <v>-193</v>
      </c>
      <c r="D1735" t="s">
        <v>305</v>
      </c>
      <c r="E1735" t="s">
        <v>456</v>
      </c>
      <c r="F1735" t="s">
        <v>1738</v>
      </c>
      <c r="G1735" t="s">
        <v>427</v>
      </c>
    </row>
    <row r="1736" spans="1:7" x14ac:dyDescent="0.3">
      <c r="A1736" t="s">
        <v>296</v>
      </c>
      <c r="B1736" s="5">
        <v>41564</v>
      </c>
      <c r="C1736">
        <v>8.8000000000000007</v>
      </c>
      <c r="D1736" t="s">
        <v>305</v>
      </c>
      <c r="E1736" t="s">
        <v>1156</v>
      </c>
      <c r="F1736" t="s">
        <v>1739</v>
      </c>
      <c r="G1736" t="s">
        <v>342</v>
      </c>
    </row>
    <row r="1737" spans="1:7" x14ac:dyDescent="0.3">
      <c r="A1737" t="s">
        <v>296</v>
      </c>
      <c r="B1737" s="5">
        <v>41565</v>
      </c>
      <c r="C1737">
        <v>-4.37</v>
      </c>
      <c r="D1737" t="s">
        <v>305</v>
      </c>
      <c r="E1737" t="s">
        <v>1740</v>
      </c>
      <c r="F1737" t="s">
        <v>1741</v>
      </c>
      <c r="G1737" t="s">
        <v>346</v>
      </c>
    </row>
    <row r="1738" spans="1:7" x14ac:dyDescent="0.3">
      <c r="A1738" t="s">
        <v>296</v>
      </c>
      <c r="B1738" s="5">
        <v>41565</v>
      </c>
      <c r="C1738">
        <v>-6.56</v>
      </c>
      <c r="D1738" t="s">
        <v>305</v>
      </c>
      <c r="E1738" t="s">
        <v>1740</v>
      </c>
      <c r="F1738" t="s">
        <v>1741</v>
      </c>
      <c r="G1738" t="s">
        <v>346</v>
      </c>
    </row>
    <row r="1739" spans="1:7" x14ac:dyDescent="0.3">
      <c r="A1739" t="s">
        <v>296</v>
      </c>
      <c r="B1739" s="5">
        <v>41566</v>
      </c>
      <c r="C1739">
        <v>-30.68</v>
      </c>
      <c r="D1739" t="s">
        <v>305</v>
      </c>
      <c r="E1739" t="s">
        <v>1742</v>
      </c>
      <c r="F1739" t="s">
        <v>1743</v>
      </c>
      <c r="G1739" t="s">
        <v>636</v>
      </c>
    </row>
    <row r="1740" spans="1:7" x14ac:dyDescent="0.3">
      <c r="A1740" t="s">
        <v>296</v>
      </c>
      <c r="B1740" s="5">
        <v>41566</v>
      </c>
      <c r="C1740">
        <v>-25.24</v>
      </c>
      <c r="D1740" t="s">
        <v>305</v>
      </c>
      <c r="E1740" t="s">
        <v>1744</v>
      </c>
      <c r="F1740" t="s">
        <v>1745</v>
      </c>
      <c r="G1740" t="s">
        <v>444</v>
      </c>
    </row>
    <row r="1741" spans="1:7" x14ac:dyDescent="0.3">
      <c r="A1741" t="s">
        <v>296</v>
      </c>
      <c r="B1741" s="5">
        <v>41566</v>
      </c>
      <c r="C1741">
        <v>-48.18</v>
      </c>
      <c r="D1741" t="s">
        <v>305</v>
      </c>
      <c r="E1741" t="s">
        <v>1746</v>
      </c>
      <c r="F1741" t="s">
        <v>1747</v>
      </c>
      <c r="G1741" t="s">
        <v>20</v>
      </c>
    </row>
    <row r="1742" spans="1:7" x14ac:dyDescent="0.3">
      <c r="A1742" t="s">
        <v>296</v>
      </c>
      <c r="B1742" s="5">
        <v>41566</v>
      </c>
      <c r="C1742">
        <v>-23.7</v>
      </c>
      <c r="D1742" t="s">
        <v>305</v>
      </c>
      <c r="E1742" t="s">
        <v>1150</v>
      </c>
      <c r="F1742" t="s">
        <v>1748</v>
      </c>
      <c r="G1742" t="s">
        <v>418</v>
      </c>
    </row>
    <row r="1743" spans="1:7" x14ac:dyDescent="0.3">
      <c r="A1743" t="s">
        <v>296</v>
      </c>
      <c r="B1743" s="5">
        <v>41567</v>
      </c>
      <c r="C1743">
        <v>-11.98</v>
      </c>
      <c r="D1743" t="s">
        <v>305</v>
      </c>
      <c r="E1743" t="s">
        <v>442</v>
      </c>
      <c r="F1743" t="s">
        <v>1499</v>
      </c>
      <c r="G1743" t="s">
        <v>343</v>
      </c>
    </row>
    <row r="1744" spans="1:7" x14ac:dyDescent="0.3">
      <c r="A1744" t="s">
        <v>296</v>
      </c>
      <c r="B1744" s="5">
        <v>41567</v>
      </c>
      <c r="C1744">
        <v>-20.07</v>
      </c>
      <c r="D1744" t="s">
        <v>305</v>
      </c>
      <c r="E1744" t="s">
        <v>1744</v>
      </c>
      <c r="F1744" t="s">
        <v>1749</v>
      </c>
      <c r="G1744" t="s">
        <v>360</v>
      </c>
    </row>
    <row r="1745" spans="1:9" x14ac:dyDescent="0.3">
      <c r="A1745" t="s">
        <v>296</v>
      </c>
      <c r="B1745" s="5">
        <v>41567</v>
      </c>
      <c r="C1745">
        <v>-87.57</v>
      </c>
      <c r="D1745" t="s">
        <v>305</v>
      </c>
      <c r="E1745" t="s">
        <v>431</v>
      </c>
      <c r="F1745" t="s">
        <v>1750</v>
      </c>
      <c r="G1745" t="s">
        <v>652</v>
      </c>
    </row>
    <row r="1746" spans="1:9" x14ac:dyDescent="0.3">
      <c r="A1746" t="s">
        <v>296</v>
      </c>
      <c r="B1746" s="5">
        <v>41568</v>
      </c>
      <c r="C1746">
        <v>-99</v>
      </c>
      <c r="D1746" t="s">
        <v>305</v>
      </c>
      <c r="E1746" t="s">
        <v>1751</v>
      </c>
      <c r="F1746" t="s">
        <v>1752</v>
      </c>
      <c r="G1746" t="s">
        <v>342</v>
      </c>
    </row>
    <row r="1747" spans="1:9" x14ac:dyDescent="0.3">
      <c r="A1747" t="s">
        <v>296</v>
      </c>
      <c r="B1747" s="5">
        <v>41568</v>
      </c>
      <c r="C1747">
        <v>-23.18</v>
      </c>
      <c r="D1747" t="s">
        <v>305</v>
      </c>
      <c r="E1747" t="s">
        <v>439</v>
      </c>
      <c r="F1747" t="s">
        <v>1370</v>
      </c>
      <c r="G1747" t="s">
        <v>334</v>
      </c>
    </row>
    <row r="1748" spans="1:9" x14ac:dyDescent="0.3">
      <c r="A1748" t="s">
        <v>296</v>
      </c>
      <c r="B1748" s="5">
        <v>41568</v>
      </c>
      <c r="C1748">
        <v>-27.38</v>
      </c>
      <c r="D1748" t="s">
        <v>305</v>
      </c>
      <c r="E1748" t="s">
        <v>1753</v>
      </c>
      <c r="F1748" t="s">
        <v>1754</v>
      </c>
      <c r="G1748" t="s">
        <v>434</v>
      </c>
    </row>
    <row r="1749" spans="1:9" x14ac:dyDescent="0.3">
      <c r="A1749" t="s">
        <v>296</v>
      </c>
      <c r="B1749" s="5">
        <v>41569</v>
      </c>
      <c r="C1749">
        <v>-14.64</v>
      </c>
      <c r="D1749" t="s">
        <v>305</v>
      </c>
      <c r="E1749" t="s">
        <v>440</v>
      </c>
      <c r="F1749" t="s">
        <v>1755</v>
      </c>
      <c r="G1749" t="s">
        <v>441</v>
      </c>
    </row>
    <row r="1750" spans="1:9" x14ac:dyDescent="0.3">
      <c r="A1750" t="s">
        <v>296</v>
      </c>
      <c r="B1750" s="5">
        <v>41569</v>
      </c>
      <c r="C1750">
        <v>-126.75</v>
      </c>
      <c r="D1750" t="s">
        <v>305</v>
      </c>
      <c r="E1750" t="s">
        <v>1463</v>
      </c>
      <c r="F1750" t="s">
        <v>1756</v>
      </c>
      <c r="G1750" t="s">
        <v>657</v>
      </c>
    </row>
    <row r="1751" spans="1:9" x14ac:dyDescent="0.3">
      <c r="A1751" t="s">
        <v>296</v>
      </c>
      <c r="B1751" s="5">
        <v>41569</v>
      </c>
      <c r="C1751">
        <v>-82.24</v>
      </c>
      <c r="D1751" t="s">
        <v>305</v>
      </c>
      <c r="E1751" t="s">
        <v>443</v>
      </c>
      <c r="F1751" t="s">
        <v>1293</v>
      </c>
      <c r="G1751" t="s">
        <v>343</v>
      </c>
    </row>
    <row r="1752" spans="1:9" x14ac:dyDescent="0.3">
      <c r="A1752" t="s">
        <v>296</v>
      </c>
      <c r="B1752" s="5">
        <v>41569</v>
      </c>
      <c r="C1752">
        <v>-79.040000000000006</v>
      </c>
      <c r="D1752" t="s">
        <v>305</v>
      </c>
      <c r="E1752" t="s">
        <v>442</v>
      </c>
      <c r="F1752" t="s">
        <v>1575</v>
      </c>
      <c r="G1752" t="s">
        <v>343</v>
      </c>
    </row>
    <row r="1753" spans="1:9" x14ac:dyDescent="0.3">
      <c r="A1753" t="s">
        <v>296</v>
      </c>
      <c r="B1753" s="5">
        <v>41570</v>
      </c>
      <c r="C1753">
        <v>-108.5</v>
      </c>
      <c r="D1753" t="s">
        <v>305</v>
      </c>
      <c r="E1753" t="s">
        <v>1757</v>
      </c>
      <c r="F1753" t="s">
        <v>1758</v>
      </c>
      <c r="G1753" t="s">
        <v>348</v>
      </c>
    </row>
    <row r="1754" spans="1:9" x14ac:dyDescent="0.3">
      <c r="A1754" t="s">
        <v>296</v>
      </c>
      <c r="B1754" s="5">
        <v>41570</v>
      </c>
      <c r="C1754">
        <v>-301.02</v>
      </c>
      <c r="D1754" t="s">
        <v>305</v>
      </c>
      <c r="E1754" t="s">
        <v>603</v>
      </c>
      <c r="F1754" t="s">
        <v>1759</v>
      </c>
      <c r="G1754" t="s">
        <v>393</v>
      </c>
    </row>
    <row r="1755" spans="1:9" x14ac:dyDescent="0.3">
      <c r="A1755" t="s">
        <v>296</v>
      </c>
      <c r="B1755" s="5">
        <v>41571</v>
      </c>
      <c r="C1755">
        <v>25</v>
      </c>
      <c r="D1755" t="s">
        <v>305</v>
      </c>
      <c r="E1755" t="s">
        <v>438</v>
      </c>
      <c r="F1755" t="s">
        <v>436</v>
      </c>
      <c r="G1755" t="s">
        <v>14</v>
      </c>
    </row>
    <row r="1756" spans="1:9" x14ac:dyDescent="0.3">
      <c r="A1756" t="s">
        <v>296</v>
      </c>
      <c r="B1756" s="5">
        <v>41572</v>
      </c>
      <c r="C1756">
        <v>-13.42</v>
      </c>
      <c r="D1756" t="s">
        <v>305</v>
      </c>
      <c r="E1756" t="s">
        <v>440</v>
      </c>
      <c r="F1756" t="s">
        <v>1755</v>
      </c>
      <c r="G1756" t="s">
        <v>441</v>
      </c>
    </row>
    <row r="1757" spans="1:9" x14ac:dyDescent="0.3">
      <c r="A1757" t="s">
        <v>296</v>
      </c>
      <c r="B1757" s="5">
        <v>41573</v>
      </c>
      <c r="C1757">
        <v>-120.86</v>
      </c>
      <c r="D1757" t="s">
        <v>305</v>
      </c>
      <c r="E1757" t="s">
        <v>442</v>
      </c>
      <c r="F1757" t="s">
        <v>996</v>
      </c>
      <c r="G1757" t="s">
        <v>343</v>
      </c>
      <c r="I1757" t="s">
        <v>272</v>
      </c>
    </row>
    <row r="1758" spans="1:9" x14ac:dyDescent="0.3">
      <c r="A1758" t="s">
        <v>296</v>
      </c>
      <c r="B1758" s="5">
        <v>41573</v>
      </c>
      <c r="C1758">
        <v>-13.81</v>
      </c>
      <c r="D1758" t="s">
        <v>305</v>
      </c>
      <c r="E1758" t="s">
        <v>442</v>
      </c>
      <c r="G1758" t="s">
        <v>346</v>
      </c>
      <c r="I1758" t="s">
        <v>272</v>
      </c>
    </row>
    <row r="1759" spans="1:9" x14ac:dyDescent="0.3">
      <c r="A1759" t="s">
        <v>296</v>
      </c>
      <c r="B1759" s="5">
        <v>41573</v>
      </c>
      <c r="C1759">
        <v>-40</v>
      </c>
      <c r="D1759" t="s">
        <v>305</v>
      </c>
      <c r="E1759" t="s">
        <v>1152</v>
      </c>
      <c r="F1759" t="s">
        <v>1564</v>
      </c>
      <c r="G1759" t="s">
        <v>317</v>
      </c>
    </row>
    <row r="1760" spans="1:9" x14ac:dyDescent="0.3">
      <c r="A1760" t="s">
        <v>296</v>
      </c>
      <c r="B1760" s="5">
        <v>41574</v>
      </c>
      <c r="C1760">
        <v>-41.77</v>
      </c>
      <c r="D1760" t="s">
        <v>305</v>
      </c>
      <c r="E1760" t="s">
        <v>1760</v>
      </c>
      <c r="F1760" t="s">
        <v>1761</v>
      </c>
      <c r="G1760" t="s">
        <v>334</v>
      </c>
    </row>
    <row r="1761" spans="1:9" x14ac:dyDescent="0.3">
      <c r="A1761" t="s">
        <v>296</v>
      </c>
      <c r="B1761" s="5">
        <v>41574</v>
      </c>
      <c r="C1761">
        <v>-32</v>
      </c>
      <c r="D1761" t="s">
        <v>305</v>
      </c>
      <c r="E1761" t="s">
        <v>1152</v>
      </c>
      <c r="F1761" t="s">
        <v>1564</v>
      </c>
      <c r="G1761" t="s">
        <v>317</v>
      </c>
    </row>
    <row r="1762" spans="1:9" x14ac:dyDescent="0.3">
      <c r="A1762" t="s">
        <v>296</v>
      </c>
      <c r="B1762" s="5">
        <v>41575</v>
      </c>
      <c r="C1762">
        <v>-8.5399999999999991</v>
      </c>
      <c r="D1762" t="s">
        <v>305</v>
      </c>
      <c r="E1762" t="s">
        <v>440</v>
      </c>
      <c r="F1762" t="s">
        <v>1755</v>
      </c>
      <c r="G1762" t="s">
        <v>441</v>
      </c>
    </row>
    <row r="1763" spans="1:9" x14ac:dyDescent="0.3">
      <c r="A1763" t="s">
        <v>296</v>
      </c>
      <c r="B1763" s="5">
        <v>41575</v>
      </c>
      <c r="C1763">
        <v>-9.2899999999999991</v>
      </c>
      <c r="D1763" t="s">
        <v>305</v>
      </c>
      <c r="E1763" t="s">
        <v>437</v>
      </c>
      <c r="G1763" t="s">
        <v>343</v>
      </c>
    </row>
    <row r="1764" spans="1:9" x14ac:dyDescent="0.3">
      <c r="A1764" t="s">
        <v>296</v>
      </c>
      <c r="B1764" s="5">
        <v>41577</v>
      </c>
      <c r="C1764">
        <v>-14.64</v>
      </c>
      <c r="D1764" t="s">
        <v>305</v>
      </c>
      <c r="E1764" t="s">
        <v>440</v>
      </c>
      <c r="F1764" t="s">
        <v>1755</v>
      </c>
      <c r="G1764" t="s">
        <v>441</v>
      </c>
    </row>
    <row r="1765" spans="1:9" x14ac:dyDescent="0.3">
      <c r="A1765" t="s">
        <v>296</v>
      </c>
      <c r="B1765" s="5">
        <v>41579</v>
      </c>
      <c r="C1765" s="4">
        <v>2473.36</v>
      </c>
      <c r="D1765" t="s">
        <v>305</v>
      </c>
      <c r="E1765" t="s">
        <v>322</v>
      </c>
      <c r="F1765" t="s">
        <v>607</v>
      </c>
      <c r="G1765" t="s">
        <v>9</v>
      </c>
    </row>
    <row r="1766" spans="1:9" x14ac:dyDescent="0.3">
      <c r="A1766" t="s">
        <v>296</v>
      </c>
      <c r="B1766" s="5">
        <v>41579</v>
      </c>
      <c r="C1766">
        <v>-34</v>
      </c>
      <c r="D1766" t="s">
        <v>305</v>
      </c>
      <c r="E1766" t="s">
        <v>1762</v>
      </c>
      <c r="F1766" t="s">
        <v>1763</v>
      </c>
      <c r="G1766" t="s">
        <v>425</v>
      </c>
    </row>
    <row r="1767" spans="1:9" x14ac:dyDescent="0.3">
      <c r="A1767" t="s">
        <v>296</v>
      </c>
      <c r="B1767" s="5">
        <v>41579</v>
      </c>
      <c r="C1767">
        <v>-4.6900000000000004</v>
      </c>
      <c r="D1767" t="s">
        <v>305</v>
      </c>
      <c r="E1767" t="s">
        <v>437</v>
      </c>
      <c r="G1767" t="s">
        <v>343</v>
      </c>
    </row>
    <row r="1768" spans="1:9" x14ac:dyDescent="0.3">
      <c r="A1768" t="s">
        <v>296</v>
      </c>
      <c r="B1768" s="5">
        <v>41580</v>
      </c>
      <c r="C1768">
        <v>-50</v>
      </c>
      <c r="D1768" t="s">
        <v>305</v>
      </c>
      <c r="E1768" t="s">
        <v>481</v>
      </c>
      <c r="F1768" t="s">
        <v>1764</v>
      </c>
      <c r="G1768" t="s">
        <v>457</v>
      </c>
    </row>
    <row r="1769" spans="1:9" x14ac:dyDescent="0.3">
      <c r="A1769" t="s">
        <v>296</v>
      </c>
      <c r="B1769" s="5">
        <v>41580</v>
      </c>
      <c r="C1769">
        <v>-51.79</v>
      </c>
      <c r="D1769" t="s">
        <v>305</v>
      </c>
      <c r="E1769" t="s">
        <v>1765</v>
      </c>
      <c r="F1769" t="s">
        <v>1766</v>
      </c>
      <c r="G1769" t="s">
        <v>334</v>
      </c>
    </row>
    <row r="1770" spans="1:9" x14ac:dyDescent="0.3">
      <c r="A1770" t="s">
        <v>296</v>
      </c>
      <c r="B1770" s="5">
        <v>41580</v>
      </c>
      <c r="C1770">
        <v>-7.96</v>
      </c>
      <c r="D1770" t="s">
        <v>305</v>
      </c>
      <c r="E1770" t="s">
        <v>442</v>
      </c>
      <c r="F1770" t="s">
        <v>996</v>
      </c>
      <c r="G1770" t="s">
        <v>343</v>
      </c>
      <c r="I1770" t="s">
        <v>272</v>
      </c>
    </row>
    <row r="1771" spans="1:9" x14ac:dyDescent="0.3">
      <c r="A1771" t="s">
        <v>296</v>
      </c>
      <c r="B1771" s="5">
        <v>41580</v>
      </c>
      <c r="C1771">
        <v>-134.13999999999999</v>
      </c>
      <c r="D1771" t="s">
        <v>305</v>
      </c>
      <c r="E1771" t="s">
        <v>442</v>
      </c>
      <c r="F1771" t="s">
        <v>996</v>
      </c>
      <c r="G1771" t="s">
        <v>20</v>
      </c>
      <c r="I1771" t="s">
        <v>272</v>
      </c>
    </row>
    <row r="1772" spans="1:9" x14ac:dyDescent="0.3">
      <c r="A1772" t="s">
        <v>296</v>
      </c>
      <c r="B1772" s="5">
        <v>41580</v>
      </c>
      <c r="C1772">
        <v>-37.1</v>
      </c>
      <c r="D1772" t="s">
        <v>305</v>
      </c>
      <c r="E1772" t="s">
        <v>1767</v>
      </c>
      <c r="F1772" t="s">
        <v>1768</v>
      </c>
      <c r="G1772" t="s">
        <v>614</v>
      </c>
    </row>
    <row r="1773" spans="1:9" x14ac:dyDescent="0.3">
      <c r="A1773" t="s">
        <v>296</v>
      </c>
      <c r="B1773" s="5">
        <v>41580</v>
      </c>
      <c r="C1773">
        <v>-20.84</v>
      </c>
      <c r="D1773" t="s">
        <v>305</v>
      </c>
      <c r="E1773" t="s">
        <v>452</v>
      </c>
      <c r="F1773" t="s">
        <v>607</v>
      </c>
      <c r="G1773" t="s">
        <v>453</v>
      </c>
      <c r="I1773" t="s">
        <v>272</v>
      </c>
    </row>
    <row r="1774" spans="1:9" x14ac:dyDescent="0.3">
      <c r="A1774" t="s">
        <v>296</v>
      </c>
      <c r="B1774" s="5">
        <v>41580</v>
      </c>
      <c r="C1774">
        <v>-61.9</v>
      </c>
      <c r="D1774" t="s">
        <v>305</v>
      </c>
      <c r="E1774" t="s">
        <v>452</v>
      </c>
      <c r="F1774" t="s">
        <v>607</v>
      </c>
      <c r="G1774" t="s">
        <v>454</v>
      </c>
      <c r="I1774" t="s">
        <v>272</v>
      </c>
    </row>
    <row r="1775" spans="1:9" x14ac:dyDescent="0.3">
      <c r="A1775" t="s">
        <v>296</v>
      </c>
      <c r="B1775" s="5">
        <v>41580</v>
      </c>
      <c r="C1775">
        <v>-46.29</v>
      </c>
      <c r="D1775" t="s">
        <v>305</v>
      </c>
      <c r="E1775" t="s">
        <v>452</v>
      </c>
      <c r="F1775" t="s">
        <v>607</v>
      </c>
      <c r="G1775" t="s">
        <v>455</v>
      </c>
      <c r="I1775" t="s">
        <v>272</v>
      </c>
    </row>
    <row r="1776" spans="1:9" x14ac:dyDescent="0.3">
      <c r="A1776" t="s">
        <v>296</v>
      </c>
      <c r="B1776" s="5">
        <v>41581</v>
      </c>
      <c r="C1776">
        <v>-42.5</v>
      </c>
      <c r="D1776" t="s">
        <v>305</v>
      </c>
      <c r="E1776" t="s">
        <v>1769</v>
      </c>
      <c r="F1776" t="s">
        <v>1770</v>
      </c>
      <c r="G1776" t="s">
        <v>359</v>
      </c>
    </row>
    <row r="1777" spans="1:7" x14ac:dyDescent="0.3">
      <c r="A1777" t="s">
        <v>296</v>
      </c>
      <c r="B1777" s="5">
        <v>41581</v>
      </c>
      <c r="C1777">
        <v>-27.67</v>
      </c>
      <c r="D1777" t="s">
        <v>305</v>
      </c>
      <c r="E1777" t="s">
        <v>1312</v>
      </c>
      <c r="G1777" t="s">
        <v>334</v>
      </c>
    </row>
    <row r="1778" spans="1:7" x14ac:dyDescent="0.3">
      <c r="A1778" t="s">
        <v>296</v>
      </c>
      <c r="B1778" s="5">
        <v>41581</v>
      </c>
      <c r="C1778">
        <v>-4.6500000000000004</v>
      </c>
      <c r="D1778" t="s">
        <v>305</v>
      </c>
      <c r="E1778" t="s">
        <v>437</v>
      </c>
      <c r="G1778" t="s">
        <v>343</v>
      </c>
    </row>
    <row r="1779" spans="1:7" x14ac:dyDescent="0.3">
      <c r="A1779" t="s">
        <v>296</v>
      </c>
      <c r="B1779" s="5">
        <v>41581</v>
      </c>
      <c r="C1779">
        <v>-88.8</v>
      </c>
      <c r="D1779" t="s">
        <v>305</v>
      </c>
      <c r="E1779" t="s">
        <v>442</v>
      </c>
      <c r="F1779" t="s">
        <v>1499</v>
      </c>
      <c r="G1779" t="s">
        <v>343</v>
      </c>
    </row>
    <row r="1780" spans="1:7" x14ac:dyDescent="0.3">
      <c r="A1780" t="s">
        <v>296</v>
      </c>
      <c r="B1780" s="5">
        <v>41582</v>
      </c>
      <c r="C1780">
        <v>-3.7</v>
      </c>
      <c r="D1780" t="s">
        <v>305</v>
      </c>
      <c r="E1780" t="s">
        <v>1771</v>
      </c>
      <c r="F1780" t="s">
        <v>1772</v>
      </c>
      <c r="G1780" t="s">
        <v>620</v>
      </c>
    </row>
    <row r="1781" spans="1:7" x14ac:dyDescent="0.3">
      <c r="A1781" t="s">
        <v>296</v>
      </c>
      <c r="B1781" s="5">
        <v>41582</v>
      </c>
      <c r="C1781">
        <v>-12.75</v>
      </c>
      <c r="D1781" t="s">
        <v>305</v>
      </c>
      <c r="E1781" t="s">
        <v>1773</v>
      </c>
      <c r="F1781" t="s">
        <v>1772</v>
      </c>
      <c r="G1781" t="s">
        <v>620</v>
      </c>
    </row>
    <row r="1782" spans="1:7" x14ac:dyDescent="0.3">
      <c r="A1782" t="s">
        <v>296</v>
      </c>
      <c r="B1782" s="5">
        <v>41583</v>
      </c>
      <c r="C1782">
        <v>-22.7</v>
      </c>
      <c r="D1782" t="s">
        <v>305</v>
      </c>
      <c r="E1782" t="s">
        <v>433</v>
      </c>
      <c r="F1782" t="s">
        <v>1772</v>
      </c>
      <c r="G1782" t="s">
        <v>620</v>
      </c>
    </row>
    <row r="1783" spans="1:7" x14ac:dyDescent="0.3">
      <c r="A1783" t="s">
        <v>296</v>
      </c>
      <c r="B1783" s="5">
        <v>41583</v>
      </c>
      <c r="C1783">
        <v>-9.6199999999999992</v>
      </c>
      <c r="D1783" t="s">
        <v>305</v>
      </c>
      <c r="E1783" t="s">
        <v>1774</v>
      </c>
      <c r="F1783" t="s">
        <v>1772</v>
      </c>
      <c r="G1783" t="s">
        <v>620</v>
      </c>
    </row>
    <row r="1784" spans="1:7" x14ac:dyDescent="0.3">
      <c r="A1784" t="s">
        <v>296</v>
      </c>
      <c r="B1784" s="5">
        <v>41583</v>
      </c>
      <c r="C1784">
        <v>-3.49</v>
      </c>
      <c r="D1784" t="s">
        <v>305</v>
      </c>
      <c r="E1784" t="s">
        <v>1771</v>
      </c>
      <c r="F1784" t="s">
        <v>1772</v>
      </c>
      <c r="G1784" t="s">
        <v>620</v>
      </c>
    </row>
    <row r="1785" spans="1:7" x14ac:dyDescent="0.3">
      <c r="A1785" t="s">
        <v>296</v>
      </c>
      <c r="B1785" s="5">
        <v>41584</v>
      </c>
      <c r="C1785">
        <v>-17.510000000000002</v>
      </c>
      <c r="D1785" t="s">
        <v>305</v>
      </c>
      <c r="E1785" t="s">
        <v>1775</v>
      </c>
      <c r="F1785" t="s">
        <v>1772</v>
      </c>
      <c r="G1785" t="s">
        <v>620</v>
      </c>
    </row>
    <row r="1786" spans="1:7" x14ac:dyDescent="0.3">
      <c r="A1786" t="s">
        <v>296</v>
      </c>
      <c r="B1786" s="5">
        <v>41584</v>
      </c>
      <c r="C1786">
        <v>-18.079999999999998</v>
      </c>
      <c r="D1786" t="s">
        <v>305</v>
      </c>
      <c r="E1786" t="s">
        <v>1099</v>
      </c>
      <c r="F1786" t="s">
        <v>1776</v>
      </c>
      <c r="G1786" t="s">
        <v>641</v>
      </c>
    </row>
    <row r="1787" spans="1:7" x14ac:dyDescent="0.3">
      <c r="A1787" t="s">
        <v>296</v>
      </c>
      <c r="B1787" s="5">
        <v>41585</v>
      </c>
      <c r="C1787">
        <v>-4</v>
      </c>
      <c r="D1787" t="s">
        <v>305</v>
      </c>
      <c r="E1787" t="s">
        <v>473</v>
      </c>
      <c r="G1787" t="s">
        <v>441</v>
      </c>
    </row>
    <row r="1788" spans="1:7" x14ac:dyDescent="0.3">
      <c r="A1788" t="s">
        <v>296</v>
      </c>
      <c r="B1788" s="5">
        <v>41585</v>
      </c>
      <c r="C1788">
        <v>-148.58000000000001</v>
      </c>
      <c r="D1788" t="s">
        <v>305</v>
      </c>
      <c r="E1788" t="s">
        <v>1777</v>
      </c>
      <c r="F1788" t="s">
        <v>1778</v>
      </c>
      <c r="G1788" t="s">
        <v>633</v>
      </c>
    </row>
    <row r="1789" spans="1:7" x14ac:dyDescent="0.3">
      <c r="A1789" t="s">
        <v>296</v>
      </c>
      <c r="B1789" s="5">
        <v>41585</v>
      </c>
      <c r="C1789">
        <v>-16.91</v>
      </c>
      <c r="D1789" t="s">
        <v>305</v>
      </c>
      <c r="E1789" t="s">
        <v>1774</v>
      </c>
      <c r="F1789" t="s">
        <v>1772</v>
      </c>
      <c r="G1789" t="s">
        <v>620</v>
      </c>
    </row>
    <row r="1790" spans="1:7" x14ac:dyDescent="0.3">
      <c r="A1790" t="s">
        <v>296</v>
      </c>
      <c r="B1790" s="5">
        <v>41585</v>
      </c>
      <c r="C1790">
        <v>-58.37</v>
      </c>
      <c r="D1790" t="s">
        <v>305</v>
      </c>
      <c r="E1790">
        <v>1702</v>
      </c>
      <c r="F1790" t="s">
        <v>1772</v>
      </c>
      <c r="G1790" t="s">
        <v>620</v>
      </c>
    </row>
    <row r="1791" spans="1:7" x14ac:dyDescent="0.3">
      <c r="A1791" t="s">
        <v>296</v>
      </c>
      <c r="B1791" s="5">
        <v>41585</v>
      </c>
      <c r="C1791">
        <v>-22.05</v>
      </c>
      <c r="D1791" t="s">
        <v>305</v>
      </c>
      <c r="E1791" t="s">
        <v>1061</v>
      </c>
      <c r="F1791" t="s">
        <v>1779</v>
      </c>
      <c r="G1791" t="s">
        <v>633</v>
      </c>
    </row>
    <row r="1792" spans="1:7" x14ac:dyDescent="0.3">
      <c r="A1792" t="s">
        <v>296</v>
      </c>
      <c r="B1792" s="5">
        <v>41586</v>
      </c>
      <c r="C1792">
        <v>-33</v>
      </c>
      <c r="D1792" t="s">
        <v>305</v>
      </c>
      <c r="E1792" t="s">
        <v>1099</v>
      </c>
      <c r="F1792" t="s">
        <v>1780</v>
      </c>
      <c r="G1792" t="s">
        <v>633</v>
      </c>
    </row>
    <row r="1793" spans="1:9" x14ac:dyDescent="0.3">
      <c r="A1793" t="s">
        <v>296</v>
      </c>
      <c r="B1793" s="5">
        <v>41586</v>
      </c>
      <c r="C1793">
        <v>-20.32</v>
      </c>
      <c r="D1793" t="s">
        <v>305</v>
      </c>
      <c r="E1793" t="s">
        <v>435</v>
      </c>
      <c r="F1793" t="s">
        <v>1781</v>
      </c>
      <c r="G1793" t="s">
        <v>20</v>
      </c>
      <c r="I1793" t="s">
        <v>272</v>
      </c>
    </row>
    <row r="1794" spans="1:9" x14ac:dyDescent="0.3">
      <c r="A1794" t="s">
        <v>296</v>
      </c>
      <c r="B1794" s="5">
        <v>41586</v>
      </c>
      <c r="C1794">
        <v>-8.6300000000000008</v>
      </c>
      <c r="D1794" t="s">
        <v>305</v>
      </c>
      <c r="E1794" t="s">
        <v>435</v>
      </c>
      <c r="F1794" t="s">
        <v>1782</v>
      </c>
      <c r="G1794" t="s">
        <v>479</v>
      </c>
      <c r="I1794" t="s">
        <v>272</v>
      </c>
    </row>
    <row r="1795" spans="1:9" x14ac:dyDescent="0.3">
      <c r="A1795" t="s">
        <v>296</v>
      </c>
      <c r="B1795" s="5">
        <v>41586</v>
      </c>
      <c r="C1795">
        <v>-50.25</v>
      </c>
      <c r="D1795" t="s">
        <v>305</v>
      </c>
      <c r="E1795" t="s">
        <v>1063</v>
      </c>
      <c r="F1795" t="s">
        <v>1783</v>
      </c>
      <c r="G1795" t="s">
        <v>418</v>
      </c>
    </row>
    <row r="1796" spans="1:9" x14ac:dyDescent="0.3">
      <c r="A1796" t="s">
        <v>296</v>
      </c>
      <c r="B1796" s="5">
        <v>41587</v>
      </c>
      <c r="C1796">
        <v>-24.02</v>
      </c>
      <c r="D1796" t="s">
        <v>305</v>
      </c>
      <c r="E1796" t="s">
        <v>1212</v>
      </c>
      <c r="F1796" t="s">
        <v>1784</v>
      </c>
      <c r="G1796" t="s">
        <v>334</v>
      </c>
    </row>
    <row r="1797" spans="1:9" x14ac:dyDescent="0.3">
      <c r="A1797" t="s">
        <v>296</v>
      </c>
      <c r="B1797" s="5">
        <v>41587</v>
      </c>
      <c r="C1797">
        <v>-27</v>
      </c>
      <c r="D1797" t="s">
        <v>305</v>
      </c>
      <c r="E1797" t="s">
        <v>1785</v>
      </c>
      <c r="F1797" t="s">
        <v>1786</v>
      </c>
      <c r="G1797" t="s">
        <v>458</v>
      </c>
    </row>
    <row r="1798" spans="1:9" x14ac:dyDescent="0.3">
      <c r="A1798" t="s">
        <v>296</v>
      </c>
      <c r="B1798" s="5">
        <v>41587</v>
      </c>
      <c r="C1798">
        <v>-55.09</v>
      </c>
      <c r="D1798" t="s">
        <v>305</v>
      </c>
      <c r="E1798" t="s">
        <v>1787</v>
      </c>
      <c r="F1798" t="s">
        <v>1788</v>
      </c>
      <c r="G1798" t="s">
        <v>334</v>
      </c>
    </row>
    <row r="1799" spans="1:9" x14ac:dyDescent="0.3">
      <c r="A1799" t="s">
        <v>296</v>
      </c>
      <c r="B1799" s="5">
        <v>41587</v>
      </c>
      <c r="C1799">
        <v>-20</v>
      </c>
      <c r="D1799" t="s">
        <v>305</v>
      </c>
      <c r="E1799" t="s">
        <v>639</v>
      </c>
      <c r="F1799" t="s">
        <v>1789</v>
      </c>
      <c r="G1799" t="s">
        <v>623</v>
      </c>
    </row>
    <row r="1800" spans="1:9" x14ac:dyDescent="0.3">
      <c r="A1800" t="s">
        <v>296</v>
      </c>
      <c r="B1800" s="5">
        <v>41588</v>
      </c>
      <c r="C1800">
        <v>-3</v>
      </c>
      <c r="D1800" t="s">
        <v>305</v>
      </c>
      <c r="E1800" t="s">
        <v>1790</v>
      </c>
      <c r="F1800" t="s">
        <v>1772</v>
      </c>
      <c r="G1800" t="s">
        <v>633</v>
      </c>
    </row>
    <row r="1801" spans="1:9" x14ac:dyDescent="0.3">
      <c r="A1801" t="s">
        <v>296</v>
      </c>
      <c r="B1801" s="5">
        <v>41588</v>
      </c>
      <c r="C1801">
        <v>-12.04</v>
      </c>
      <c r="D1801" t="s">
        <v>305</v>
      </c>
      <c r="E1801" t="s">
        <v>663</v>
      </c>
      <c r="F1801" t="s">
        <v>1791</v>
      </c>
      <c r="G1801" t="s">
        <v>334</v>
      </c>
    </row>
    <row r="1802" spans="1:9" x14ac:dyDescent="0.3">
      <c r="A1802" t="s">
        <v>296</v>
      </c>
      <c r="B1802" s="5">
        <v>41588</v>
      </c>
      <c r="C1802">
        <v>-15.33</v>
      </c>
      <c r="D1802" t="s">
        <v>305</v>
      </c>
      <c r="E1802" t="s">
        <v>663</v>
      </c>
      <c r="F1802" t="s">
        <v>1791</v>
      </c>
      <c r="G1802" t="s">
        <v>458</v>
      </c>
    </row>
    <row r="1803" spans="1:9" x14ac:dyDescent="0.3">
      <c r="A1803" t="s">
        <v>296</v>
      </c>
      <c r="B1803" s="5">
        <v>41589</v>
      </c>
      <c r="C1803">
        <v>-3.66</v>
      </c>
      <c r="D1803" t="s">
        <v>305</v>
      </c>
      <c r="E1803" t="s">
        <v>440</v>
      </c>
      <c r="G1803" t="s">
        <v>441</v>
      </c>
    </row>
    <row r="1804" spans="1:9" x14ac:dyDescent="0.3">
      <c r="A1804" t="s">
        <v>296</v>
      </c>
      <c r="B1804" s="5">
        <v>41589</v>
      </c>
      <c r="C1804">
        <v>-113.31</v>
      </c>
      <c r="D1804" t="s">
        <v>305</v>
      </c>
      <c r="E1804" t="s">
        <v>442</v>
      </c>
      <c r="G1804" t="s">
        <v>343</v>
      </c>
    </row>
    <row r="1805" spans="1:9" x14ac:dyDescent="0.3">
      <c r="A1805" t="s">
        <v>296</v>
      </c>
      <c r="B1805" s="5">
        <v>41589</v>
      </c>
      <c r="C1805">
        <v>-12.59</v>
      </c>
      <c r="D1805" t="s">
        <v>305</v>
      </c>
      <c r="E1805" t="s">
        <v>1792</v>
      </c>
      <c r="G1805" t="s">
        <v>458</v>
      </c>
    </row>
    <row r="1806" spans="1:9" x14ac:dyDescent="0.3">
      <c r="A1806" t="s">
        <v>296</v>
      </c>
      <c r="B1806" s="5">
        <v>41590</v>
      </c>
      <c r="C1806">
        <v>-16.829999999999998</v>
      </c>
      <c r="D1806" t="s">
        <v>305</v>
      </c>
      <c r="E1806" t="s">
        <v>433</v>
      </c>
      <c r="G1806" t="s">
        <v>343</v>
      </c>
    </row>
    <row r="1807" spans="1:9" x14ac:dyDescent="0.3">
      <c r="A1807" t="s">
        <v>296</v>
      </c>
      <c r="B1807" s="5">
        <v>41591</v>
      </c>
      <c r="C1807">
        <v>25</v>
      </c>
      <c r="D1807" t="s">
        <v>305</v>
      </c>
      <c r="E1807" t="s">
        <v>438</v>
      </c>
      <c r="G1807" t="s">
        <v>14</v>
      </c>
    </row>
    <row r="1808" spans="1:9" x14ac:dyDescent="0.3">
      <c r="A1808" t="s">
        <v>296</v>
      </c>
      <c r="B1808" s="5">
        <v>41591</v>
      </c>
      <c r="C1808">
        <v>-38.340000000000003</v>
      </c>
      <c r="D1808" t="s">
        <v>305</v>
      </c>
      <c r="E1808" t="s">
        <v>1753</v>
      </c>
      <c r="F1808" t="s">
        <v>1793</v>
      </c>
      <c r="G1808" t="s">
        <v>342</v>
      </c>
    </row>
    <row r="1809" spans="1:7" x14ac:dyDescent="0.3">
      <c r="A1809" t="s">
        <v>296</v>
      </c>
      <c r="B1809" s="5">
        <v>41593</v>
      </c>
      <c r="C1809">
        <v>-17.71</v>
      </c>
      <c r="D1809" t="s">
        <v>305</v>
      </c>
      <c r="E1809" t="s">
        <v>433</v>
      </c>
      <c r="F1809" t="s">
        <v>1498</v>
      </c>
      <c r="G1809" t="s">
        <v>343</v>
      </c>
    </row>
    <row r="1810" spans="1:7" x14ac:dyDescent="0.3">
      <c r="A1810" t="s">
        <v>296</v>
      </c>
      <c r="B1810" s="5">
        <v>41593</v>
      </c>
      <c r="C1810">
        <v>-500</v>
      </c>
      <c r="D1810" t="s">
        <v>305</v>
      </c>
      <c r="E1810" t="s">
        <v>450</v>
      </c>
      <c r="F1810" t="s">
        <v>1794</v>
      </c>
      <c r="G1810" t="s">
        <v>621</v>
      </c>
    </row>
    <row r="1811" spans="1:7" x14ac:dyDescent="0.3">
      <c r="A1811" t="s">
        <v>296</v>
      </c>
      <c r="B1811" s="5">
        <v>41594</v>
      </c>
      <c r="C1811">
        <v>-3</v>
      </c>
      <c r="D1811" t="s">
        <v>305</v>
      </c>
      <c r="E1811" t="s">
        <v>440</v>
      </c>
      <c r="F1811" t="s">
        <v>1283</v>
      </c>
      <c r="G1811" t="s">
        <v>441</v>
      </c>
    </row>
    <row r="1812" spans="1:7" x14ac:dyDescent="0.3">
      <c r="A1812" t="s">
        <v>296</v>
      </c>
      <c r="B1812" s="5">
        <v>41594</v>
      </c>
      <c r="C1812">
        <v>-29</v>
      </c>
      <c r="D1812" t="s">
        <v>305</v>
      </c>
      <c r="E1812" t="s">
        <v>1159</v>
      </c>
      <c r="F1812" t="s">
        <v>1348</v>
      </c>
      <c r="G1812" t="s">
        <v>404</v>
      </c>
    </row>
    <row r="1813" spans="1:7" x14ac:dyDescent="0.3">
      <c r="A1813" t="s">
        <v>296</v>
      </c>
      <c r="B1813" s="5">
        <v>41594</v>
      </c>
      <c r="C1813">
        <v>-112.06</v>
      </c>
      <c r="D1813" t="s">
        <v>305</v>
      </c>
      <c r="E1813" t="s">
        <v>442</v>
      </c>
      <c r="F1813" t="s">
        <v>1499</v>
      </c>
      <c r="G1813" t="s">
        <v>343</v>
      </c>
    </row>
    <row r="1814" spans="1:7" x14ac:dyDescent="0.3">
      <c r="A1814" t="s">
        <v>296</v>
      </c>
      <c r="B1814" s="5">
        <v>41595</v>
      </c>
      <c r="C1814">
        <v>-10.66</v>
      </c>
      <c r="D1814" t="s">
        <v>305</v>
      </c>
      <c r="E1814" t="s">
        <v>336</v>
      </c>
      <c r="F1814" t="s">
        <v>1795</v>
      </c>
      <c r="G1814" t="s">
        <v>434</v>
      </c>
    </row>
    <row r="1815" spans="1:7" x14ac:dyDescent="0.3">
      <c r="A1815" t="s">
        <v>296</v>
      </c>
      <c r="B1815" s="5">
        <v>41595</v>
      </c>
      <c r="C1815">
        <v>-15.33</v>
      </c>
      <c r="D1815" t="s">
        <v>305</v>
      </c>
      <c r="E1815" t="s">
        <v>663</v>
      </c>
      <c r="F1815" t="s">
        <v>1791</v>
      </c>
      <c r="G1815" t="s">
        <v>458</v>
      </c>
    </row>
    <row r="1816" spans="1:7" x14ac:dyDescent="0.3">
      <c r="A1816" t="s">
        <v>296</v>
      </c>
      <c r="B1816" s="5">
        <v>41597</v>
      </c>
      <c r="C1816">
        <v>25</v>
      </c>
      <c r="D1816" t="s">
        <v>305</v>
      </c>
      <c r="E1816" t="s">
        <v>438</v>
      </c>
      <c r="F1816" t="s">
        <v>436</v>
      </c>
      <c r="G1816" t="s">
        <v>14</v>
      </c>
    </row>
    <row r="1817" spans="1:7" x14ac:dyDescent="0.3">
      <c r="A1817" t="s">
        <v>296</v>
      </c>
      <c r="B1817" s="5">
        <v>41597</v>
      </c>
      <c r="C1817">
        <v>-6.56</v>
      </c>
      <c r="D1817" t="s">
        <v>305</v>
      </c>
      <c r="E1817" t="s">
        <v>645</v>
      </c>
      <c r="F1817" t="s">
        <v>1286</v>
      </c>
      <c r="G1817" t="s">
        <v>334</v>
      </c>
    </row>
    <row r="1818" spans="1:7" x14ac:dyDescent="0.3">
      <c r="A1818" t="s">
        <v>296</v>
      </c>
      <c r="B1818" s="5">
        <v>41597</v>
      </c>
      <c r="C1818">
        <v>-64.17</v>
      </c>
      <c r="D1818" t="s">
        <v>305</v>
      </c>
      <c r="E1818" t="s">
        <v>622</v>
      </c>
      <c r="F1818" t="s">
        <v>1796</v>
      </c>
      <c r="G1818" t="s">
        <v>371</v>
      </c>
    </row>
    <row r="1819" spans="1:7" x14ac:dyDescent="0.3">
      <c r="A1819" t="s">
        <v>296</v>
      </c>
      <c r="B1819" s="5">
        <v>41598</v>
      </c>
      <c r="C1819">
        <v>-108.28</v>
      </c>
      <c r="D1819" t="s">
        <v>305</v>
      </c>
      <c r="E1819" t="s">
        <v>1797</v>
      </c>
      <c r="F1819" t="s">
        <v>1798</v>
      </c>
      <c r="G1819" t="s">
        <v>334</v>
      </c>
    </row>
    <row r="1820" spans="1:7" x14ac:dyDescent="0.3">
      <c r="A1820" t="s">
        <v>296</v>
      </c>
      <c r="B1820" s="5">
        <v>41598</v>
      </c>
      <c r="C1820">
        <v>-44.99</v>
      </c>
      <c r="D1820" t="s">
        <v>305</v>
      </c>
      <c r="E1820" t="s">
        <v>1442</v>
      </c>
      <c r="F1820" t="s">
        <v>1799</v>
      </c>
      <c r="G1820" t="s">
        <v>20</v>
      </c>
    </row>
    <row r="1821" spans="1:7" x14ac:dyDescent="0.3">
      <c r="A1821" t="s">
        <v>296</v>
      </c>
      <c r="B1821" s="5">
        <v>41598</v>
      </c>
      <c r="C1821">
        <v>-52.45</v>
      </c>
      <c r="D1821" t="s">
        <v>305</v>
      </c>
      <c r="E1821" t="s">
        <v>443</v>
      </c>
      <c r="F1821" t="s">
        <v>1800</v>
      </c>
      <c r="G1821" t="s">
        <v>20</v>
      </c>
    </row>
    <row r="1822" spans="1:7" x14ac:dyDescent="0.3">
      <c r="A1822" t="s">
        <v>296</v>
      </c>
      <c r="B1822" s="5">
        <v>41598</v>
      </c>
      <c r="C1822">
        <v>-59.28</v>
      </c>
      <c r="D1822" t="s">
        <v>305</v>
      </c>
      <c r="E1822" t="s">
        <v>443</v>
      </c>
      <c r="G1822" t="s">
        <v>343</v>
      </c>
    </row>
    <row r="1823" spans="1:7" x14ac:dyDescent="0.3">
      <c r="A1823" t="s">
        <v>296</v>
      </c>
      <c r="B1823" s="5">
        <v>41600</v>
      </c>
      <c r="C1823">
        <v>-10.93</v>
      </c>
      <c r="D1823" t="s">
        <v>305</v>
      </c>
      <c r="E1823" t="s">
        <v>1429</v>
      </c>
      <c r="F1823" t="s">
        <v>1801</v>
      </c>
      <c r="G1823" t="s">
        <v>334</v>
      </c>
    </row>
    <row r="1824" spans="1:7" x14ac:dyDescent="0.3">
      <c r="A1824" t="s">
        <v>296</v>
      </c>
      <c r="B1824" s="5">
        <v>41600</v>
      </c>
      <c r="C1824">
        <v>-14.64</v>
      </c>
      <c r="D1824" t="s">
        <v>305</v>
      </c>
      <c r="E1824" t="s">
        <v>440</v>
      </c>
      <c r="F1824" t="s">
        <v>1755</v>
      </c>
      <c r="G1824" t="s">
        <v>441</v>
      </c>
    </row>
    <row r="1825" spans="1:9" x14ac:dyDescent="0.3">
      <c r="A1825" t="s">
        <v>296</v>
      </c>
      <c r="B1825" s="5">
        <v>41601</v>
      </c>
      <c r="C1825">
        <v>-16.32</v>
      </c>
      <c r="D1825" t="s">
        <v>305</v>
      </c>
      <c r="E1825" t="s">
        <v>437</v>
      </c>
      <c r="F1825" t="s">
        <v>1802</v>
      </c>
      <c r="G1825" t="s">
        <v>343</v>
      </c>
    </row>
    <row r="1826" spans="1:9" x14ac:dyDescent="0.3">
      <c r="A1826" t="s">
        <v>296</v>
      </c>
      <c r="B1826" s="5">
        <v>41601</v>
      </c>
      <c r="C1826">
        <v>-59.94</v>
      </c>
      <c r="D1826" t="s">
        <v>305</v>
      </c>
      <c r="E1826" t="s">
        <v>1225</v>
      </c>
      <c r="F1826" t="s">
        <v>1803</v>
      </c>
      <c r="G1826" t="s">
        <v>614</v>
      </c>
    </row>
    <row r="1827" spans="1:9" x14ac:dyDescent="0.3">
      <c r="A1827" t="s">
        <v>296</v>
      </c>
      <c r="B1827" s="5">
        <v>41601</v>
      </c>
      <c r="C1827">
        <v>-126.22</v>
      </c>
      <c r="D1827" t="s">
        <v>305</v>
      </c>
      <c r="E1827" t="s">
        <v>1804</v>
      </c>
      <c r="F1827" t="s">
        <v>1805</v>
      </c>
      <c r="G1827" t="s">
        <v>334</v>
      </c>
    </row>
    <row r="1828" spans="1:9" x14ac:dyDescent="0.3">
      <c r="A1828" t="s">
        <v>296</v>
      </c>
      <c r="B1828" s="5">
        <v>41601</v>
      </c>
      <c r="C1828">
        <v>-207.73</v>
      </c>
      <c r="D1828" t="s">
        <v>305</v>
      </c>
      <c r="E1828" t="s">
        <v>1806</v>
      </c>
      <c r="F1828" t="s">
        <v>1807</v>
      </c>
      <c r="G1828" t="s">
        <v>346</v>
      </c>
    </row>
    <row r="1829" spans="1:9" x14ac:dyDescent="0.3">
      <c r="A1829" t="s">
        <v>296</v>
      </c>
      <c r="B1829" s="5">
        <v>41602</v>
      </c>
      <c r="C1829">
        <v>-5.25</v>
      </c>
      <c r="D1829" t="s">
        <v>305</v>
      </c>
      <c r="E1829" t="s">
        <v>448</v>
      </c>
      <c r="F1829" t="s">
        <v>1808</v>
      </c>
      <c r="G1829" t="s">
        <v>343</v>
      </c>
    </row>
    <row r="1830" spans="1:9" x14ac:dyDescent="0.3">
      <c r="A1830" t="s">
        <v>296</v>
      </c>
      <c r="B1830" s="5">
        <v>41602</v>
      </c>
      <c r="C1830">
        <v>-40</v>
      </c>
      <c r="D1830" t="s">
        <v>305</v>
      </c>
      <c r="E1830" t="s">
        <v>1809</v>
      </c>
      <c r="F1830" t="s">
        <v>1810</v>
      </c>
      <c r="G1830" t="s">
        <v>20</v>
      </c>
    </row>
    <row r="1831" spans="1:9" x14ac:dyDescent="0.3">
      <c r="A1831" t="s">
        <v>296</v>
      </c>
      <c r="B1831" s="5">
        <v>41602</v>
      </c>
      <c r="C1831">
        <v>-60.58</v>
      </c>
      <c r="D1831" t="s">
        <v>305</v>
      </c>
      <c r="E1831" t="s">
        <v>443</v>
      </c>
      <c r="F1831" t="s">
        <v>1293</v>
      </c>
      <c r="G1831" t="s">
        <v>343</v>
      </c>
    </row>
    <row r="1832" spans="1:9" x14ac:dyDescent="0.3">
      <c r="A1832" t="s">
        <v>296</v>
      </c>
      <c r="B1832" s="5">
        <v>41602</v>
      </c>
      <c r="C1832">
        <v>-44.28</v>
      </c>
      <c r="D1832" t="s">
        <v>305</v>
      </c>
      <c r="E1832" t="s">
        <v>442</v>
      </c>
      <c r="F1832" t="s">
        <v>1499</v>
      </c>
      <c r="G1832" t="s">
        <v>343</v>
      </c>
      <c r="I1832" t="s">
        <v>272</v>
      </c>
    </row>
    <row r="1833" spans="1:9" x14ac:dyDescent="0.3">
      <c r="A1833" t="s">
        <v>296</v>
      </c>
      <c r="B1833" s="5">
        <v>41602</v>
      </c>
      <c r="C1833">
        <v>-56.94</v>
      </c>
      <c r="D1833" t="s">
        <v>305</v>
      </c>
      <c r="E1833" t="s">
        <v>442</v>
      </c>
      <c r="F1833" t="s">
        <v>1811</v>
      </c>
      <c r="G1833" t="s">
        <v>614</v>
      </c>
      <c r="I1833" t="s">
        <v>272</v>
      </c>
    </row>
    <row r="1834" spans="1:9" x14ac:dyDescent="0.3">
      <c r="A1834" t="s">
        <v>296</v>
      </c>
      <c r="B1834" s="5">
        <v>41603</v>
      </c>
      <c r="C1834">
        <v>34.700000000000003</v>
      </c>
      <c r="D1834" t="s">
        <v>305</v>
      </c>
      <c r="E1834" t="s">
        <v>1757</v>
      </c>
      <c r="F1834" t="s">
        <v>1758</v>
      </c>
      <c r="G1834" t="s">
        <v>348</v>
      </c>
    </row>
    <row r="1835" spans="1:9" x14ac:dyDescent="0.3">
      <c r="A1835" t="s">
        <v>296</v>
      </c>
      <c r="B1835" s="5">
        <v>41604</v>
      </c>
      <c r="C1835">
        <v>-6</v>
      </c>
      <c r="D1835" t="s">
        <v>305</v>
      </c>
      <c r="E1835" t="s">
        <v>1204</v>
      </c>
      <c r="F1835" t="s">
        <v>1812</v>
      </c>
      <c r="G1835" t="s">
        <v>334</v>
      </c>
    </row>
    <row r="1836" spans="1:9" x14ac:dyDescent="0.3">
      <c r="A1836" t="s">
        <v>296</v>
      </c>
      <c r="B1836" s="5">
        <v>41604</v>
      </c>
      <c r="C1836">
        <v>-8.49</v>
      </c>
      <c r="D1836" t="s">
        <v>305</v>
      </c>
      <c r="E1836" t="s">
        <v>437</v>
      </c>
      <c r="F1836" t="s">
        <v>1802</v>
      </c>
      <c r="G1836" t="s">
        <v>343</v>
      </c>
    </row>
    <row r="1837" spans="1:9" x14ac:dyDescent="0.3">
      <c r="A1837" t="s">
        <v>296</v>
      </c>
      <c r="B1837" s="5">
        <v>41604</v>
      </c>
      <c r="C1837">
        <v>-21.95</v>
      </c>
      <c r="D1837" t="s">
        <v>305</v>
      </c>
      <c r="E1837" t="s">
        <v>439</v>
      </c>
      <c r="F1837" t="s">
        <v>1370</v>
      </c>
      <c r="G1837" t="s">
        <v>334</v>
      </c>
    </row>
    <row r="1838" spans="1:9" x14ac:dyDescent="0.3">
      <c r="A1838" t="s">
        <v>296</v>
      </c>
      <c r="B1838" s="5">
        <v>41605</v>
      </c>
      <c r="C1838">
        <v>-8.68</v>
      </c>
      <c r="D1838" t="s">
        <v>305</v>
      </c>
      <c r="E1838" t="s">
        <v>437</v>
      </c>
      <c r="F1838" t="s">
        <v>1802</v>
      </c>
      <c r="G1838" t="s">
        <v>343</v>
      </c>
    </row>
    <row r="1839" spans="1:9" x14ac:dyDescent="0.3">
      <c r="A1839" t="s">
        <v>296</v>
      </c>
      <c r="B1839" s="5">
        <v>41605</v>
      </c>
      <c r="C1839">
        <v>-21.72</v>
      </c>
      <c r="D1839" t="s">
        <v>305</v>
      </c>
      <c r="E1839" t="s">
        <v>1532</v>
      </c>
      <c r="F1839" t="s">
        <v>1813</v>
      </c>
      <c r="G1839" t="s">
        <v>444</v>
      </c>
    </row>
    <row r="1840" spans="1:9" x14ac:dyDescent="0.3">
      <c r="A1840" t="s">
        <v>296</v>
      </c>
      <c r="B1840" s="5">
        <v>41605</v>
      </c>
      <c r="C1840">
        <v>-28.73</v>
      </c>
      <c r="D1840" t="s">
        <v>305</v>
      </c>
      <c r="E1840" t="s">
        <v>1814</v>
      </c>
      <c r="F1840" t="s">
        <v>1815</v>
      </c>
      <c r="G1840" t="s">
        <v>334</v>
      </c>
    </row>
    <row r="1841" spans="1:9" x14ac:dyDescent="0.3">
      <c r="A1841" t="s">
        <v>296</v>
      </c>
      <c r="B1841" s="5">
        <v>41605</v>
      </c>
      <c r="C1841">
        <v>-59.68</v>
      </c>
      <c r="D1841" t="s">
        <v>305</v>
      </c>
      <c r="E1841" t="s">
        <v>1816</v>
      </c>
      <c r="F1841" t="s">
        <v>1817</v>
      </c>
      <c r="G1841" t="s">
        <v>444</v>
      </c>
    </row>
    <row r="1842" spans="1:9" x14ac:dyDescent="0.3">
      <c r="A1842" t="s">
        <v>296</v>
      </c>
      <c r="B1842" s="5">
        <v>41605</v>
      </c>
      <c r="C1842">
        <v>-65.150000000000006</v>
      </c>
      <c r="D1842" t="s">
        <v>305</v>
      </c>
      <c r="E1842" t="s">
        <v>1539</v>
      </c>
      <c r="F1842" t="s">
        <v>1818</v>
      </c>
      <c r="G1842" t="s">
        <v>444</v>
      </c>
    </row>
    <row r="1843" spans="1:9" x14ac:dyDescent="0.3">
      <c r="A1843" t="s">
        <v>296</v>
      </c>
      <c r="B1843" s="5">
        <v>41605</v>
      </c>
      <c r="C1843">
        <v>-66.239999999999995</v>
      </c>
      <c r="D1843" t="s">
        <v>305</v>
      </c>
      <c r="E1843" t="s">
        <v>1532</v>
      </c>
      <c r="F1843" t="s">
        <v>1819</v>
      </c>
      <c r="G1843" t="s">
        <v>444</v>
      </c>
    </row>
    <row r="1844" spans="1:9" x14ac:dyDescent="0.3">
      <c r="A1844" t="s">
        <v>296</v>
      </c>
      <c r="B1844" s="5">
        <v>41605</v>
      </c>
      <c r="C1844">
        <v>-86.34</v>
      </c>
      <c r="D1844" t="s">
        <v>305</v>
      </c>
      <c r="E1844" t="s">
        <v>1820</v>
      </c>
      <c r="F1844" t="s">
        <v>1821</v>
      </c>
      <c r="G1844" t="s">
        <v>444</v>
      </c>
    </row>
    <row r="1845" spans="1:9" x14ac:dyDescent="0.3">
      <c r="A1845" t="s">
        <v>296</v>
      </c>
      <c r="B1845" s="5">
        <v>41605</v>
      </c>
      <c r="C1845">
        <v>-67.23</v>
      </c>
      <c r="D1845" t="s">
        <v>305</v>
      </c>
      <c r="E1845" t="s">
        <v>442</v>
      </c>
      <c r="F1845" t="s">
        <v>1822</v>
      </c>
      <c r="G1845" t="s">
        <v>360</v>
      </c>
      <c r="I1845" t="s">
        <v>272</v>
      </c>
    </row>
    <row r="1846" spans="1:9" x14ac:dyDescent="0.3">
      <c r="A1846" t="s">
        <v>296</v>
      </c>
      <c r="B1846" s="5">
        <v>41605</v>
      </c>
      <c r="C1846">
        <v>-13.08</v>
      </c>
      <c r="D1846" t="s">
        <v>305</v>
      </c>
      <c r="E1846" t="s">
        <v>442</v>
      </c>
      <c r="F1846" t="s">
        <v>1823</v>
      </c>
      <c r="G1846" t="s">
        <v>69</v>
      </c>
      <c r="I1846" t="s">
        <v>272</v>
      </c>
    </row>
    <row r="1847" spans="1:9" x14ac:dyDescent="0.3">
      <c r="A1847" t="s">
        <v>296</v>
      </c>
      <c r="B1847" s="5">
        <v>41605</v>
      </c>
      <c r="C1847">
        <v>-14.22</v>
      </c>
      <c r="D1847" t="s">
        <v>305</v>
      </c>
      <c r="E1847" t="s">
        <v>442</v>
      </c>
      <c r="F1847" t="s">
        <v>1824</v>
      </c>
      <c r="G1847" t="s">
        <v>17</v>
      </c>
      <c r="I1847" t="s">
        <v>272</v>
      </c>
    </row>
    <row r="1848" spans="1:9" x14ac:dyDescent="0.3">
      <c r="A1848" t="s">
        <v>296</v>
      </c>
      <c r="B1848" s="5">
        <v>41605</v>
      </c>
      <c r="C1848">
        <v>-15.49</v>
      </c>
      <c r="D1848" t="s">
        <v>305</v>
      </c>
      <c r="E1848" t="s">
        <v>442</v>
      </c>
      <c r="F1848" t="s">
        <v>1825</v>
      </c>
      <c r="G1848" t="s">
        <v>343</v>
      </c>
      <c r="I1848" t="s">
        <v>272</v>
      </c>
    </row>
    <row r="1849" spans="1:9" x14ac:dyDescent="0.3">
      <c r="A1849" t="s">
        <v>296</v>
      </c>
      <c r="B1849" s="5">
        <v>41607</v>
      </c>
      <c r="C1849">
        <v>-56.86</v>
      </c>
      <c r="D1849" t="s">
        <v>305</v>
      </c>
      <c r="E1849" t="s">
        <v>442</v>
      </c>
      <c r="F1849" t="s">
        <v>1499</v>
      </c>
      <c r="G1849" t="s">
        <v>343</v>
      </c>
    </row>
    <row r="1850" spans="1:9" x14ac:dyDescent="0.3">
      <c r="A1850" t="s">
        <v>296</v>
      </c>
      <c r="B1850" s="5">
        <v>41608</v>
      </c>
      <c r="C1850">
        <v>25</v>
      </c>
      <c r="D1850" t="s">
        <v>305</v>
      </c>
      <c r="E1850" t="s">
        <v>438</v>
      </c>
      <c r="F1850" t="s">
        <v>436</v>
      </c>
      <c r="G1850" t="s">
        <v>14</v>
      </c>
    </row>
    <row r="1851" spans="1:9" x14ac:dyDescent="0.3">
      <c r="A1851" t="s">
        <v>296</v>
      </c>
      <c r="B1851" s="5">
        <v>41608</v>
      </c>
      <c r="C1851">
        <v>-57.82</v>
      </c>
      <c r="D1851" t="s">
        <v>305</v>
      </c>
      <c r="E1851" t="s">
        <v>468</v>
      </c>
      <c r="F1851" t="s">
        <v>1385</v>
      </c>
      <c r="G1851" t="s">
        <v>334</v>
      </c>
    </row>
    <row r="1852" spans="1:9" x14ac:dyDescent="0.3">
      <c r="A1852" t="s">
        <v>296</v>
      </c>
      <c r="B1852" s="5">
        <v>41609</v>
      </c>
      <c r="C1852">
        <v>-31.94</v>
      </c>
      <c r="D1852" t="s">
        <v>305</v>
      </c>
      <c r="E1852" t="s">
        <v>1826</v>
      </c>
      <c r="F1852" t="s">
        <v>1827</v>
      </c>
      <c r="G1852" t="s">
        <v>360</v>
      </c>
    </row>
    <row r="1853" spans="1:9" x14ac:dyDescent="0.3">
      <c r="A1853" t="s">
        <v>296</v>
      </c>
      <c r="B1853" s="5">
        <v>41609</v>
      </c>
      <c r="C1853">
        <v>-39.5</v>
      </c>
      <c r="D1853" t="s">
        <v>305</v>
      </c>
      <c r="E1853" t="s">
        <v>442</v>
      </c>
      <c r="F1853" t="s">
        <v>1575</v>
      </c>
      <c r="G1853" t="s">
        <v>343</v>
      </c>
    </row>
    <row r="1854" spans="1:9" x14ac:dyDescent="0.3">
      <c r="A1854" t="s">
        <v>296</v>
      </c>
      <c r="B1854" s="5">
        <v>41609</v>
      </c>
      <c r="C1854">
        <v>-364.09</v>
      </c>
      <c r="D1854" t="s">
        <v>305</v>
      </c>
      <c r="E1854" t="s">
        <v>1828</v>
      </c>
      <c r="F1854" t="s">
        <v>1829</v>
      </c>
      <c r="G1854" t="s">
        <v>664</v>
      </c>
    </row>
    <row r="1855" spans="1:9" x14ac:dyDescent="0.3">
      <c r="A1855" t="s">
        <v>296</v>
      </c>
      <c r="B1855" s="5">
        <v>41609</v>
      </c>
      <c r="C1855">
        <v>-80</v>
      </c>
      <c r="D1855" t="s">
        <v>305</v>
      </c>
      <c r="E1855" t="s">
        <v>1512</v>
      </c>
      <c r="F1855" t="s">
        <v>1730</v>
      </c>
      <c r="G1855" t="s">
        <v>458</v>
      </c>
    </row>
    <row r="1856" spans="1:9" x14ac:dyDescent="0.3">
      <c r="A1856" t="s">
        <v>296</v>
      </c>
      <c r="B1856" s="5">
        <v>41610</v>
      </c>
      <c r="C1856">
        <v>-1</v>
      </c>
      <c r="D1856" t="s">
        <v>305</v>
      </c>
      <c r="E1856" t="s">
        <v>665</v>
      </c>
      <c r="F1856" t="s">
        <v>666</v>
      </c>
      <c r="G1856" t="s">
        <v>417</v>
      </c>
    </row>
    <row r="1857" spans="1:9" x14ac:dyDescent="0.3">
      <c r="A1857" t="s">
        <v>296</v>
      </c>
      <c r="B1857" s="5">
        <v>41610</v>
      </c>
      <c r="C1857">
        <v>-14.64</v>
      </c>
      <c r="D1857" t="s">
        <v>305</v>
      </c>
      <c r="E1857" t="s">
        <v>440</v>
      </c>
      <c r="F1857" t="s">
        <v>1755</v>
      </c>
      <c r="G1857" t="s">
        <v>441</v>
      </c>
    </row>
    <row r="1858" spans="1:9" x14ac:dyDescent="0.3">
      <c r="A1858" t="s">
        <v>296</v>
      </c>
      <c r="B1858" s="5">
        <v>41610</v>
      </c>
      <c r="C1858">
        <v>-20.84</v>
      </c>
      <c r="D1858" t="s">
        <v>305</v>
      </c>
      <c r="E1858" t="s">
        <v>452</v>
      </c>
      <c r="G1858" t="s">
        <v>453</v>
      </c>
      <c r="I1858" t="s">
        <v>272</v>
      </c>
    </row>
    <row r="1859" spans="1:9" x14ac:dyDescent="0.3">
      <c r="A1859" t="s">
        <v>296</v>
      </c>
      <c r="B1859" s="5">
        <v>41610</v>
      </c>
      <c r="C1859">
        <v>-61.9</v>
      </c>
      <c r="D1859" t="s">
        <v>305</v>
      </c>
      <c r="E1859" t="s">
        <v>452</v>
      </c>
      <c r="G1859" t="s">
        <v>454</v>
      </c>
      <c r="I1859" t="s">
        <v>272</v>
      </c>
    </row>
    <row r="1860" spans="1:9" x14ac:dyDescent="0.3">
      <c r="A1860" t="s">
        <v>296</v>
      </c>
      <c r="B1860" s="5">
        <v>41610</v>
      </c>
      <c r="C1860">
        <v>-46.29</v>
      </c>
      <c r="D1860" t="s">
        <v>305</v>
      </c>
      <c r="E1860" t="s">
        <v>452</v>
      </c>
      <c r="G1860" t="s">
        <v>455</v>
      </c>
      <c r="I1860" t="s">
        <v>272</v>
      </c>
    </row>
    <row r="1861" spans="1:9" x14ac:dyDescent="0.3">
      <c r="A1861" t="s">
        <v>296</v>
      </c>
      <c r="B1861" s="5">
        <v>41610</v>
      </c>
      <c r="C1861">
        <v>-8.2100000000000009</v>
      </c>
      <c r="D1861" t="s">
        <v>305</v>
      </c>
      <c r="E1861" t="s">
        <v>437</v>
      </c>
      <c r="F1861" t="s">
        <v>1802</v>
      </c>
      <c r="G1861" t="s">
        <v>343</v>
      </c>
    </row>
    <row r="1862" spans="1:9" x14ac:dyDescent="0.3">
      <c r="A1862" t="s">
        <v>296</v>
      </c>
      <c r="B1862" s="5">
        <v>41611</v>
      </c>
      <c r="C1862" s="4">
        <v>4026.67</v>
      </c>
      <c r="D1862" t="s">
        <v>305</v>
      </c>
      <c r="E1862" t="s">
        <v>322</v>
      </c>
      <c r="F1862" t="s">
        <v>1830</v>
      </c>
      <c r="G1862" t="s">
        <v>9</v>
      </c>
    </row>
    <row r="1863" spans="1:9" x14ac:dyDescent="0.3">
      <c r="A1863" t="s">
        <v>296</v>
      </c>
      <c r="B1863" s="5">
        <v>41611</v>
      </c>
      <c r="C1863">
        <v>-34.24</v>
      </c>
      <c r="D1863" t="s">
        <v>305</v>
      </c>
      <c r="E1863" t="s">
        <v>1831</v>
      </c>
      <c r="F1863" t="s">
        <v>1832</v>
      </c>
      <c r="G1863" t="s">
        <v>371</v>
      </c>
    </row>
    <row r="1864" spans="1:9" x14ac:dyDescent="0.3">
      <c r="A1864" t="s">
        <v>296</v>
      </c>
      <c r="B1864" s="5">
        <v>41611</v>
      </c>
      <c r="C1864">
        <v>-26.65</v>
      </c>
      <c r="D1864" t="s">
        <v>305</v>
      </c>
      <c r="E1864" t="s">
        <v>460</v>
      </c>
      <c r="F1864" t="s">
        <v>1833</v>
      </c>
      <c r="G1864" t="s">
        <v>342</v>
      </c>
      <c r="I1864" t="s">
        <v>272</v>
      </c>
    </row>
    <row r="1865" spans="1:9" x14ac:dyDescent="0.3">
      <c r="A1865" t="s">
        <v>296</v>
      </c>
      <c r="B1865" s="5">
        <v>41611</v>
      </c>
      <c r="C1865">
        <v>-13.95</v>
      </c>
      <c r="D1865" t="s">
        <v>305</v>
      </c>
      <c r="E1865" t="s">
        <v>460</v>
      </c>
      <c r="F1865" t="s">
        <v>1834</v>
      </c>
      <c r="G1865" t="s">
        <v>346</v>
      </c>
      <c r="I1865" t="s">
        <v>272</v>
      </c>
    </row>
    <row r="1866" spans="1:9" x14ac:dyDescent="0.3">
      <c r="A1866" t="s">
        <v>296</v>
      </c>
      <c r="B1866" s="5">
        <v>41611</v>
      </c>
      <c r="C1866">
        <v>-41.48</v>
      </c>
      <c r="D1866" t="s">
        <v>305</v>
      </c>
      <c r="E1866" t="s">
        <v>460</v>
      </c>
      <c r="F1866" t="s">
        <v>1835</v>
      </c>
      <c r="G1866" t="s">
        <v>346</v>
      </c>
    </row>
    <row r="1867" spans="1:9" x14ac:dyDescent="0.3">
      <c r="A1867" t="s">
        <v>296</v>
      </c>
      <c r="B1867" s="5">
        <v>41611</v>
      </c>
      <c r="C1867">
        <v>-23</v>
      </c>
      <c r="D1867" t="s">
        <v>305</v>
      </c>
      <c r="E1867" t="s">
        <v>460</v>
      </c>
      <c r="F1867" t="s">
        <v>1836</v>
      </c>
      <c r="G1867" t="s">
        <v>20</v>
      </c>
      <c r="I1867" t="s">
        <v>272</v>
      </c>
    </row>
    <row r="1868" spans="1:9" x14ac:dyDescent="0.3">
      <c r="A1868" t="s">
        <v>296</v>
      </c>
      <c r="B1868" s="5">
        <v>41611</v>
      </c>
      <c r="C1868">
        <v>-67.27</v>
      </c>
      <c r="D1868" t="s">
        <v>305</v>
      </c>
      <c r="E1868" t="s">
        <v>460</v>
      </c>
      <c r="F1868" t="s">
        <v>1837</v>
      </c>
      <c r="G1868" t="s">
        <v>346</v>
      </c>
      <c r="I1868" t="s">
        <v>272</v>
      </c>
    </row>
    <row r="1869" spans="1:9" x14ac:dyDescent="0.3">
      <c r="A1869" t="s">
        <v>296</v>
      </c>
      <c r="B1869" s="5">
        <v>41612</v>
      </c>
      <c r="C1869">
        <v>-19.309999999999999</v>
      </c>
      <c r="D1869" t="s">
        <v>305</v>
      </c>
      <c r="E1869" t="s">
        <v>442</v>
      </c>
      <c r="F1869" t="s">
        <v>1499</v>
      </c>
      <c r="G1869" t="s">
        <v>343</v>
      </c>
    </row>
    <row r="1870" spans="1:9" x14ac:dyDescent="0.3">
      <c r="A1870" t="s">
        <v>296</v>
      </c>
      <c r="B1870" s="5">
        <v>41612</v>
      </c>
      <c r="C1870">
        <v>-43.79</v>
      </c>
      <c r="D1870" t="s">
        <v>305</v>
      </c>
      <c r="E1870" t="s">
        <v>460</v>
      </c>
      <c r="F1870" t="s">
        <v>1838</v>
      </c>
      <c r="G1870" t="s">
        <v>346</v>
      </c>
    </row>
    <row r="1871" spans="1:9" x14ac:dyDescent="0.3">
      <c r="A1871" t="s">
        <v>296</v>
      </c>
      <c r="B1871" s="5">
        <v>41613</v>
      </c>
      <c r="C1871">
        <v>-19.510000000000002</v>
      </c>
      <c r="D1871" t="s">
        <v>305</v>
      </c>
      <c r="E1871" t="s">
        <v>1312</v>
      </c>
      <c r="F1871" t="s">
        <v>1839</v>
      </c>
      <c r="G1871" t="s">
        <v>334</v>
      </c>
    </row>
    <row r="1872" spans="1:9" x14ac:dyDescent="0.3">
      <c r="A1872" t="s">
        <v>296</v>
      </c>
      <c r="B1872" s="5">
        <v>41614</v>
      </c>
      <c r="C1872">
        <v>-250.76</v>
      </c>
      <c r="D1872" t="s">
        <v>305</v>
      </c>
      <c r="E1872" t="s">
        <v>460</v>
      </c>
      <c r="F1872" t="s">
        <v>1840</v>
      </c>
      <c r="G1872" t="s">
        <v>342</v>
      </c>
    </row>
    <row r="1873" spans="1:7" x14ac:dyDescent="0.3">
      <c r="A1873" t="s">
        <v>296</v>
      </c>
      <c r="B1873" s="5">
        <v>41614</v>
      </c>
      <c r="C1873">
        <v>-55.58</v>
      </c>
      <c r="D1873" t="s">
        <v>305</v>
      </c>
      <c r="E1873" t="s">
        <v>1479</v>
      </c>
      <c r="G1873" t="s">
        <v>334</v>
      </c>
    </row>
    <row r="1874" spans="1:7" x14ac:dyDescent="0.3">
      <c r="A1874" t="s">
        <v>296</v>
      </c>
      <c r="B1874" s="5">
        <v>41615</v>
      </c>
      <c r="C1874">
        <v>25</v>
      </c>
      <c r="D1874" t="s">
        <v>305</v>
      </c>
      <c r="E1874" t="s">
        <v>438</v>
      </c>
      <c r="G1874" t="s">
        <v>14</v>
      </c>
    </row>
    <row r="1875" spans="1:7" x14ac:dyDescent="0.3">
      <c r="A1875" t="s">
        <v>296</v>
      </c>
      <c r="B1875" s="5">
        <v>41615</v>
      </c>
      <c r="C1875">
        <v>-16.41</v>
      </c>
      <c r="D1875" t="s">
        <v>305</v>
      </c>
      <c r="E1875" t="s">
        <v>1841</v>
      </c>
      <c r="F1875" t="s">
        <v>1842</v>
      </c>
      <c r="G1875" t="s">
        <v>20</v>
      </c>
    </row>
    <row r="1876" spans="1:7" x14ac:dyDescent="0.3">
      <c r="A1876" t="s">
        <v>296</v>
      </c>
      <c r="B1876" s="5">
        <v>41615</v>
      </c>
      <c r="C1876">
        <v>-27.36</v>
      </c>
      <c r="D1876" t="s">
        <v>305</v>
      </c>
      <c r="E1876" t="s">
        <v>1843</v>
      </c>
      <c r="F1876" t="s">
        <v>1844</v>
      </c>
      <c r="G1876" t="s">
        <v>360</v>
      </c>
    </row>
    <row r="1877" spans="1:7" x14ac:dyDescent="0.3">
      <c r="A1877" t="s">
        <v>296</v>
      </c>
      <c r="B1877" s="5">
        <v>41615</v>
      </c>
      <c r="C1877">
        <v>-28.45</v>
      </c>
      <c r="D1877" t="s">
        <v>305</v>
      </c>
      <c r="E1877" t="s">
        <v>442</v>
      </c>
      <c r="G1877" t="s">
        <v>343</v>
      </c>
    </row>
    <row r="1878" spans="1:7" x14ac:dyDescent="0.3">
      <c r="A1878" t="s">
        <v>296</v>
      </c>
      <c r="B1878" s="5">
        <v>41615</v>
      </c>
      <c r="C1878">
        <v>-48.5</v>
      </c>
      <c r="D1878" t="s">
        <v>305</v>
      </c>
      <c r="E1878" t="s">
        <v>1206</v>
      </c>
      <c r="G1878" t="s">
        <v>334</v>
      </c>
    </row>
    <row r="1879" spans="1:7" x14ac:dyDescent="0.3">
      <c r="A1879" t="s">
        <v>296</v>
      </c>
      <c r="B1879" s="5">
        <v>41615</v>
      </c>
      <c r="C1879">
        <v>-76.36</v>
      </c>
      <c r="D1879" t="s">
        <v>305</v>
      </c>
      <c r="E1879" t="s">
        <v>442</v>
      </c>
      <c r="G1879" t="s">
        <v>343</v>
      </c>
    </row>
    <row r="1880" spans="1:7" x14ac:dyDescent="0.3">
      <c r="A1880" t="s">
        <v>296</v>
      </c>
      <c r="B1880" s="5">
        <v>41615</v>
      </c>
      <c r="C1880">
        <v>-104.99</v>
      </c>
      <c r="D1880" t="s">
        <v>305</v>
      </c>
      <c r="E1880" t="s">
        <v>1845</v>
      </c>
      <c r="G1880" t="s">
        <v>404</v>
      </c>
    </row>
    <row r="1881" spans="1:7" x14ac:dyDescent="0.3">
      <c r="A1881" t="s">
        <v>296</v>
      </c>
      <c r="B1881" s="5">
        <v>41616</v>
      </c>
      <c r="C1881">
        <v>-7.62</v>
      </c>
      <c r="D1881" t="s">
        <v>305</v>
      </c>
      <c r="E1881" t="s">
        <v>406</v>
      </c>
      <c r="F1881" t="s">
        <v>1471</v>
      </c>
      <c r="G1881" t="s">
        <v>20</v>
      </c>
    </row>
    <row r="1882" spans="1:7" x14ac:dyDescent="0.3">
      <c r="A1882" t="s">
        <v>296</v>
      </c>
      <c r="B1882" s="5">
        <v>41616</v>
      </c>
      <c r="C1882">
        <v>-45</v>
      </c>
      <c r="D1882" t="s">
        <v>305</v>
      </c>
      <c r="E1882" t="s">
        <v>1846</v>
      </c>
      <c r="F1882" t="s">
        <v>1847</v>
      </c>
      <c r="G1882" t="s">
        <v>360</v>
      </c>
    </row>
    <row r="1883" spans="1:7" x14ac:dyDescent="0.3">
      <c r="A1883" t="s">
        <v>296</v>
      </c>
      <c r="B1883" s="5">
        <v>41621</v>
      </c>
      <c r="C1883">
        <v>-1</v>
      </c>
      <c r="D1883" t="s">
        <v>305</v>
      </c>
      <c r="E1883" t="s">
        <v>462</v>
      </c>
      <c r="G1883" t="s">
        <v>441</v>
      </c>
    </row>
    <row r="1884" spans="1:7" x14ac:dyDescent="0.3">
      <c r="A1884" t="s">
        <v>296</v>
      </c>
      <c r="B1884" s="5">
        <v>41621</v>
      </c>
      <c r="C1884">
        <v>-33.65</v>
      </c>
      <c r="D1884" t="s">
        <v>305</v>
      </c>
      <c r="E1884" t="s">
        <v>460</v>
      </c>
      <c r="F1884" t="s">
        <v>1848</v>
      </c>
      <c r="G1884" t="s">
        <v>20</v>
      </c>
    </row>
    <row r="1885" spans="1:7" x14ac:dyDescent="0.3">
      <c r="A1885" t="s">
        <v>296</v>
      </c>
      <c r="B1885" s="5">
        <v>41621</v>
      </c>
      <c r="C1885">
        <v>-43.79</v>
      </c>
      <c r="D1885" t="s">
        <v>305</v>
      </c>
      <c r="E1885" t="s">
        <v>1849</v>
      </c>
      <c r="F1885" t="s">
        <v>1850</v>
      </c>
      <c r="G1885" t="s">
        <v>359</v>
      </c>
    </row>
    <row r="1886" spans="1:7" x14ac:dyDescent="0.3">
      <c r="A1886" t="s">
        <v>296</v>
      </c>
      <c r="B1886" s="5">
        <v>41621</v>
      </c>
      <c r="C1886">
        <v>-185.6</v>
      </c>
      <c r="D1886" t="s">
        <v>305</v>
      </c>
      <c r="E1886" t="s">
        <v>1851</v>
      </c>
      <c r="F1886" t="s">
        <v>1852</v>
      </c>
    </row>
    <row r="1887" spans="1:7" x14ac:dyDescent="0.3">
      <c r="A1887" t="s">
        <v>296</v>
      </c>
      <c r="B1887" s="5">
        <v>41622</v>
      </c>
      <c r="C1887">
        <v>-1.85</v>
      </c>
      <c r="D1887" t="s">
        <v>305</v>
      </c>
      <c r="E1887" t="s">
        <v>1853</v>
      </c>
      <c r="F1887" t="s">
        <v>1854</v>
      </c>
      <c r="G1887" t="s">
        <v>360</v>
      </c>
    </row>
    <row r="1888" spans="1:7" x14ac:dyDescent="0.3">
      <c r="A1888" t="s">
        <v>296</v>
      </c>
      <c r="B1888" s="5">
        <v>41622</v>
      </c>
      <c r="C1888">
        <v>-15.87</v>
      </c>
      <c r="D1888" t="s">
        <v>305</v>
      </c>
      <c r="E1888" t="s">
        <v>435</v>
      </c>
      <c r="F1888" t="s">
        <v>1855</v>
      </c>
      <c r="G1888" t="s">
        <v>637</v>
      </c>
    </row>
    <row r="1889" spans="1:9" x14ac:dyDescent="0.3">
      <c r="A1889" t="s">
        <v>296</v>
      </c>
      <c r="B1889" s="5">
        <v>41622</v>
      </c>
      <c r="C1889">
        <v>-16.78</v>
      </c>
      <c r="D1889" t="s">
        <v>305</v>
      </c>
      <c r="E1889" t="s">
        <v>1856</v>
      </c>
      <c r="F1889" t="s">
        <v>1857</v>
      </c>
      <c r="G1889" t="s">
        <v>334</v>
      </c>
    </row>
    <row r="1890" spans="1:9" x14ac:dyDescent="0.3">
      <c r="A1890" t="s">
        <v>296</v>
      </c>
      <c r="B1890" s="5">
        <v>41622</v>
      </c>
      <c r="C1890">
        <v>-18.48</v>
      </c>
      <c r="D1890" t="s">
        <v>305</v>
      </c>
      <c r="E1890" t="s">
        <v>1858</v>
      </c>
      <c r="F1890" t="s">
        <v>1857</v>
      </c>
      <c r="G1890" t="s">
        <v>334</v>
      </c>
    </row>
    <row r="1891" spans="1:9" x14ac:dyDescent="0.3">
      <c r="A1891" t="s">
        <v>296</v>
      </c>
      <c r="B1891" s="5">
        <v>41622</v>
      </c>
      <c r="C1891">
        <v>-26.73</v>
      </c>
      <c r="D1891" t="s">
        <v>305</v>
      </c>
      <c r="E1891" t="s">
        <v>1567</v>
      </c>
      <c r="G1891" t="s">
        <v>417</v>
      </c>
    </row>
    <row r="1892" spans="1:9" x14ac:dyDescent="0.3">
      <c r="A1892" t="s">
        <v>296</v>
      </c>
      <c r="B1892" s="5">
        <v>41622</v>
      </c>
      <c r="C1892">
        <v>-60.39</v>
      </c>
      <c r="D1892" t="s">
        <v>305</v>
      </c>
      <c r="E1892" t="s">
        <v>443</v>
      </c>
      <c r="G1892" t="s">
        <v>343</v>
      </c>
    </row>
    <row r="1893" spans="1:9" x14ac:dyDescent="0.3">
      <c r="A1893" t="s">
        <v>296</v>
      </c>
      <c r="B1893" s="5">
        <v>41622</v>
      </c>
      <c r="C1893">
        <v>-3.27</v>
      </c>
      <c r="D1893" t="s">
        <v>305</v>
      </c>
      <c r="E1893" t="s">
        <v>442</v>
      </c>
      <c r="F1893" t="s">
        <v>1859</v>
      </c>
      <c r="G1893" t="s">
        <v>20</v>
      </c>
      <c r="I1893" t="s">
        <v>272</v>
      </c>
    </row>
    <row r="1894" spans="1:9" x14ac:dyDescent="0.3">
      <c r="A1894" t="s">
        <v>296</v>
      </c>
      <c r="B1894" s="5">
        <v>41622</v>
      </c>
      <c r="C1894">
        <v>-79.47</v>
      </c>
      <c r="D1894" t="s">
        <v>305</v>
      </c>
      <c r="E1894" t="s">
        <v>442</v>
      </c>
      <c r="G1894" t="s">
        <v>343</v>
      </c>
      <c r="I1894" t="s">
        <v>272</v>
      </c>
    </row>
    <row r="1895" spans="1:9" x14ac:dyDescent="0.3">
      <c r="A1895" t="s">
        <v>296</v>
      </c>
      <c r="B1895" s="5">
        <v>41622</v>
      </c>
      <c r="C1895">
        <v>-6.56</v>
      </c>
      <c r="D1895" t="s">
        <v>305</v>
      </c>
      <c r="E1895" t="s">
        <v>442</v>
      </c>
      <c r="F1895" t="s">
        <v>1860</v>
      </c>
      <c r="G1895" t="s">
        <v>637</v>
      </c>
      <c r="I1895" t="s">
        <v>272</v>
      </c>
    </row>
    <row r="1896" spans="1:9" x14ac:dyDescent="0.3">
      <c r="A1896" t="s">
        <v>296</v>
      </c>
      <c r="B1896" s="5">
        <v>41622</v>
      </c>
      <c r="C1896">
        <v>-59.89</v>
      </c>
      <c r="D1896" t="s">
        <v>305</v>
      </c>
      <c r="E1896" t="s">
        <v>446</v>
      </c>
      <c r="G1896" t="s">
        <v>20</v>
      </c>
      <c r="I1896" t="s">
        <v>272</v>
      </c>
    </row>
    <row r="1897" spans="1:9" x14ac:dyDescent="0.3">
      <c r="A1897" t="s">
        <v>296</v>
      </c>
      <c r="B1897" s="5">
        <v>41622</v>
      </c>
      <c r="C1897">
        <v>-41.23</v>
      </c>
      <c r="D1897" t="s">
        <v>305</v>
      </c>
      <c r="E1897" t="s">
        <v>446</v>
      </c>
      <c r="G1897" t="s">
        <v>346</v>
      </c>
      <c r="I1897" t="s">
        <v>272</v>
      </c>
    </row>
    <row r="1898" spans="1:9" x14ac:dyDescent="0.3">
      <c r="A1898" t="s">
        <v>296</v>
      </c>
      <c r="B1898" s="5">
        <v>41622</v>
      </c>
      <c r="C1898">
        <v>-203.38</v>
      </c>
      <c r="D1898" t="s">
        <v>305</v>
      </c>
      <c r="E1898" t="s">
        <v>460</v>
      </c>
      <c r="F1898" t="s">
        <v>1861</v>
      </c>
      <c r="G1898" t="s">
        <v>342</v>
      </c>
    </row>
    <row r="1899" spans="1:9" x14ac:dyDescent="0.3">
      <c r="A1899" t="s">
        <v>296</v>
      </c>
      <c r="B1899" s="5">
        <v>41623</v>
      </c>
      <c r="C1899">
        <v>-14.24</v>
      </c>
      <c r="D1899" t="s">
        <v>305</v>
      </c>
      <c r="E1899" t="s">
        <v>482</v>
      </c>
      <c r="F1899" t="s">
        <v>1862</v>
      </c>
      <c r="G1899" t="s">
        <v>458</v>
      </c>
    </row>
    <row r="1900" spans="1:9" x14ac:dyDescent="0.3">
      <c r="A1900" t="s">
        <v>296</v>
      </c>
      <c r="B1900" s="5">
        <v>41623</v>
      </c>
      <c r="C1900">
        <v>-21.98</v>
      </c>
      <c r="D1900" t="s">
        <v>305</v>
      </c>
      <c r="E1900" t="s">
        <v>482</v>
      </c>
      <c r="F1900" t="s">
        <v>1863</v>
      </c>
      <c r="G1900" t="s">
        <v>334</v>
      </c>
    </row>
    <row r="1901" spans="1:9" x14ac:dyDescent="0.3">
      <c r="A1901" t="s">
        <v>296</v>
      </c>
      <c r="B1901" s="5">
        <v>41623</v>
      </c>
      <c r="C1901">
        <v>-33.15</v>
      </c>
      <c r="D1901" t="s">
        <v>305</v>
      </c>
      <c r="E1901" t="s">
        <v>460</v>
      </c>
      <c r="G1901" t="s">
        <v>20</v>
      </c>
    </row>
    <row r="1902" spans="1:9" x14ac:dyDescent="0.3">
      <c r="A1902" t="s">
        <v>296</v>
      </c>
      <c r="B1902" s="5">
        <v>41624</v>
      </c>
      <c r="C1902">
        <v>-12.78</v>
      </c>
      <c r="D1902" t="s">
        <v>305</v>
      </c>
      <c r="E1902" t="s">
        <v>1864</v>
      </c>
      <c r="F1902" t="s">
        <v>483</v>
      </c>
      <c r="G1902" t="s">
        <v>343</v>
      </c>
    </row>
    <row r="1903" spans="1:9" x14ac:dyDescent="0.3">
      <c r="A1903" t="s">
        <v>296</v>
      </c>
      <c r="B1903" s="5">
        <v>41624</v>
      </c>
      <c r="C1903">
        <v>-13.13</v>
      </c>
      <c r="D1903" t="s">
        <v>305</v>
      </c>
      <c r="E1903" t="s">
        <v>1865</v>
      </c>
      <c r="F1903" t="s">
        <v>1866</v>
      </c>
      <c r="G1903" t="s">
        <v>17</v>
      </c>
    </row>
    <row r="1904" spans="1:9" x14ac:dyDescent="0.3">
      <c r="A1904" t="s">
        <v>296</v>
      </c>
      <c r="B1904" s="5">
        <v>41624</v>
      </c>
      <c r="C1904">
        <v>-14.65</v>
      </c>
      <c r="D1904" t="s">
        <v>305</v>
      </c>
      <c r="E1904" t="s">
        <v>1867</v>
      </c>
      <c r="G1904" t="s">
        <v>343</v>
      </c>
    </row>
    <row r="1905" spans="1:7" x14ac:dyDescent="0.3">
      <c r="A1905" t="s">
        <v>296</v>
      </c>
      <c r="B1905" s="5">
        <v>41624</v>
      </c>
      <c r="C1905">
        <v>-16.21</v>
      </c>
      <c r="D1905" t="s">
        <v>305</v>
      </c>
      <c r="E1905" t="s">
        <v>1868</v>
      </c>
      <c r="F1905" t="s">
        <v>1869</v>
      </c>
      <c r="G1905" t="s">
        <v>20</v>
      </c>
    </row>
    <row r="1906" spans="1:7" x14ac:dyDescent="0.3">
      <c r="A1906" t="s">
        <v>296</v>
      </c>
      <c r="B1906" s="5">
        <v>41624</v>
      </c>
      <c r="C1906">
        <v>-19.989999999999998</v>
      </c>
      <c r="D1906" t="s">
        <v>305</v>
      </c>
      <c r="E1906" t="s">
        <v>1870</v>
      </c>
      <c r="F1906" t="s">
        <v>1871</v>
      </c>
      <c r="G1906" t="s">
        <v>20</v>
      </c>
    </row>
    <row r="1907" spans="1:7" x14ac:dyDescent="0.3">
      <c r="A1907" t="s">
        <v>296</v>
      </c>
      <c r="B1907" s="5">
        <v>41624</v>
      </c>
      <c r="C1907">
        <v>-21.97</v>
      </c>
      <c r="D1907" t="s">
        <v>305</v>
      </c>
      <c r="E1907" t="s">
        <v>1872</v>
      </c>
      <c r="G1907" t="s">
        <v>20</v>
      </c>
    </row>
    <row r="1908" spans="1:7" x14ac:dyDescent="0.3">
      <c r="A1908" t="s">
        <v>296</v>
      </c>
      <c r="B1908" s="5">
        <v>41624</v>
      </c>
      <c r="C1908">
        <v>-27.36</v>
      </c>
      <c r="D1908" t="s">
        <v>305</v>
      </c>
      <c r="E1908" t="s">
        <v>1873</v>
      </c>
      <c r="F1908" t="s">
        <v>1874</v>
      </c>
      <c r="G1908" t="s">
        <v>360</v>
      </c>
    </row>
    <row r="1909" spans="1:7" x14ac:dyDescent="0.3">
      <c r="A1909" t="s">
        <v>296</v>
      </c>
      <c r="B1909" s="5">
        <v>41624</v>
      </c>
      <c r="C1909">
        <v>-29.51</v>
      </c>
      <c r="D1909" t="s">
        <v>305</v>
      </c>
      <c r="E1909" t="s">
        <v>1875</v>
      </c>
      <c r="F1909" t="s">
        <v>1876</v>
      </c>
      <c r="G1909" t="s">
        <v>20</v>
      </c>
    </row>
    <row r="1910" spans="1:7" x14ac:dyDescent="0.3">
      <c r="A1910" t="s">
        <v>296</v>
      </c>
      <c r="B1910" s="5">
        <v>41624</v>
      </c>
      <c r="C1910">
        <v>-39.42</v>
      </c>
      <c r="D1910" t="s">
        <v>305</v>
      </c>
      <c r="E1910" t="s">
        <v>648</v>
      </c>
      <c r="G1910" t="s">
        <v>17</v>
      </c>
    </row>
    <row r="1911" spans="1:7" x14ac:dyDescent="0.3">
      <c r="A1911" t="s">
        <v>296</v>
      </c>
      <c r="B1911" s="5">
        <v>41624</v>
      </c>
      <c r="C1911">
        <v>-83.76</v>
      </c>
      <c r="D1911" t="s">
        <v>305</v>
      </c>
      <c r="E1911" t="s">
        <v>1873</v>
      </c>
      <c r="F1911" t="s">
        <v>1877</v>
      </c>
      <c r="G1911" t="s">
        <v>360</v>
      </c>
    </row>
    <row r="1912" spans="1:7" x14ac:dyDescent="0.3">
      <c r="A1912" t="s">
        <v>296</v>
      </c>
      <c r="B1912" s="5">
        <v>41625</v>
      </c>
      <c r="C1912">
        <v>-1.61</v>
      </c>
      <c r="D1912" t="s">
        <v>305</v>
      </c>
      <c r="E1912" t="s">
        <v>1878</v>
      </c>
      <c r="F1912" t="s">
        <v>1879</v>
      </c>
      <c r="G1912" t="s">
        <v>360</v>
      </c>
    </row>
    <row r="1913" spans="1:7" x14ac:dyDescent="0.3">
      <c r="A1913" t="s">
        <v>296</v>
      </c>
      <c r="B1913" s="5">
        <v>41625</v>
      </c>
      <c r="C1913">
        <v>-8.86</v>
      </c>
      <c r="D1913" t="s">
        <v>305</v>
      </c>
      <c r="E1913" t="s">
        <v>437</v>
      </c>
      <c r="F1913" t="s">
        <v>484</v>
      </c>
      <c r="G1913" t="s">
        <v>343</v>
      </c>
    </row>
    <row r="1914" spans="1:7" x14ac:dyDescent="0.3">
      <c r="A1914" t="s">
        <v>296</v>
      </c>
      <c r="B1914" s="5">
        <v>41625</v>
      </c>
      <c r="C1914">
        <v>-16.41</v>
      </c>
      <c r="D1914" t="s">
        <v>305</v>
      </c>
      <c r="E1914" t="s">
        <v>1867</v>
      </c>
      <c r="F1914" t="s">
        <v>1880</v>
      </c>
      <c r="G1914" t="s">
        <v>360</v>
      </c>
    </row>
    <row r="1915" spans="1:7" x14ac:dyDescent="0.3">
      <c r="A1915" t="s">
        <v>296</v>
      </c>
      <c r="B1915" s="5">
        <v>41625</v>
      </c>
      <c r="C1915">
        <v>-26</v>
      </c>
      <c r="D1915" t="s">
        <v>305</v>
      </c>
      <c r="E1915" t="s">
        <v>1881</v>
      </c>
      <c r="F1915" t="s">
        <v>1882</v>
      </c>
      <c r="G1915" t="s">
        <v>17</v>
      </c>
    </row>
    <row r="1916" spans="1:7" x14ac:dyDescent="0.3">
      <c r="A1916" t="s">
        <v>296</v>
      </c>
      <c r="B1916" s="5">
        <v>41626</v>
      </c>
      <c r="C1916">
        <v>-4</v>
      </c>
      <c r="D1916" t="s">
        <v>305</v>
      </c>
      <c r="E1916" t="s">
        <v>1883</v>
      </c>
      <c r="F1916" t="s">
        <v>1884</v>
      </c>
      <c r="G1916" t="s">
        <v>17</v>
      </c>
    </row>
    <row r="1917" spans="1:7" x14ac:dyDescent="0.3">
      <c r="A1917" t="s">
        <v>296</v>
      </c>
      <c r="B1917" s="5">
        <v>41626</v>
      </c>
      <c r="C1917">
        <v>-23.75</v>
      </c>
      <c r="D1917" t="s">
        <v>305</v>
      </c>
      <c r="E1917" t="s">
        <v>1885</v>
      </c>
      <c r="F1917" t="s">
        <v>1886</v>
      </c>
      <c r="G1917" t="s">
        <v>20</v>
      </c>
    </row>
    <row r="1918" spans="1:7" x14ac:dyDescent="0.3">
      <c r="A1918" t="s">
        <v>296</v>
      </c>
      <c r="B1918" s="5">
        <v>41626</v>
      </c>
      <c r="C1918">
        <v>-26</v>
      </c>
      <c r="D1918" t="s">
        <v>305</v>
      </c>
      <c r="E1918" t="s">
        <v>1887</v>
      </c>
      <c r="F1918" t="s">
        <v>1888</v>
      </c>
      <c r="G1918" t="s">
        <v>20</v>
      </c>
    </row>
    <row r="1919" spans="1:7" x14ac:dyDescent="0.3">
      <c r="A1919" t="s">
        <v>296</v>
      </c>
      <c r="B1919" s="5">
        <v>41627</v>
      </c>
      <c r="C1919">
        <v>25</v>
      </c>
      <c r="D1919" t="s">
        <v>305</v>
      </c>
      <c r="E1919" t="s">
        <v>438</v>
      </c>
      <c r="F1919" t="s">
        <v>436</v>
      </c>
      <c r="G1919" t="s">
        <v>14</v>
      </c>
    </row>
    <row r="1920" spans="1:7" x14ac:dyDescent="0.3">
      <c r="A1920" t="s">
        <v>296</v>
      </c>
      <c r="B1920" s="5">
        <v>41627</v>
      </c>
      <c r="C1920">
        <v>250.76</v>
      </c>
      <c r="D1920" t="s">
        <v>305</v>
      </c>
      <c r="E1920" t="s">
        <v>1889</v>
      </c>
      <c r="F1920" t="s">
        <v>1890</v>
      </c>
      <c r="G1920" t="s">
        <v>342</v>
      </c>
    </row>
    <row r="1921" spans="1:9" x14ac:dyDescent="0.3">
      <c r="A1921" t="s">
        <v>296</v>
      </c>
      <c r="B1921" s="5">
        <v>41627</v>
      </c>
      <c r="C1921">
        <v>-6</v>
      </c>
      <c r="D1921" t="s">
        <v>305</v>
      </c>
      <c r="E1921" t="s">
        <v>1891</v>
      </c>
      <c r="F1921" t="s">
        <v>485</v>
      </c>
      <c r="G1921" t="s">
        <v>441</v>
      </c>
    </row>
    <row r="1922" spans="1:9" x14ac:dyDescent="0.3">
      <c r="A1922" t="s">
        <v>296</v>
      </c>
      <c r="B1922" s="5">
        <v>41627</v>
      </c>
      <c r="C1922">
        <v>-12.81</v>
      </c>
      <c r="D1922" t="s">
        <v>305</v>
      </c>
      <c r="E1922" t="s">
        <v>1892</v>
      </c>
      <c r="F1922" t="s">
        <v>1893</v>
      </c>
      <c r="G1922" t="s">
        <v>360</v>
      </c>
    </row>
    <row r="1923" spans="1:9" x14ac:dyDescent="0.3">
      <c r="A1923" t="s">
        <v>296</v>
      </c>
      <c r="B1923" s="5">
        <v>41627</v>
      </c>
      <c r="C1923">
        <v>-34.159999999999997</v>
      </c>
      <c r="D1923" t="s">
        <v>305</v>
      </c>
      <c r="E1923" t="s">
        <v>1894</v>
      </c>
      <c r="F1923" t="s">
        <v>1850</v>
      </c>
      <c r="G1923" t="s">
        <v>359</v>
      </c>
    </row>
    <row r="1924" spans="1:9" x14ac:dyDescent="0.3">
      <c r="A1924" t="s">
        <v>296</v>
      </c>
      <c r="B1924" s="5">
        <v>41627</v>
      </c>
      <c r="C1924">
        <v>-16.43</v>
      </c>
      <c r="D1924" t="s">
        <v>305</v>
      </c>
      <c r="E1924" t="s">
        <v>431</v>
      </c>
      <c r="F1924" t="s">
        <v>1895</v>
      </c>
      <c r="G1924" t="s">
        <v>652</v>
      </c>
    </row>
    <row r="1925" spans="1:9" x14ac:dyDescent="0.3">
      <c r="A1925" t="s">
        <v>296</v>
      </c>
      <c r="B1925" s="5">
        <v>41627</v>
      </c>
      <c r="C1925">
        <v>-30.42</v>
      </c>
      <c r="D1925" t="s">
        <v>305</v>
      </c>
      <c r="E1925" t="s">
        <v>448</v>
      </c>
      <c r="G1925" t="s">
        <v>20</v>
      </c>
    </row>
    <row r="1926" spans="1:9" x14ac:dyDescent="0.3">
      <c r="A1926" t="s">
        <v>296</v>
      </c>
      <c r="B1926" s="5">
        <v>41627</v>
      </c>
      <c r="C1926">
        <v>-86.72</v>
      </c>
      <c r="D1926" t="s">
        <v>305</v>
      </c>
      <c r="E1926" t="s">
        <v>1652</v>
      </c>
      <c r="F1926" t="s">
        <v>1896</v>
      </c>
      <c r="G1926" t="s">
        <v>334</v>
      </c>
    </row>
    <row r="1927" spans="1:9" x14ac:dyDescent="0.3">
      <c r="A1927" t="s">
        <v>296</v>
      </c>
      <c r="B1927" s="5">
        <v>41628</v>
      </c>
      <c r="C1927">
        <v>-2.75</v>
      </c>
      <c r="D1927" t="s">
        <v>305</v>
      </c>
      <c r="E1927" t="s">
        <v>462</v>
      </c>
      <c r="F1927" t="s">
        <v>486</v>
      </c>
      <c r="G1927" t="s">
        <v>441</v>
      </c>
    </row>
    <row r="1928" spans="1:9" x14ac:dyDescent="0.3">
      <c r="A1928" t="s">
        <v>296</v>
      </c>
      <c r="B1928" s="5">
        <v>41628</v>
      </c>
      <c r="C1928">
        <v>-17.93</v>
      </c>
      <c r="D1928" t="s">
        <v>305</v>
      </c>
      <c r="E1928" t="s">
        <v>442</v>
      </c>
      <c r="F1928" t="s">
        <v>487</v>
      </c>
      <c r="G1928" t="s">
        <v>343</v>
      </c>
    </row>
    <row r="1929" spans="1:9" x14ac:dyDescent="0.3">
      <c r="A1929" t="s">
        <v>296</v>
      </c>
      <c r="B1929" s="5">
        <v>41628</v>
      </c>
      <c r="C1929">
        <v>-20.79</v>
      </c>
      <c r="D1929" t="s">
        <v>305</v>
      </c>
      <c r="E1929" t="s">
        <v>1897</v>
      </c>
      <c r="F1929" t="s">
        <v>1898</v>
      </c>
      <c r="G1929" t="s">
        <v>334</v>
      </c>
    </row>
    <row r="1930" spans="1:9" x14ac:dyDescent="0.3">
      <c r="A1930" t="s">
        <v>296</v>
      </c>
      <c r="B1930" s="5">
        <v>41629</v>
      </c>
      <c r="C1930">
        <v>-38.32</v>
      </c>
      <c r="D1930" t="s">
        <v>305</v>
      </c>
      <c r="E1930" t="s">
        <v>1899</v>
      </c>
      <c r="F1930" t="s">
        <v>1900</v>
      </c>
      <c r="G1930" t="s">
        <v>69</v>
      </c>
    </row>
    <row r="1931" spans="1:9" x14ac:dyDescent="0.3">
      <c r="A1931" t="s">
        <v>296</v>
      </c>
      <c r="B1931" s="5">
        <v>41629</v>
      </c>
      <c r="C1931">
        <v>-73.349999999999994</v>
      </c>
      <c r="D1931" t="s">
        <v>305</v>
      </c>
      <c r="E1931" t="s">
        <v>443</v>
      </c>
      <c r="F1931" t="s">
        <v>488</v>
      </c>
      <c r="G1931" t="s">
        <v>343</v>
      </c>
    </row>
    <row r="1932" spans="1:9" x14ac:dyDescent="0.3">
      <c r="A1932" t="s">
        <v>296</v>
      </c>
      <c r="B1932" s="5">
        <v>41629</v>
      </c>
      <c r="C1932">
        <v>-78</v>
      </c>
      <c r="D1932" t="s">
        <v>305</v>
      </c>
      <c r="E1932" t="s">
        <v>442</v>
      </c>
      <c r="F1932" t="s">
        <v>1901</v>
      </c>
      <c r="G1932" t="s">
        <v>69</v>
      </c>
      <c r="I1932" t="s">
        <v>272</v>
      </c>
    </row>
    <row r="1933" spans="1:9" x14ac:dyDescent="0.3">
      <c r="A1933" t="s">
        <v>296</v>
      </c>
      <c r="B1933" s="5">
        <v>41629</v>
      </c>
      <c r="C1933">
        <v>-69.8</v>
      </c>
      <c r="D1933" t="s">
        <v>305</v>
      </c>
      <c r="E1933" t="s">
        <v>442</v>
      </c>
      <c r="G1933" t="s">
        <v>343</v>
      </c>
      <c r="I1933" t="s">
        <v>272</v>
      </c>
    </row>
    <row r="1934" spans="1:9" x14ac:dyDescent="0.3">
      <c r="A1934" t="s">
        <v>296</v>
      </c>
      <c r="B1934" s="5">
        <v>41629</v>
      </c>
      <c r="C1934">
        <v>-7.5</v>
      </c>
      <c r="D1934" t="s">
        <v>305</v>
      </c>
      <c r="E1934" t="s">
        <v>442</v>
      </c>
      <c r="F1934" t="s">
        <v>1902</v>
      </c>
      <c r="G1934" t="s">
        <v>20</v>
      </c>
      <c r="I1934" t="s">
        <v>272</v>
      </c>
    </row>
    <row r="1935" spans="1:9" x14ac:dyDescent="0.3">
      <c r="A1935" t="s">
        <v>296</v>
      </c>
      <c r="B1935" s="5">
        <v>41629</v>
      </c>
      <c r="C1935">
        <v>-24.83</v>
      </c>
      <c r="D1935" t="s">
        <v>305</v>
      </c>
      <c r="E1935" t="s">
        <v>442</v>
      </c>
      <c r="F1935" t="s">
        <v>1903</v>
      </c>
      <c r="G1935" t="s">
        <v>69</v>
      </c>
      <c r="I1935" t="s">
        <v>272</v>
      </c>
    </row>
    <row r="1936" spans="1:9" x14ac:dyDescent="0.3">
      <c r="A1936" t="s">
        <v>296</v>
      </c>
      <c r="B1936" s="5">
        <v>41629</v>
      </c>
      <c r="C1936">
        <v>-2.75</v>
      </c>
      <c r="D1936" t="s">
        <v>305</v>
      </c>
      <c r="E1936" t="s">
        <v>442</v>
      </c>
      <c r="F1936" t="s">
        <v>1904</v>
      </c>
      <c r="G1936" t="s">
        <v>360</v>
      </c>
      <c r="I1936" t="s">
        <v>272</v>
      </c>
    </row>
    <row r="1937" spans="1:9" x14ac:dyDescent="0.3">
      <c r="A1937" t="s">
        <v>296</v>
      </c>
      <c r="B1937" s="5">
        <v>41630</v>
      </c>
      <c r="C1937">
        <v>13.13</v>
      </c>
      <c r="D1937" t="s">
        <v>305</v>
      </c>
      <c r="E1937" t="s">
        <v>1905</v>
      </c>
      <c r="F1937" t="s">
        <v>1906</v>
      </c>
      <c r="G1937" t="s">
        <v>17</v>
      </c>
    </row>
    <row r="1938" spans="1:9" x14ac:dyDescent="0.3">
      <c r="A1938" t="s">
        <v>296</v>
      </c>
      <c r="B1938" s="5">
        <v>41630</v>
      </c>
      <c r="C1938">
        <v>774.09</v>
      </c>
      <c r="D1938" t="s">
        <v>305</v>
      </c>
      <c r="E1938" t="s">
        <v>1905</v>
      </c>
      <c r="F1938" t="s">
        <v>1907</v>
      </c>
      <c r="G1938" t="s">
        <v>342</v>
      </c>
    </row>
    <row r="1939" spans="1:9" x14ac:dyDescent="0.3">
      <c r="A1939" t="s">
        <v>296</v>
      </c>
      <c r="B1939" s="5">
        <v>41630</v>
      </c>
      <c r="C1939">
        <v>-1.0900000000000001</v>
      </c>
      <c r="D1939" t="s">
        <v>305</v>
      </c>
      <c r="E1939" t="s">
        <v>442</v>
      </c>
      <c r="F1939" t="s">
        <v>1908</v>
      </c>
      <c r="G1939" t="s">
        <v>343</v>
      </c>
    </row>
    <row r="1940" spans="1:9" x14ac:dyDescent="0.3">
      <c r="A1940" t="s">
        <v>296</v>
      </c>
      <c r="B1940" s="5">
        <v>41630</v>
      </c>
      <c r="C1940">
        <v>-4.4800000000000004</v>
      </c>
      <c r="D1940" t="s">
        <v>305</v>
      </c>
      <c r="E1940" t="s">
        <v>448</v>
      </c>
      <c r="F1940" t="s">
        <v>1909</v>
      </c>
      <c r="G1940" t="s">
        <v>343</v>
      </c>
    </row>
    <row r="1941" spans="1:9" x14ac:dyDescent="0.3">
      <c r="A1941" t="s">
        <v>296</v>
      </c>
      <c r="B1941" s="5">
        <v>41630</v>
      </c>
      <c r="C1941">
        <v>-20</v>
      </c>
      <c r="D1941" t="s">
        <v>305</v>
      </c>
      <c r="E1941" t="s">
        <v>1905</v>
      </c>
      <c r="F1941" t="s">
        <v>1910</v>
      </c>
      <c r="G1941" t="s">
        <v>334</v>
      </c>
      <c r="I1941" t="s">
        <v>272</v>
      </c>
    </row>
    <row r="1942" spans="1:9" x14ac:dyDescent="0.3">
      <c r="A1942" t="s">
        <v>296</v>
      </c>
      <c r="B1942" s="5">
        <v>41630</v>
      </c>
      <c r="C1942">
        <v>-21.88</v>
      </c>
      <c r="D1942" t="s">
        <v>305</v>
      </c>
      <c r="E1942" t="s">
        <v>1905</v>
      </c>
      <c r="F1942" t="s">
        <v>1911</v>
      </c>
      <c r="G1942" t="s">
        <v>360</v>
      </c>
      <c r="I1942" t="s">
        <v>272</v>
      </c>
    </row>
    <row r="1943" spans="1:9" x14ac:dyDescent="0.3">
      <c r="A1943" t="s">
        <v>296</v>
      </c>
      <c r="B1943" s="5">
        <v>41630</v>
      </c>
      <c r="C1943">
        <v>-774.09</v>
      </c>
      <c r="D1943" t="s">
        <v>305</v>
      </c>
      <c r="E1943" t="s">
        <v>1905</v>
      </c>
      <c r="F1943" t="s">
        <v>1907</v>
      </c>
      <c r="G1943" t="s">
        <v>342</v>
      </c>
    </row>
    <row r="1944" spans="1:9" x14ac:dyDescent="0.3">
      <c r="A1944" t="s">
        <v>296</v>
      </c>
      <c r="B1944" s="5">
        <v>41631</v>
      </c>
      <c r="C1944">
        <v>-17.47</v>
      </c>
      <c r="D1944" t="s">
        <v>305</v>
      </c>
      <c r="E1944" t="s">
        <v>489</v>
      </c>
      <c r="F1944" t="s">
        <v>1912</v>
      </c>
      <c r="G1944" t="s">
        <v>17</v>
      </c>
    </row>
    <row r="1945" spans="1:9" x14ac:dyDescent="0.3">
      <c r="A1945" t="s">
        <v>296</v>
      </c>
      <c r="B1945" s="5">
        <v>41631</v>
      </c>
      <c r="C1945">
        <v>-18.62</v>
      </c>
      <c r="D1945" t="s">
        <v>305</v>
      </c>
      <c r="E1945" t="s">
        <v>449</v>
      </c>
      <c r="F1945" t="s">
        <v>490</v>
      </c>
      <c r="G1945" t="s">
        <v>17</v>
      </c>
    </row>
    <row r="1946" spans="1:9" x14ac:dyDescent="0.3">
      <c r="A1946" t="s">
        <v>296</v>
      </c>
      <c r="B1946" s="5">
        <v>41631</v>
      </c>
      <c r="C1946">
        <v>-87.69</v>
      </c>
      <c r="D1946" t="s">
        <v>305</v>
      </c>
      <c r="E1946" t="s">
        <v>1913</v>
      </c>
      <c r="F1946" t="s">
        <v>1914</v>
      </c>
      <c r="G1946" t="s">
        <v>334</v>
      </c>
    </row>
    <row r="1947" spans="1:9" x14ac:dyDescent="0.3">
      <c r="A1947" t="s">
        <v>296</v>
      </c>
      <c r="B1947" s="5">
        <v>41634</v>
      </c>
      <c r="C1947">
        <v>0</v>
      </c>
      <c r="D1947" t="s">
        <v>305</v>
      </c>
      <c r="E1947" t="s">
        <v>309</v>
      </c>
      <c r="F1947" t="s">
        <v>1915</v>
      </c>
      <c r="G1947" t="s">
        <v>13</v>
      </c>
    </row>
    <row r="1948" spans="1:9" x14ac:dyDescent="0.3">
      <c r="A1948" t="s">
        <v>296</v>
      </c>
      <c r="B1948" s="5">
        <v>41634</v>
      </c>
      <c r="C1948">
        <v>-4.38</v>
      </c>
      <c r="D1948" t="s">
        <v>305</v>
      </c>
      <c r="E1948" t="s">
        <v>460</v>
      </c>
      <c r="F1948" t="s">
        <v>1916</v>
      </c>
      <c r="G1948" t="s">
        <v>17</v>
      </c>
    </row>
    <row r="1949" spans="1:9" x14ac:dyDescent="0.3">
      <c r="A1949" t="s">
        <v>296</v>
      </c>
      <c r="B1949" s="5">
        <v>41634</v>
      </c>
      <c r="C1949">
        <v>-4.37</v>
      </c>
      <c r="D1949" t="s">
        <v>305</v>
      </c>
      <c r="E1949" t="s">
        <v>460</v>
      </c>
      <c r="F1949" t="s">
        <v>1917</v>
      </c>
      <c r="G1949" t="s">
        <v>17</v>
      </c>
    </row>
    <row r="1950" spans="1:9" x14ac:dyDescent="0.3">
      <c r="A1950" t="s">
        <v>296</v>
      </c>
      <c r="B1950" s="5">
        <v>41634</v>
      </c>
      <c r="C1950">
        <v>-2.46</v>
      </c>
      <c r="D1950" t="s">
        <v>305</v>
      </c>
      <c r="E1950" t="s">
        <v>1165</v>
      </c>
      <c r="F1950" t="s">
        <v>1918</v>
      </c>
      <c r="G1950" t="s">
        <v>20</v>
      </c>
    </row>
    <row r="1951" spans="1:9" x14ac:dyDescent="0.3">
      <c r="A1951" t="s">
        <v>296</v>
      </c>
      <c r="B1951" s="5">
        <v>41634</v>
      </c>
      <c r="C1951">
        <v>-29.18</v>
      </c>
      <c r="D1951" t="s">
        <v>305</v>
      </c>
      <c r="E1951" t="s">
        <v>1919</v>
      </c>
      <c r="F1951" t="s">
        <v>1920</v>
      </c>
      <c r="G1951" t="s">
        <v>334</v>
      </c>
    </row>
    <row r="1952" spans="1:9" x14ac:dyDescent="0.3">
      <c r="A1952" t="s">
        <v>296</v>
      </c>
      <c r="B1952" s="5">
        <v>41634</v>
      </c>
      <c r="C1952">
        <v>-47.68</v>
      </c>
      <c r="D1952" t="s">
        <v>305</v>
      </c>
      <c r="E1952" t="s">
        <v>442</v>
      </c>
      <c r="F1952" t="s">
        <v>487</v>
      </c>
      <c r="G1952" t="s">
        <v>343</v>
      </c>
    </row>
    <row r="1953" spans="1:9" x14ac:dyDescent="0.3">
      <c r="A1953" t="s">
        <v>296</v>
      </c>
      <c r="B1953" s="5">
        <v>41635</v>
      </c>
      <c r="C1953">
        <v>-21.22</v>
      </c>
      <c r="D1953" t="s">
        <v>305</v>
      </c>
      <c r="E1953" t="s">
        <v>1921</v>
      </c>
      <c r="F1953" t="s">
        <v>1922</v>
      </c>
      <c r="G1953" t="s">
        <v>334</v>
      </c>
    </row>
    <row r="1954" spans="1:9" x14ac:dyDescent="0.3">
      <c r="A1954" t="s">
        <v>296</v>
      </c>
      <c r="B1954" s="5">
        <v>41635</v>
      </c>
      <c r="C1954">
        <v>-34</v>
      </c>
      <c r="D1954" t="s">
        <v>305</v>
      </c>
      <c r="E1954" t="s">
        <v>1159</v>
      </c>
      <c r="F1954" t="s">
        <v>1923</v>
      </c>
      <c r="G1954" t="s">
        <v>404</v>
      </c>
    </row>
    <row r="1955" spans="1:9" x14ac:dyDescent="0.3">
      <c r="A1955" t="s">
        <v>296</v>
      </c>
      <c r="B1955" s="5">
        <v>41636</v>
      </c>
      <c r="C1955">
        <v>-1.29</v>
      </c>
      <c r="D1955" t="s">
        <v>305</v>
      </c>
      <c r="E1955" t="s">
        <v>433</v>
      </c>
      <c r="F1955" t="s">
        <v>483</v>
      </c>
      <c r="G1955" t="s">
        <v>343</v>
      </c>
    </row>
    <row r="1956" spans="1:9" x14ac:dyDescent="0.3">
      <c r="A1956" t="s">
        <v>296</v>
      </c>
      <c r="B1956" s="5">
        <v>41636</v>
      </c>
      <c r="C1956">
        <v>-6</v>
      </c>
      <c r="D1956" t="s">
        <v>305</v>
      </c>
      <c r="E1956" t="s">
        <v>462</v>
      </c>
      <c r="F1956" t="s">
        <v>486</v>
      </c>
      <c r="G1956" t="s">
        <v>441</v>
      </c>
    </row>
    <row r="1957" spans="1:9" x14ac:dyDescent="0.3">
      <c r="A1957" t="s">
        <v>296</v>
      </c>
      <c r="B1957" s="5">
        <v>41636</v>
      </c>
      <c r="C1957">
        <v>-12</v>
      </c>
      <c r="D1957" t="s">
        <v>305</v>
      </c>
      <c r="E1957" t="s">
        <v>1924</v>
      </c>
      <c r="F1957" t="s">
        <v>1925</v>
      </c>
      <c r="G1957" t="s">
        <v>458</v>
      </c>
    </row>
    <row r="1958" spans="1:9" x14ac:dyDescent="0.3">
      <c r="A1958" t="s">
        <v>296</v>
      </c>
      <c r="B1958" s="5">
        <v>41636</v>
      </c>
      <c r="C1958">
        <v>-12.97</v>
      </c>
      <c r="D1958" t="s">
        <v>305</v>
      </c>
      <c r="E1958" t="s">
        <v>466</v>
      </c>
      <c r="F1958" t="s">
        <v>491</v>
      </c>
      <c r="G1958" t="s">
        <v>334</v>
      </c>
    </row>
    <row r="1959" spans="1:9" x14ac:dyDescent="0.3">
      <c r="A1959" t="s">
        <v>296</v>
      </c>
      <c r="B1959" s="5">
        <v>41636</v>
      </c>
      <c r="C1959">
        <v>-22.45</v>
      </c>
      <c r="D1959" t="s">
        <v>305</v>
      </c>
      <c r="E1959" t="s">
        <v>1926</v>
      </c>
      <c r="F1959" t="s">
        <v>1927</v>
      </c>
      <c r="G1959" t="s">
        <v>334</v>
      </c>
    </row>
    <row r="1960" spans="1:9" x14ac:dyDescent="0.3">
      <c r="A1960" t="s">
        <v>296</v>
      </c>
      <c r="B1960" s="5">
        <v>41636</v>
      </c>
      <c r="C1960">
        <v>-105.2</v>
      </c>
      <c r="D1960" t="s">
        <v>305</v>
      </c>
      <c r="E1960" t="s">
        <v>442</v>
      </c>
      <c r="F1960" t="s">
        <v>487</v>
      </c>
      <c r="G1960" t="s">
        <v>343</v>
      </c>
    </row>
    <row r="1961" spans="1:9" x14ac:dyDescent="0.3">
      <c r="A1961" t="s">
        <v>296</v>
      </c>
      <c r="B1961" s="5">
        <v>41637</v>
      </c>
      <c r="C1961">
        <v>-10.93</v>
      </c>
      <c r="D1961" t="s">
        <v>305</v>
      </c>
      <c r="E1961" t="s">
        <v>431</v>
      </c>
      <c r="F1961" t="s">
        <v>1928</v>
      </c>
      <c r="G1961" t="s">
        <v>652</v>
      </c>
    </row>
    <row r="1962" spans="1:9" x14ac:dyDescent="0.3">
      <c r="A1962" t="s">
        <v>296</v>
      </c>
      <c r="B1962" s="5">
        <v>41637</v>
      </c>
      <c r="C1962">
        <v>-30.93</v>
      </c>
      <c r="D1962" t="s">
        <v>305</v>
      </c>
      <c r="E1962" t="s">
        <v>1792</v>
      </c>
      <c r="F1962" t="s">
        <v>1929</v>
      </c>
      <c r="G1962" t="s">
        <v>458</v>
      </c>
    </row>
    <row r="1963" spans="1:9" x14ac:dyDescent="0.3">
      <c r="A1963" t="s">
        <v>296</v>
      </c>
      <c r="B1963" s="5">
        <v>41638</v>
      </c>
      <c r="C1963">
        <v>20</v>
      </c>
      <c r="D1963" t="s">
        <v>305</v>
      </c>
      <c r="E1963" t="s">
        <v>1930</v>
      </c>
      <c r="F1963" t="s">
        <v>1931</v>
      </c>
      <c r="G1963" t="s">
        <v>667</v>
      </c>
    </row>
    <row r="1964" spans="1:9" x14ac:dyDescent="0.3">
      <c r="A1964" t="s">
        <v>296</v>
      </c>
      <c r="B1964" s="5">
        <v>41638</v>
      </c>
      <c r="C1964">
        <v>43.79</v>
      </c>
      <c r="D1964" t="s">
        <v>305</v>
      </c>
      <c r="E1964" t="s">
        <v>1930</v>
      </c>
      <c r="F1964" t="s">
        <v>1931</v>
      </c>
      <c r="G1964" t="s">
        <v>667</v>
      </c>
    </row>
    <row r="1965" spans="1:9" x14ac:dyDescent="0.3">
      <c r="A1965" t="s">
        <v>296</v>
      </c>
      <c r="B1965" s="5">
        <v>41638</v>
      </c>
      <c r="C1965">
        <v>-2.5299999999999998</v>
      </c>
      <c r="D1965" t="s">
        <v>305</v>
      </c>
      <c r="E1965" t="s">
        <v>492</v>
      </c>
      <c r="F1965" t="s">
        <v>1932</v>
      </c>
      <c r="G1965" t="s">
        <v>361</v>
      </c>
    </row>
    <row r="1966" spans="1:9" x14ac:dyDescent="0.3">
      <c r="A1966" t="s">
        <v>296</v>
      </c>
      <c r="B1966" s="5">
        <v>41638</v>
      </c>
      <c r="C1966">
        <v>-9</v>
      </c>
      <c r="D1966" t="s">
        <v>305</v>
      </c>
      <c r="E1966" t="s">
        <v>1487</v>
      </c>
      <c r="F1966" t="s">
        <v>1933</v>
      </c>
      <c r="G1966" t="s">
        <v>17</v>
      </c>
    </row>
    <row r="1967" spans="1:9" x14ac:dyDescent="0.3">
      <c r="A1967" t="s">
        <v>296</v>
      </c>
      <c r="B1967" s="5">
        <v>41638</v>
      </c>
      <c r="C1967">
        <v>-20.98</v>
      </c>
      <c r="D1967" t="s">
        <v>305</v>
      </c>
      <c r="E1967" t="s">
        <v>442</v>
      </c>
      <c r="F1967" t="s">
        <v>487</v>
      </c>
      <c r="G1967" t="s">
        <v>343</v>
      </c>
    </row>
    <row r="1968" spans="1:9" x14ac:dyDescent="0.3">
      <c r="A1968" t="s">
        <v>296</v>
      </c>
      <c r="B1968" s="5">
        <v>41638</v>
      </c>
      <c r="C1968">
        <v>-13.14</v>
      </c>
      <c r="D1968" t="s">
        <v>305</v>
      </c>
      <c r="E1968" t="s">
        <v>372</v>
      </c>
      <c r="F1968" t="s">
        <v>1934</v>
      </c>
      <c r="G1968" t="s">
        <v>614</v>
      </c>
      <c r="I1968" t="s">
        <v>272</v>
      </c>
    </row>
    <row r="1969" spans="1:9" x14ac:dyDescent="0.3">
      <c r="A1969" t="s">
        <v>296</v>
      </c>
      <c r="B1969" s="5">
        <v>41638</v>
      </c>
      <c r="C1969">
        <v>-10.31</v>
      </c>
      <c r="D1969" t="s">
        <v>305</v>
      </c>
      <c r="E1969" t="s">
        <v>372</v>
      </c>
      <c r="F1969" t="s">
        <v>1935</v>
      </c>
      <c r="G1969" t="s">
        <v>360</v>
      </c>
      <c r="I1969" t="s">
        <v>272</v>
      </c>
    </row>
    <row r="1970" spans="1:9" x14ac:dyDescent="0.3">
      <c r="A1970" t="s">
        <v>296</v>
      </c>
      <c r="B1970" s="5">
        <v>41638</v>
      </c>
      <c r="C1970">
        <v>-10.94</v>
      </c>
      <c r="D1970" t="s">
        <v>305</v>
      </c>
      <c r="E1970" t="s">
        <v>472</v>
      </c>
      <c r="F1970" t="s">
        <v>1936</v>
      </c>
      <c r="G1970" t="s">
        <v>668</v>
      </c>
    </row>
    <row r="1971" spans="1:9" x14ac:dyDescent="0.3">
      <c r="A1971" t="s">
        <v>296</v>
      </c>
      <c r="B1971" s="5">
        <v>41639</v>
      </c>
      <c r="C1971">
        <v>-9.84</v>
      </c>
      <c r="D1971" t="s">
        <v>305</v>
      </c>
      <c r="E1971" t="s">
        <v>1232</v>
      </c>
      <c r="F1971" t="s">
        <v>1937</v>
      </c>
      <c r="G1971" t="s">
        <v>434</v>
      </c>
    </row>
    <row r="1972" spans="1:9" x14ac:dyDescent="0.3">
      <c r="A1972" t="s">
        <v>296</v>
      </c>
      <c r="B1972" s="5">
        <v>41639</v>
      </c>
      <c r="C1972">
        <v>-16.96</v>
      </c>
      <c r="D1972" t="s">
        <v>305</v>
      </c>
      <c r="E1972" t="s">
        <v>1938</v>
      </c>
      <c r="F1972" t="s">
        <v>1939</v>
      </c>
      <c r="G1972" t="s">
        <v>17</v>
      </c>
    </row>
    <row r="1973" spans="1:9" x14ac:dyDescent="0.3">
      <c r="A1973" t="s">
        <v>296</v>
      </c>
      <c r="B1973" s="5">
        <v>41639</v>
      </c>
      <c r="C1973">
        <v>-24.71</v>
      </c>
      <c r="D1973" t="s">
        <v>305</v>
      </c>
      <c r="E1973" t="s">
        <v>442</v>
      </c>
      <c r="F1973" t="s">
        <v>493</v>
      </c>
      <c r="G1973" t="s">
        <v>343</v>
      </c>
    </row>
    <row r="1974" spans="1:9" x14ac:dyDescent="0.3">
      <c r="A1974" t="s">
        <v>296</v>
      </c>
      <c r="B1974" s="5">
        <v>41640</v>
      </c>
      <c r="C1974">
        <v>-27.77</v>
      </c>
      <c r="D1974" t="s">
        <v>305</v>
      </c>
      <c r="E1974" t="s">
        <v>494</v>
      </c>
      <c r="F1974" t="s">
        <v>495</v>
      </c>
    </row>
    <row r="1975" spans="1:9" x14ac:dyDescent="0.3">
      <c r="A1975" t="s">
        <v>296</v>
      </c>
      <c r="B1975" s="5">
        <v>41641</v>
      </c>
      <c r="C1975">
        <v>-20.84</v>
      </c>
      <c r="D1975" t="s">
        <v>305</v>
      </c>
      <c r="E1975" t="s">
        <v>452</v>
      </c>
      <c r="F1975" t="s">
        <v>496</v>
      </c>
      <c r="G1975" t="s">
        <v>453</v>
      </c>
      <c r="I1975" t="s">
        <v>272</v>
      </c>
    </row>
    <row r="1976" spans="1:9" x14ac:dyDescent="0.3">
      <c r="A1976" t="s">
        <v>296</v>
      </c>
      <c r="B1976" s="5">
        <v>41641</v>
      </c>
      <c r="C1976">
        <v>-61.9</v>
      </c>
      <c r="D1976" t="s">
        <v>305</v>
      </c>
      <c r="E1976" t="s">
        <v>452</v>
      </c>
      <c r="G1976" t="s">
        <v>454</v>
      </c>
      <c r="I1976" t="s">
        <v>272</v>
      </c>
    </row>
    <row r="1977" spans="1:9" x14ac:dyDescent="0.3">
      <c r="A1977" t="s">
        <v>296</v>
      </c>
      <c r="B1977" s="5">
        <v>41641</v>
      </c>
      <c r="C1977">
        <v>-46.29</v>
      </c>
      <c r="D1977" t="s">
        <v>305</v>
      </c>
      <c r="E1977" t="s">
        <v>452</v>
      </c>
      <c r="G1977" t="s">
        <v>455</v>
      </c>
      <c r="I1977" t="s">
        <v>272</v>
      </c>
    </row>
    <row r="1978" spans="1:9" x14ac:dyDescent="0.3">
      <c r="A1978" t="s">
        <v>296</v>
      </c>
      <c r="B1978" s="5">
        <v>41641</v>
      </c>
      <c r="C1978">
        <v>-2.61</v>
      </c>
      <c r="D1978" t="s">
        <v>305</v>
      </c>
      <c r="E1978" t="s">
        <v>460</v>
      </c>
      <c r="F1978" t="s">
        <v>497</v>
      </c>
      <c r="G1978" t="s">
        <v>72</v>
      </c>
    </row>
    <row r="1979" spans="1:9" x14ac:dyDescent="0.3">
      <c r="A1979" t="s">
        <v>296</v>
      </c>
      <c r="B1979" s="5">
        <v>41641</v>
      </c>
      <c r="C1979">
        <v>-6.92</v>
      </c>
      <c r="D1979" t="s">
        <v>305</v>
      </c>
      <c r="E1979" t="s">
        <v>437</v>
      </c>
      <c r="F1979" t="s">
        <v>484</v>
      </c>
      <c r="G1979" t="s">
        <v>343</v>
      </c>
    </row>
    <row r="1980" spans="1:9" x14ac:dyDescent="0.3">
      <c r="A1980" t="s">
        <v>296</v>
      </c>
      <c r="B1980" s="5">
        <v>41642</v>
      </c>
      <c r="C1980" s="4">
        <v>3941.59</v>
      </c>
      <c r="D1980" t="s">
        <v>305</v>
      </c>
      <c r="E1980" t="s">
        <v>322</v>
      </c>
      <c r="F1980" t="s">
        <v>601</v>
      </c>
      <c r="G1980" t="s">
        <v>9</v>
      </c>
    </row>
    <row r="1981" spans="1:9" x14ac:dyDescent="0.3">
      <c r="A1981" t="s">
        <v>296</v>
      </c>
      <c r="B1981" s="5">
        <v>41642</v>
      </c>
      <c r="C1981">
        <v>-5.51</v>
      </c>
      <c r="D1981" t="s">
        <v>305</v>
      </c>
      <c r="E1981" t="s">
        <v>498</v>
      </c>
      <c r="F1981" t="s">
        <v>499</v>
      </c>
      <c r="G1981" t="s">
        <v>334</v>
      </c>
    </row>
    <row r="1982" spans="1:9" x14ac:dyDescent="0.3">
      <c r="A1982" t="s">
        <v>296</v>
      </c>
      <c r="B1982" s="5">
        <v>41643</v>
      </c>
      <c r="C1982">
        <v>-16.34</v>
      </c>
      <c r="D1982" t="s">
        <v>305</v>
      </c>
      <c r="E1982" t="s">
        <v>435</v>
      </c>
      <c r="F1982" t="s">
        <v>500</v>
      </c>
      <c r="G1982" t="s">
        <v>343</v>
      </c>
    </row>
    <row r="1983" spans="1:9" x14ac:dyDescent="0.3">
      <c r="A1983" t="s">
        <v>296</v>
      </c>
      <c r="B1983" s="5">
        <v>41643</v>
      </c>
      <c r="C1983">
        <v>-18</v>
      </c>
      <c r="D1983" t="s">
        <v>305</v>
      </c>
      <c r="E1983" t="s">
        <v>501</v>
      </c>
      <c r="F1983" t="s">
        <v>502</v>
      </c>
      <c r="G1983" t="s">
        <v>458</v>
      </c>
    </row>
    <row r="1984" spans="1:9" x14ac:dyDescent="0.3">
      <c r="A1984" t="s">
        <v>296</v>
      </c>
      <c r="B1984" s="5">
        <v>41643</v>
      </c>
      <c r="C1984">
        <v>-77.150000000000006</v>
      </c>
      <c r="D1984" t="s">
        <v>305</v>
      </c>
      <c r="E1984" t="s">
        <v>468</v>
      </c>
      <c r="F1984" t="s">
        <v>503</v>
      </c>
      <c r="G1984" t="s">
        <v>334</v>
      </c>
    </row>
    <row r="1985" spans="1:7" x14ac:dyDescent="0.3">
      <c r="A1985" t="s">
        <v>296</v>
      </c>
      <c r="B1985" s="5">
        <v>41643</v>
      </c>
      <c r="C1985">
        <v>-95.46</v>
      </c>
      <c r="D1985" t="s">
        <v>305</v>
      </c>
      <c r="E1985" t="s">
        <v>442</v>
      </c>
      <c r="F1985" t="s">
        <v>487</v>
      </c>
      <c r="G1985" t="s">
        <v>343</v>
      </c>
    </row>
    <row r="1986" spans="1:7" x14ac:dyDescent="0.3">
      <c r="A1986" t="s">
        <v>296</v>
      </c>
      <c r="B1986" s="5">
        <v>41644</v>
      </c>
      <c r="C1986">
        <v>-3.01</v>
      </c>
      <c r="D1986" t="s">
        <v>305</v>
      </c>
      <c r="E1986" t="s">
        <v>449</v>
      </c>
      <c r="F1986" t="s">
        <v>490</v>
      </c>
      <c r="G1986" t="s">
        <v>20</v>
      </c>
    </row>
    <row r="1987" spans="1:7" x14ac:dyDescent="0.3">
      <c r="A1987" t="s">
        <v>296</v>
      </c>
      <c r="B1987" s="5">
        <v>41644</v>
      </c>
      <c r="C1987">
        <v>-19.66</v>
      </c>
      <c r="D1987" t="s">
        <v>305</v>
      </c>
      <c r="E1987" t="s">
        <v>431</v>
      </c>
      <c r="F1987" t="s">
        <v>504</v>
      </c>
      <c r="G1987" t="s">
        <v>308</v>
      </c>
    </row>
    <row r="1988" spans="1:7" x14ac:dyDescent="0.3">
      <c r="A1988" t="s">
        <v>296</v>
      </c>
      <c r="B1988" s="5">
        <v>41645</v>
      </c>
      <c r="C1988">
        <v>-13.42</v>
      </c>
      <c r="D1988" t="s">
        <v>305</v>
      </c>
      <c r="E1988" t="s">
        <v>440</v>
      </c>
      <c r="F1988" t="s">
        <v>505</v>
      </c>
      <c r="G1988" t="s">
        <v>441</v>
      </c>
    </row>
    <row r="1989" spans="1:7" x14ac:dyDescent="0.3">
      <c r="A1989" t="s">
        <v>296</v>
      </c>
      <c r="B1989" s="5">
        <v>41646</v>
      </c>
      <c r="C1989">
        <v>-1.68</v>
      </c>
      <c r="D1989" t="s">
        <v>305</v>
      </c>
      <c r="E1989" t="s">
        <v>506</v>
      </c>
      <c r="F1989" t="s">
        <v>507</v>
      </c>
      <c r="G1989" t="s">
        <v>342</v>
      </c>
    </row>
    <row r="1990" spans="1:7" x14ac:dyDescent="0.3">
      <c r="A1990" t="s">
        <v>296</v>
      </c>
      <c r="B1990" s="5">
        <v>41646</v>
      </c>
      <c r="C1990">
        <v>-6</v>
      </c>
      <c r="D1990" t="s">
        <v>305</v>
      </c>
      <c r="E1990" t="s">
        <v>473</v>
      </c>
      <c r="F1990" t="s">
        <v>485</v>
      </c>
      <c r="G1990" t="s">
        <v>441</v>
      </c>
    </row>
    <row r="1991" spans="1:7" x14ac:dyDescent="0.3">
      <c r="A1991" t="s">
        <v>296</v>
      </c>
      <c r="B1991" s="5">
        <v>41646</v>
      </c>
      <c r="C1991">
        <v>-7.34</v>
      </c>
      <c r="D1991" t="s">
        <v>305</v>
      </c>
      <c r="E1991" t="s">
        <v>437</v>
      </c>
      <c r="F1991" t="s">
        <v>484</v>
      </c>
      <c r="G1991" t="s">
        <v>343</v>
      </c>
    </row>
    <row r="1992" spans="1:7" x14ac:dyDescent="0.3">
      <c r="A1992" t="s">
        <v>296</v>
      </c>
      <c r="B1992" s="5">
        <v>41646</v>
      </c>
      <c r="C1992">
        <v>-14.64</v>
      </c>
      <c r="D1992" t="s">
        <v>305</v>
      </c>
      <c r="E1992" t="s">
        <v>440</v>
      </c>
      <c r="F1992" t="s">
        <v>505</v>
      </c>
      <c r="G1992" t="s">
        <v>441</v>
      </c>
    </row>
    <row r="1993" spans="1:7" x14ac:dyDescent="0.3">
      <c r="A1993" t="s">
        <v>296</v>
      </c>
      <c r="B1993" s="5">
        <v>41649</v>
      </c>
      <c r="C1993">
        <v>-5.95</v>
      </c>
      <c r="D1993" t="s">
        <v>305</v>
      </c>
      <c r="E1993" t="s">
        <v>508</v>
      </c>
      <c r="F1993" t="s">
        <v>509</v>
      </c>
      <c r="G1993" t="s">
        <v>334</v>
      </c>
    </row>
    <row r="1994" spans="1:7" x14ac:dyDescent="0.3">
      <c r="A1994" t="s">
        <v>296</v>
      </c>
      <c r="B1994" s="5">
        <v>41649</v>
      </c>
      <c r="C1994">
        <v>-18.07</v>
      </c>
      <c r="D1994" t="s">
        <v>305</v>
      </c>
      <c r="E1994" t="s">
        <v>437</v>
      </c>
      <c r="F1994" t="s">
        <v>484</v>
      </c>
      <c r="G1994" t="s">
        <v>343</v>
      </c>
    </row>
    <row r="1995" spans="1:7" x14ac:dyDescent="0.3">
      <c r="A1995" t="s">
        <v>296</v>
      </c>
      <c r="B1995" s="5">
        <v>41650</v>
      </c>
      <c r="C1995">
        <v>-4.33</v>
      </c>
      <c r="D1995" t="s">
        <v>305</v>
      </c>
      <c r="E1995" t="s">
        <v>372</v>
      </c>
      <c r="F1995" t="s">
        <v>510</v>
      </c>
      <c r="G1995" t="s">
        <v>20</v>
      </c>
    </row>
    <row r="1996" spans="1:7" x14ac:dyDescent="0.3">
      <c r="A1996" t="s">
        <v>296</v>
      </c>
      <c r="B1996" s="5">
        <v>41650</v>
      </c>
      <c r="C1996">
        <v>-6</v>
      </c>
      <c r="D1996" t="s">
        <v>305</v>
      </c>
      <c r="E1996" t="s">
        <v>462</v>
      </c>
      <c r="F1996" t="s">
        <v>486</v>
      </c>
      <c r="G1996" t="s">
        <v>441</v>
      </c>
    </row>
    <row r="1997" spans="1:7" x14ac:dyDescent="0.3">
      <c r="A1997" t="s">
        <v>296</v>
      </c>
      <c r="B1997" s="5">
        <v>41650</v>
      </c>
      <c r="C1997">
        <v>-17.52</v>
      </c>
      <c r="D1997" t="s">
        <v>305</v>
      </c>
      <c r="E1997" t="s">
        <v>449</v>
      </c>
      <c r="F1997" t="s">
        <v>511</v>
      </c>
      <c r="G1997" t="s">
        <v>476</v>
      </c>
    </row>
    <row r="1998" spans="1:7" x14ac:dyDescent="0.3">
      <c r="A1998" t="s">
        <v>296</v>
      </c>
      <c r="B1998" s="5">
        <v>41650</v>
      </c>
      <c r="C1998">
        <v>-20.75</v>
      </c>
      <c r="D1998" t="s">
        <v>305</v>
      </c>
      <c r="E1998" t="s">
        <v>489</v>
      </c>
      <c r="F1998" t="s">
        <v>511</v>
      </c>
      <c r="G1998" t="s">
        <v>476</v>
      </c>
    </row>
    <row r="1999" spans="1:7" x14ac:dyDescent="0.3">
      <c r="A1999" t="s">
        <v>296</v>
      </c>
      <c r="B1999" s="5">
        <v>41650</v>
      </c>
      <c r="C1999">
        <v>-79.709999999999994</v>
      </c>
      <c r="D1999" t="s">
        <v>305</v>
      </c>
      <c r="E1999" t="s">
        <v>474</v>
      </c>
      <c r="F1999" t="s">
        <v>512</v>
      </c>
      <c r="G1999" t="s">
        <v>334</v>
      </c>
    </row>
    <row r="2000" spans="1:7" x14ac:dyDescent="0.3">
      <c r="A2000" t="s">
        <v>296</v>
      </c>
      <c r="B2000" s="5">
        <v>41650</v>
      </c>
      <c r="C2000">
        <v>-144.49</v>
      </c>
      <c r="D2000" t="s">
        <v>305</v>
      </c>
      <c r="E2000" t="s">
        <v>442</v>
      </c>
      <c r="F2000" t="s">
        <v>487</v>
      </c>
      <c r="G2000" t="s">
        <v>343</v>
      </c>
    </row>
    <row r="2001" spans="1:7" x14ac:dyDescent="0.3">
      <c r="A2001" t="s">
        <v>296</v>
      </c>
      <c r="B2001" s="5">
        <v>41651</v>
      </c>
      <c r="C2001">
        <v>1.68</v>
      </c>
      <c r="D2001" t="s">
        <v>305</v>
      </c>
      <c r="E2001" t="s">
        <v>513</v>
      </c>
      <c r="F2001" t="s">
        <v>514</v>
      </c>
      <c r="G2001" t="s">
        <v>342</v>
      </c>
    </row>
    <row r="2002" spans="1:7" x14ac:dyDescent="0.3">
      <c r="A2002" t="s">
        <v>296</v>
      </c>
      <c r="B2002" s="5">
        <v>41651</v>
      </c>
      <c r="C2002">
        <v>-1.55</v>
      </c>
      <c r="D2002" t="s">
        <v>305</v>
      </c>
      <c r="E2002" t="s">
        <v>437</v>
      </c>
      <c r="F2002" t="s">
        <v>484</v>
      </c>
      <c r="G2002" t="s">
        <v>343</v>
      </c>
    </row>
    <row r="2003" spans="1:7" x14ac:dyDescent="0.3">
      <c r="A2003" t="s">
        <v>296</v>
      </c>
      <c r="B2003" s="5">
        <v>41652</v>
      </c>
      <c r="C2003">
        <v>-6.5</v>
      </c>
      <c r="D2003" t="s">
        <v>305</v>
      </c>
      <c r="E2003" t="s">
        <v>515</v>
      </c>
      <c r="F2003" t="s">
        <v>516</v>
      </c>
      <c r="G2003" t="s">
        <v>425</v>
      </c>
    </row>
    <row r="2004" spans="1:7" x14ac:dyDescent="0.3">
      <c r="A2004" t="s">
        <v>296</v>
      </c>
      <c r="B2004" s="5">
        <v>41652</v>
      </c>
      <c r="C2004">
        <v>-8.42</v>
      </c>
      <c r="D2004" t="s">
        <v>305</v>
      </c>
      <c r="E2004" t="s">
        <v>437</v>
      </c>
      <c r="F2004" t="s">
        <v>484</v>
      </c>
      <c r="G2004" t="s">
        <v>343</v>
      </c>
    </row>
    <row r="2005" spans="1:7" x14ac:dyDescent="0.3">
      <c r="A2005" t="s">
        <v>296</v>
      </c>
      <c r="B2005" s="5">
        <v>41652</v>
      </c>
      <c r="C2005">
        <v>-22.44</v>
      </c>
      <c r="D2005" t="s">
        <v>305</v>
      </c>
      <c r="E2005" t="s">
        <v>480</v>
      </c>
      <c r="F2005" t="s">
        <v>517</v>
      </c>
      <c r="G2005" t="s">
        <v>334</v>
      </c>
    </row>
    <row r="2006" spans="1:7" x14ac:dyDescent="0.3">
      <c r="A2006" t="s">
        <v>296</v>
      </c>
      <c r="B2006" s="5">
        <v>41652</v>
      </c>
      <c r="C2006">
        <v>-62.37</v>
      </c>
      <c r="D2006" t="s">
        <v>305</v>
      </c>
      <c r="E2006" t="s">
        <v>518</v>
      </c>
      <c r="F2006" t="s">
        <v>519</v>
      </c>
      <c r="G2006" t="s">
        <v>444</v>
      </c>
    </row>
    <row r="2007" spans="1:7" x14ac:dyDescent="0.3">
      <c r="A2007" t="s">
        <v>296</v>
      </c>
      <c r="B2007" s="5">
        <v>41652</v>
      </c>
      <c r="C2007">
        <v>-188.19</v>
      </c>
      <c r="D2007" t="s">
        <v>305</v>
      </c>
      <c r="E2007" t="s">
        <v>520</v>
      </c>
      <c r="F2007" t="s">
        <v>521</v>
      </c>
      <c r="G2007" t="s">
        <v>444</v>
      </c>
    </row>
    <row r="2008" spans="1:7" x14ac:dyDescent="0.3">
      <c r="A2008" t="s">
        <v>296</v>
      </c>
      <c r="B2008" s="5">
        <v>41653</v>
      </c>
      <c r="C2008">
        <v>25</v>
      </c>
      <c r="D2008" t="s">
        <v>305</v>
      </c>
      <c r="E2008" t="s">
        <v>438</v>
      </c>
      <c r="F2008" t="s">
        <v>436</v>
      </c>
      <c r="G2008" t="s">
        <v>14</v>
      </c>
    </row>
    <row r="2009" spans="1:7" x14ac:dyDescent="0.3">
      <c r="A2009" t="s">
        <v>296</v>
      </c>
      <c r="B2009" s="5">
        <v>41653</v>
      </c>
      <c r="C2009">
        <v>-50</v>
      </c>
      <c r="D2009" t="s">
        <v>305</v>
      </c>
      <c r="E2009" t="s">
        <v>481</v>
      </c>
      <c r="F2009" t="s">
        <v>522</v>
      </c>
      <c r="G2009" t="s">
        <v>457</v>
      </c>
    </row>
    <row r="2010" spans="1:7" x14ac:dyDescent="0.3">
      <c r="A2010" t="s">
        <v>296</v>
      </c>
      <c r="B2010" s="5">
        <v>41654</v>
      </c>
      <c r="C2010">
        <v>-25</v>
      </c>
      <c r="D2010" t="s">
        <v>305</v>
      </c>
      <c r="E2010" t="s">
        <v>477</v>
      </c>
      <c r="F2010" t="s">
        <v>523</v>
      </c>
      <c r="G2010" t="s">
        <v>417</v>
      </c>
    </row>
    <row r="2011" spans="1:7" x14ac:dyDescent="0.3">
      <c r="A2011" t="s">
        <v>296</v>
      </c>
      <c r="B2011" s="5">
        <v>41655</v>
      </c>
      <c r="C2011">
        <v>-4.29</v>
      </c>
      <c r="D2011" t="s">
        <v>305</v>
      </c>
      <c r="E2011" t="s">
        <v>437</v>
      </c>
      <c r="F2011" t="s">
        <v>484</v>
      </c>
      <c r="G2011" t="s">
        <v>343</v>
      </c>
    </row>
    <row r="2012" spans="1:7" x14ac:dyDescent="0.3">
      <c r="A2012" t="s">
        <v>296</v>
      </c>
      <c r="B2012" s="5">
        <v>41655</v>
      </c>
      <c r="C2012">
        <v>-9.1300000000000008</v>
      </c>
      <c r="D2012" t="s">
        <v>305</v>
      </c>
      <c r="E2012" t="s">
        <v>437</v>
      </c>
      <c r="F2012" t="s">
        <v>484</v>
      </c>
      <c r="G2012" t="s">
        <v>343</v>
      </c>
    </row>
    <row r="2013" spans="1:7" x14ac:dyDescent="0.3">
      <c r="A2013" t="s">
        <v>296</v>
      </c>
      <c r="B2013" s="5">
        <v>41656</v>
      </c>
      <c r="C2013">
        <v>-2.73</v>
      </c>
      <c r="D2013" t="s">
        <v>305</v>
      </c>
      <c r="E2013" t="s">
        <v>429</v>
      </c>
      <c r="F2013" t="s">
        <v>524</v>
      </c>
      <c r="G2013" t="s">
        <v>342</v>
      </c>
    </row>
    <row r="2014" spans="1:7" x14ac:dyDescent="0.3">
      <c r="A2014" t="s">
        <v>296</v>
      </c>
      <c r="B2014" s="5">
        <v>41656</v>
      </c>
      <c r="C2014">
        <v>-3.99</v>
      </c>
      <c r="D2014" t="s">
        <v>305</v>
      </c>
      <c r="E2014" t="s">
        <v>442</v>
      </c>
      <c r="F2014" t="s">
        <v>487</v>
      </c>
      <c r="G2014" t="s">
        <v>343</v>
      </c>
    </row>
    <row r="2015" spans="1:7" x14ac:dyDescent="0.3">
      <c r="A2015" t="s">
        <v>296</v>
      </c>
      <c r="B2015" s="5">
        <v>41656</v>
      </c>
      <c r="C2015">
        <v>-275.91000000000003</v>
      </c>
      <c r="D2015" t="s">
        <v>305</v>
      </c>
      <c r="E2015" t="s">
        <v>478</v>
      </c>
      <c r="F2015" t="s">
        <v>525</v>
      </c>
      <c r="G2015" t="s">
        <v>526</v>
      </c>
    </row>
    <row r="2016" spans="1:7" x14ac:dyDescent="0.3">
      <c r="A2016" t="s">
        <v>296</v>
      </c>
      <c r="B2016" s="5">
        <v>41657</v>
      </c>
      <c r="C2016">
        <v>49.26</v>
      </c>
      <c r="D2016" t="s">
        <v>305</v>
      </c>
      <c r="E2016" t="s">
        <v>518</v>
      </c>
      <c r="F2016" t="s">
        <v>519</v>
      </c>
      <c r="G2016" t="s">
        <v>444</v>
      </c>
    </row>
    <row r="2017" spans="1:7" x14ac:dyDescent="0.3">
      <c r="A2017" t="s">
        <v>296</v>
      </c>
      <c r="B2017" s="5">
        <v>41657</v>
      </c>
      <c r="C2017">
        <v>-0.5</v>
      </c>
      <c r="D2017" t="s">
        <v>305</v>
      </c>
      <c r="E2017" t="s">
        <v>527</v>
      </c>
      <c r="F2017" t="s">
        <v>528</v>
      </c>
      <c r="G2017" t="s">
        <v>342</v>
      </c>
    </row>
    <row r="2018" spans="1:7" x14ac:dyDescent="0.3">
      <c r="A2018" t="s">
        <v>296</v>
      </c>
      <c r="B2018" s="5">
        <v>41657</v>
      </c>
      <c r="C2018">
        <v>-2.4900000000000002</v>
      </c>
      <c r="D2018" t="s">
        <v>305</v>
      </c>
      <c r="E2018" t="s">
        <v>462</v>
      </c>
      <c r="F2018" t="s">
        <v>486</v>
      </c>
      <c r="G2018" t="s">
        <v>441</v>
      </c>
    </row>
    <row r="2019" spans="1:7" x14ac:dyDescent="0.3">
      <c r="A2019" t="s">
        <v>296</v>
      </c>
      <c r="B2019" s="5">
        <v>41657</v>
      </c>
      <c r="C2019">
        <v>-4.1100000000000003</v>
      </c>
      <c r="D2019" t="s">
        <v>305</v>
      </c>
      <c r="E2019" t="s">
        <v>442</v>
      </c>
      <c r="F2019" t="s">
        <v>487</v>
      </c>
      <c r="G2019" t="s">
        <v>343</v>
      </c>
    </row>
    <row r="2020" spans="1:7" x14ac:dyDescent="0.3">
      <c r="A2020" t="s">
        <v>296</v>
      </c>
      <c r="B2020" s="5">
        <v>41657</v>
      </c>
      <c r="C2020">
        <v>-102.42</v>
      </c>
      <c r="D2020" t="s">
        <v>305</v>
      </c>
      <c r="E2020" t="s">
        <v>442</v>
      </c>
      <c r="F2020" t="s">
        <v>487</v>
      </c>
      <c r="G2020" t="s">
        <v>343</v>
      </c>
    </row>
    <row r="2021" spans="1:7" x14ac:dyDescent="0.3">
      <c r="A2021" t="s">
        <v>296</v>
      </c>
      <c r="B2021" s="5">
        <v>41657</v>
      </c>
      <c r="C2021">
        <v>-244.77</v>
      </c>
      <c r="D2021" t="s">
        <v>305</v>
      </c>
      <c r="E2021" t="s">
        <v>529</v>
      </c>
      <c r="F2021" t="s">
        <v>530</v>
      </c>
      <c r="G2021" t="s">
        <v>334</v>
      </c>
    </row>
    <row r="2022" spans="1:7" x14ac:dyDescent="0.3">
      <c r="A2022" t="s">
        <v>296</v>
      </c>
      <c r="B2022" s="5">
        <v>41658</v>
      </c>
      <c r="C2022">
        <v>-18.329999999999998</v>
      </c>
      <c r="D2022" t="s">
        <v>305</v>
      </c>
      <c r="E2022" t="s">
        <v>471</v>
      </c>
      <c r="F2022" t="s">
        <v>531</v>
      </c>
      <c r="G2022" t="s">
        <v>334</v>
      </c>
    </row>
    <row r="2023" spans="1:7" x14ac:dyDescent="0.3">
      <c r="A2023" t="s">
        <v>296</v>
      </c>
      <c r="B2023" s="5">
        <v>41658</v>
      </c>
      <c r="C2023">
        <v>-19.7</v>
      </c>
      <c r="D2023" t="s">
        <v>305</v>
      </c>
      <c r="E2023" t="s">
        <v>532</v>
      </c>
      <c r="F2023" t="s">
        <v>533</v>
      </c>
      <c r="G2023" t="s">
        <v>458</v>
      </c>
    </row>
    <row r="2024" spans="1:7" x14ac:dyDescent="0.3">
      <c r="A2024" t="s">
        <v>296</v>
      </c>
      <c r="B2024" s="5">
        <v>41659</v>
      </c>
      <c r="C2024">
        <v>-5.37</v>
      </c>
      <c r="D2024" t="s">
        <v>305</v>
      </c>
      <c r="E2024" t="s">
        <v>433</v>
      </c>
      <c r="F2024" t="s">
        <v>534</v>
      </c>
      <c r="G2024" t="s">
        <v>343</v>
      </c>
    </row>
    <row r="2025" spans="1:7" x14ac:dyDescent="0.3">
      <c r="A2025" t="s">
        <v>296</v>
      </c>
      <c r="B2025" s="5">
        <v>41659</v>
      </c>
      <c r="C2025" s="4">
        <v>-1516.19</v>
      </c>
      <c r="D2025" t="s">
        <v>305</v>
      </c>
      <c r="E2025" t="s">
        <v>535</v>
      </c>
      <c r="F2025" t="s">
        <v>536</v>
      </c>
      <c r="G2025" t="s">
        <v>479</v>
      </c>
    </row>
    <row r="2026" spans="1:7" x14ac:dyDescent="0.3">
      <c r="A2026" t="s">
        <v>296</v>
      </c>
      <c r="B2026" s="5">
        <v>41661</v>
      </c>
      <c r="C2026">
        <v>25</v>
      </c>
      <c r="D2026" t="s">
        <v>305</v>
      </c>
      <c r="E2026" t="s">
        <v>438</v>
      </c>
      <c r="F2026" t="s">
        <v>436</v>
      </c>
      <c r="G2026" t="s">
        <v>14</v>
      </c>
    </row>
    <row r="2027" spans="1:7" x14ac:dyDescent="0.3">
      <c r="A2027" t="s">
        <v>296</v>
      </c>
      <c r="B2027" s="5">
        <v>41661</v>
      </c>
      <c r="C2027">
        <v>-15.09</v>
      </c>
      <c r="D2027" t="s">
        <v>305</v>
      </c>
      <c r="E2027" t="s">
        <v>537</v>
      </c>
      <c r="F2027" t="s">
        <v>538</v>
      </c>
      <c r="G2027" t="s">
        <v>334</v>
      </c>
    </row>
    <row r="2028" spans="1:7" x14ac:dyDescent="0.3">
      <c r="A2028" t="s">
        <v>296</v>
      </c>
      <c r="B2028" s="5">
        <v>41661</v>
      </c>
      <c r="C2028">
        <v>-27</v>
      </c>
      <c r="D2028" t="s">
        <v>305</v>
      </c>
      <c r="E2028" t="s">
        <v>450</v>
      </c>
      <c r="F2028" t="s">
        <v>539</v>
      </c>
      <c r="G2028" t="s">
        <v>17</v>
      </c>
    </row>
    <row r="2029" spans="1:7" x14ac:dyDescent="0.3">
      <c r="A2029" t="s">
        <v>296</v>
      </c>
      <c r="B2029" s="5">
        <v>41662</v>
      </c>
      <c r="C2029">
        <v>-23.9</v>
      </c>
      <c r="D2029" t="s">
        <v>305</v>
      </c>
      <c r="E2029" t="s">
        <v>480</v>
      </c>
      <c r="F2029" t="s">
        <v>540</v>
      </c>
      <c r="G2029" t="s">
        <v>334</v>
      </c>
    </row>
    <row r="2030" spans="1:7" x14ac:dyDescent="0.3">
      <c r="A2030" t="s">
        <v>296</v>
      </c>
      <c r="B2030" s="5">
        <v>41663</v>
      </c>
      <c r="C2030">
        <v>-36.93</v>
      </c>
      <c r="D2030" t="s">
        <v>305</v>
      </c>
      <c r="E2030" t="s">
        <v>541</v>
      </c>
      <c r="F2030" t="s">
        <v>542</v>
      </c>
      <c r="G2030" t="s">
        <v>334</v>
      </c>
    </row>
    <row r="2031" spans="1:7" x14ac:dyDescent="0.3">
      <c r="A2031" t="s">
        <v>296</v>
      </c>
      <c r="B2031" s="5">
        <v>41664</v>
      </c>
      <c r="C2031">
        <v>-6</v>
      </c>
      <c r="D2031" t="s">
        <v>305</v>
      </c>
      <c r="E2031" t="s">
        <v>543</v>
      </c>
      <c r="F2031" t="s">
        <v>544</v>
      </c>
      <c r="G2031" t="s">
        <v>458</v>
      </c>
    </row>
    <row r="2032" spans="1:7" x14ac:dyDescent="0.3">
      <c r="A2032" t="s">
        <v>296</v>
      </c>
      <c r="B2032" s="5">
        <v>41664</v>
      </c>
      <c r="C2032">
        <v>-44.86</v>
      </c>
      <c r="D2032" t="s">
        <v>305</v>
      </c>
      <c r="E2032" t="s">
        <v>545</v>
      </c>
      <c r="F2032" t="s">
        <v>546</v>
      </c>
      <c r="G2032" t="s">
        <v>434</v>
      </c>
    </row>
    <row r="2033" spans="1:9" x14ac:dyDescent="0.3">
      <c r="A2033" t="s">
        <v>296</v>
      </c>
      <c r="B2033" s="5">
        <v>41664</v>
      </c>
      <c r="C2033">
        <v>-119.88</v>
      </c>
      <c r="D2033" t="s">
        <v>305</v>
      </c>
      <c r="E2033" t="s">
        <v>442</v>
      </c>
      <c r="F2033" t="s">
        <v>493</v>
      </c>
      <c r="G2033" t="s">
        <v>343</v>
      </c>
    </row>
    <row r="2034" spans="1:9" x14ac:dyDescent="0.3">
      <c r="A2034" t="s">
        <v>296</v>
      </c>
      <c r="B2034" s="5">
        <v>41665</v>
      </c>
      <c r="C2034">
        <v>-8.3800000000000008</v>
      </c>
      <c r="D2034" t="s">
        <v>305</v>
      </c>
      <c r="E2034" t="s">
        <v>437</v>
      </c>
      <c r="F2034" t="s">
        <v>484</v>
      </c>
      <c r="G2034" t="s">
        <v>343</v>
      </c>
    </row>
    <row r="2035" spans="1:9" x14ac:dyDescent="0.3">
      <c r="A2035" t="s">
        <v>296</v>
      </c>
      <c r="B2035" s="5">
        <v>41665</v>
      </c>
      <c r="C2035">
        <v>-44.96</v>
      </c>
      <c r="D2035" t="s">
        <v>305</v>
      </c>
      <c r="E2035" t="s">
        <v>545</v>
      </c>
      <c r="F2035" t="s">
        <v>547</v>
      </c>
      <c r="G2035" t="s">
        <v>434</v>
      </c>
    </row>
    <row r="2036" spans="1:9" x14ac:dyDescent="0.3">
      <c r="A2036" t="s">
        <v>296</v>
      </c>
      <c r="B2036" s="5">
        <v>41666</v>
      </c>
      <c r="C2036">
        <v>-4.26</v>
      </c>
      <c r="D2036" t="s">
        <v>305</v>
      </c>
      <c r="E2036" t="s">
        <v>470</v>
      </c>
      <c r="F2036" t="s">
        <v>548</v>
      </c>
      <c r="G2036" t="s">
        <v>334</v>
      </c>
    </row>
    <row r="2037" spans="1:9" x14ac:dyDescent="0.3">
      <c r="A2037" t="s">
        <v>296</v>
      </c>
      <c r="B2037" s="5">
        <v>41667</v>
      </c>
      <c r="C2037">
        <v>-17.32</v>
      </c>
      <c r="D2037" t="s">
        <v>305</v>
      </c>
      <c r="E2037" t="s">
        <v>472</v>
      </c>
      <c r="F2037" t="s">
        <v>549</v>
      </c>
      <c r="G2037" t="s">
        <v>334</v>
      </c>
    </row>
    <row r="2038" spans="1:9" x14ac:dyDescent="0.3">
      <c r="A2038" t="s">
        <v>296</v>
      </c>
      <c r="B2038" s="5">
        <v>41668</v>
      </c>
      <c r="C2038">
        <v>-109.5</v>
      </c>
      <c r="D2038" t="s">
        <v>305</v>
      </c>
      <c r="E2038" t="s">
        <v>482</v>
      </c>
      <c r="F2038" t="s">
        <v>550</v>
      </c>
      <c r="G2038" t="s">
        <v>69</v>
      </c>
    </row>
    <row r="2039" spans="1:9" x14ac:dyDescent="0.3">
      <c r="A2039" t="s">
        <v>296</v>
      </c>
      <c r="B2039" s="5">
        <v>41669</v>
      </c>
      <c r="C2039">
        <v>-52.56</v>
      </c>
      <c r="D2039" t="s">
        <v>305</v>
      </c>
      <c r="E2039" t="s">
        <v>442</v>
      </c>
      <c r="F2039" t="s">
        <v>687</v>
      </c>
      <c r="G2039" t="s">
        <v>444</v>
      </c>
    </row>
    <row r="2040" spans="1:9" x14ac:dyDescent="0.3">
      <c r="A2040" t="s">
        <v>296</v>
      </c>
      <c r="B2040" s="5">
        <v>41671</v>
      </c>
      <c r="C2040">
        <v>-8.14</v>
      </c>
      <c r="D2040" t="s">
        <v>305</v>
      </c>
      <c r="E2040" t="s">
        <v>447</v>
      </c>
      <c r="F2040" t="s">
        <v>551</v>
      </c>
      <c r="G2040" t="s">
        <v>334</v>
      </c>
    </row>
    <row r="2041" spans="1:9" x14ac:dyDescent="0.3">
      <c r="A2041" t="s">
        <v>296</v>
      </c>
      <c r="B2041" s="5">
        <v>41671</v>
      </c>
      <c r="C2041">
        <v>-12.04</v>
      </c>
      <c r="D2041" t="s">
        <v>305</v>
      </c>
      <c r="E2041" t="s">
        <v>482</v>
      </c>
      <c r="F2041" t="s">
        <v>552</v>
      </c>
      <c r="G2041" t="s">
        <v>334</v>
      </c>
    </row>
    <row r="2042" spans="1:9" x14ac:dyDescent="0.3">
      <c r="A2042" t="s">
        <v>296</v>
      </c>
      <c r="B2042" s="5">
        <v>41671</v>
      </c>
      <c r="C2042">
        <v>-14.24</v>
      </c>
      <c r="D2042" t="s">
        <v>305</v>
      </c>
      <c r="E2042" t="s">
        <v>482</v>
      </c>
      <c r="F2042" t="s">
        <v>552</v>
      </c>
      <c r="G2042" t="s">
        <v>458</v>
      </c>
    </row>
    <row r="2043" spans="1:9" x14ac:dyDescent="0.3">
      <c r="A2043" t="s">
        <v>296</v>
      </c>
      <c r="B2043" s="5">
        <v>41671</v>
      </c>
      <c r="C2043">
        <v>-34.17</v>
      </c>
      <c r="D2043" t="s">
        <v>305</v>
      </c>
      <c r="E2043" t="s">
        <v>553</v>
      </c>
      <c r="F2043" t="s">
        <v>554</v>
      </c>
      <c r="G2043" t="s">
        <v>334</v>
      </c>
    </row>
    <row r="2044" spans="1:9" x14ac:dyDescent="0.3">
      <c r="A2044" t="s">
        <v>296</v>
      </c>
      <c r="B2044" s="5">
        <v>41671</v>
      </c>
      <c r="C2044">
        <v>-108.66</v>
      </c>
      <c r="D2044" t="s">
        <v>305</v>
      </c>
      <c r="E2044" t="s">
        <v>432</v>
      </c>
      <c r="F2044" t="s">
        <v>555</v>
      </c>
      <c r="G2044" t="s">
        <v>20</v>
      </c>
    </row>
    <row r="2045" spans="1:9" x14ac:dyDescent="0.3">
      <c r="A2045" t="s">
        <v>296</v>
      </c>
      <c r="B2045" s="5">
        <v>41671</v>
      </c>
      <c r="C2045">
        <v>-112.51</v>
      </c>
      <c r="D2045" t="s">
        <v>305</v>
      </c>
      <c r="E2045" t="s">
        <v>442</v>
      </c>
      <c r="F2045" t="s">
        <v>493</v>
      </c>
      <c r="G2045" t="s">
        <v>343</v>
      </c>
    </row>
    <row r="2046" spans="1:9" x14ac:dyDescent="0.3">
      <c r="A2046" t="s">
        <v>296</v>
      </c>
      <c r="B2046" s="5">
        <v>41672</v>
      </c>
      <c r="C2046">
        <v>-22.02</v>
      </c>
      <c r="D2046" t="s">
        <v>305</v>
      </c>
      <c r="E2046" t="s">
        <v>452</v>
      </c>
      <c r="F2046" t="s">
        <v>496</v>
      </c>
      <c r="G2046" t="s">
        <v>453</v>
      </c>
      <c r="I2046" t="s">
        <v>272</v>
      </c>
    </row>
    <row r="2047" spans="1:9" x14ac:dyDescent="0.3">
      <c r="A2047" t="s">
        <v>296</v>
      </c>
      <c r="B2047" s="5">
        <v>41672</v>
      </c>
      <c r="C2047">
        <v>-64.069999999999993</v>
      </c>
      <c r="D2047" t="s">
        <v>305</v>
      </c>
      <c r="E2047" t="s">
        <v>452</v>
      </c>
      <c r="G2047" t="s">
        <v>454</v>
      </c>
      <c r="I2047" t="s">
        <v>272</v>
      </c>
    </row>
    <row r="2048" spans="1:9" x14ac:dyDescent="0.3">
      <c r="A2048" t="s">
        <v>296</v>
      </c>
      <c r="B2048" s="5">
        <v>41672</v>
      </c>
      <c r="C2048">
        <v>-44.07</v>
      </c>
      <c r="D2048" t="s">
        <v>305</v>
      </c>
      <c r="E2048" t="s">
        <v>452</v>
      </c>
      <c r="G2048" t="s">
        <v>455</v>
      </c>
      <c r="I2048" t="s">
        <v>272</v>
      </c>
    </row>
    <row r="2049" spans="1:7" x14ac:dyDescent="0.3">
      <c r="A2049" t="s">
        <v>296</v>
      </c>
      <c r="B2049" s="5">
        <v>41672</v>
      </c>
      <c r="C2049">
        <v>-15.49</v>
      </c>
      <c r="D2049" t="s">
        <v>305</v>
      </c>
      <c r="E2049" t="s">
        <v>465</v>
      </c>
      <c r="F2049" t="s">
        <v>556</v>
      </c>
      <c r="G2049" t="s">
        <v>69</v>
      </c>
    </row>
    <row r="2050" spans="1:7" x14ac:dyDescent="0.3">
      <c r="A2050" t="s">
        <v>296</v>
      </c>
      <c r="B2050" s="5">
        <v>41672</v>
      </c>
      <c r="C2050">
        <v>-31.04</v>
      </c>
      <c r="D2050" t="s">
        <v>305</v>
      </c>
      <c r="E2050" t="s">
        <v>557</v>
      </c>
      <c r="F2050" t="s">
        <v>558</v>
      </c>
      <c r="G2050" t="s">
        <v>69</v>
      </c>
    </row>
    <row r="2051" spans="1:7" x14ac:dyDescent="0.3">
      <c r="A2051" t="s">
        <v>296</v>
      </c>
      <c r="B2051" s="5">
        <v>41673</v>
      </c>
      <c r="C2051" s="4">
        <v>2942.27</v>
      </c>
      <c r="D2051" t="s">
        <v>305</v>
      </c>
      <c r="E2051" t="s">
        <v>322</v>
      </c>
      <c r="F2051" t="s">
        <v>1940</v>
      </c>
      <c r="G2051" t="s">
        <v>9</v>
      </c>
    </row>
    <row r="2052" spans="1:7" x14ac:dyDescent="0.3">
      <c r="A2052" t="s">
        <v>296</v>
      </c>
      <c r="B2052" s="5">
        <v>41673</v>
      </c>
      <c r="C2052">
        <v>-38.229999999999997</v>
      </c>
      <c r="D2052" t="s">
        <v>305</v>
      </c>
      <c r="E2052" t="s">
        <v>433</v>
      </c>
      <c r="F2052" t="s">
        <v>483</v>
      </c>
      <c r="G2052" t="s">
        <v>343</v>
      </c>
    </row>
    <row r="2053" spans="1:7" x14ac:dyDescent="0.3">
      <c r="A2053" t="s">
        <v>296</v>
      </c>
      <c r="B2053" s="5">
        <v>41674</v>
      </c>
      <c r="C2053">
        <v>25</v>
      </c>
      <c r="D2053" t="s">
        <v>305</v>
      </c>
      <c r="E2053" t="s">
        <v>438</v>
      </c>
      <c r="F2053" t="s">
        <v>436</v>
      </c>
      <c r="G2053" t="s">
        <v>14</v>
      </c>
    </row>
    <row r="2054" spans="1:7" x14ac:dyDescent="0.3">
      <c r="A2054" t="s">
        <v>296</v>
      </c>
      <c r="B2054" s="5">
        <v>41674</v>
      </c>
      <c r="C2054">
        <v>-13.42</v>
      </c>
      <c r="D2054" t="s">
        <v>305</v>
      </c>
      <c r="E2054" t="s">
        <v>440</v>
      </c>
      <c r="F2054" t="s">
        <v>505</v>
      </c>
      <c r="G2054" t="s">
        <v>441</v>
      </c>
    </row>
    <row r="2055" spans="1:7" x14ac:dyDescent="0.3">
      <c r="A2055" t="s">
        <v>296</v>
      </c>
      <c r="B2055" s="5">
        <v>41674</v>
      </c>
      <c r="C2055">
        <v>-505.28</v>
      </c>
      <c r="D2055" t="s">
        <v>305</v>
      </c>
      <c r="E2055" t="s">
        <v>456</v>
      </c>
      <c r="F2055" t="s">
        <v>559</v>
      </c>
      <c r="G2055" t="s">
        <v>427</v>
      </c>
    </row>
    <row r="2056" spans="1:7" x14ac:dyDescent="0.3">
      <c r="A2056" t="s">
        <v>296</v>
      </c>
      <c r="B2056" s="5">
        <v>41675</v>
      </c>
      <c r="C2056">
        <v>-3.25</v>
      </c>
      <c r="D2056" t="s">
        <v>305</v>
      </c>
      <c r="E2056" t="s">
        <v>437</v>
      </c>
      <c r="F2056" t="s">
        <v>484</v>
      </c>
      <c r="G2056" t="s">
        <v>343</v>
      </c>
    </row>
    <row r="2057" spans="1:7" x14ac:dyDescent="0.3">
      <c r="A2057" t="s">
        <v>296</v>
      </c>
      <c r="B2057" s="5">
        <v>41676</v>
      </c>
      <c r="C2057">
        <v>-4.92</v>
      </c>
      <c r="D2057" t="s">
        <v>305</v>
      </c>
      <c r="E2057" t="s">
        <v>475</v>
      </c>
      <c r="F2057" t="s">
        <v>560</v>
      </c>
      <c r="G2057" t="s">
        <v>334</v>
      </c>
    </row>
    <row r="2058" spans="1:7" x14ac:dyDescent="0.3">
      <c r="A2058" t="s">
        <v>296</v>
      </c>
      <c r="B2058" s="5">
        <v>41677</v>
      </c>
      <c r="C2058">
        <v>-9.8000000000000007</v>
      </c>
      <c r="D2058" t="s">
        <v>305</v>
      </c>
      <c r="E2058" t="s">
        <v>492</v>
      </c>
      <c r="F2058" t="s">
        <v>561</v>
      </c>
      <c r="G2058" t="s">
        <v>361</v>
      </c>
    </row>
    <row r="2059" spans="1:7" x14ac:dyDescent="0.3">
      <c r="A2059" t="s">
        <v>296</v>
      </c>
      <c r="B2059" s="5">
        <v>41677</v>
      </c>
      <c r="C2059">
        <v>-31.6</v>
      </c>
      <c r="D2059" t="s">
        <v>305</v>
      </c>
      <c r="E2059" t="s">
        <v>446</v>
      </c>
      <c r="F2059" t="s">
        <v>562</v>
      </c>
      <c r="G2059" t="s">
        <v>20</v>
      </c>
    </row>
    <row r="2060" spans="1:7" x14ac:dyDescent="0.3">
      <c r="A2060" t="s">
        <v>296</v>
      </c>
      <c r="B2060" s="5">
        <v>41678</v>
      </c>
      <c r="C2060">
        <v>-2.73</v>
      </c>
      <c r="D2060" t="s">
        <v>305</v>
      </c>
      <c r="E2060" t="s">
        <v>462</v>
      </c>
      <c r="F2060" t="s">
        <v>486</v>
      </c>
      <c r="G2060" t="s">
        <v>441</v>
      </c>
    </row>
    <row r="2061" spans="1:7" x14ac:dyDescent="0.3">
      <c r="A2061" t="s">
        <v>296</v>
      </c>
      <c r="B2061" s="5">
        <v>41678</v>
      </c>
      <c r="C2061">
        <v>-19</v>
      </c>
      <c r="D2061" t="s">
        <v>305</v>
      </c>
      <c r="E2061" t="s">
        <v>445</v>
      </c>
      <c r="F2061" t="s">
        <v>563</v>
      </c>
      <c r="G2061" t="s">
        <v>334</v>
      </c>
    </row>
    <row r="2062" spans="1:7" x14ac:dyDescent="0.3">
      <c r="A2062" t="s">
        <v>296</v>
      </c>
      <c r="B2062" s="5">
        <v>41678</v>
      </c>
      <c r="C2062">
        <v>-34</v>
      </c>
      <c r="D2062" t="s">
        <v>305</v>
      </c>
      <c r="E2062" t="s">
        <v>564</v>
      </c>
      <c r="F2062" t="s">
        <v>565</v>
      </c>
      <c r="G2062" t="s">
        <v>404</v>
      </c>
    </row>
    <row r="2063" spans="1:7" x14ac:dyDescent="0.3">
      <c r="A2063" t="s">
        <v>296</v>
      </c>
      <c r="B2063" s="5">
        <v>41678</v>
      </c>
      <c r="C2063">
        <v>-55.17</v>
      </c>
      <c r="D2063" t="s">
        <v>305</v>
      </c>
      <c r="E2063" t="s">
        <v>442</v>
      </c>
      <c r="F2063" t="s">
        <v>493</v>
      </c>
      <c r="G2063" t="s">
        <v>343</v>
      </c>
    </row>
    <row r="2064" spans="1:7" x14ac:dyDescent="0.3">
      <c r="A2064" t="s">
        <v>296</v>
      </c>
      <c r="B2064" s="5">
        <v>41678</v>
      </c>
      <c r="C2064">
        <v>-69.48</v>
      </c>
      <c r="D2064" t="s">
        <v>305</v>
      </c>
      <c r="E2064" t="s">
        <v>443</v>
      </c>
      <c r="F2064" t="s">
        <v>488</v>
      </c>
      <c r="G2064" t="s">
        <v>343</v>
      </c>
    </row>
    <row r="2065" spans="1:7" x14ac:dyDescent="0.3">
      <c r="A2065" t="s">
        <v>296</v>
      </c>
      <c r="B2065" s="5">
        <v>41679</v>
      </c>
      <c r="C2065">
        <v>-19.420000000000002</v>
      </c>
      <c r="D2065" t="s">
        <v>305</v>
      </c>
      <c r="E2065" t="s">
        <v>566</v>
      </c>
      <c r="F2065" t="s">
        <v>567</v>
      </c>
      <c r="G2065" t="s">
        <v>334</v>
      </c>
    </row>
    <row r="2066" spans="1:7" x14ac:dyDescent="0.3">
      <c r="A2066" t="s">
        <v>296</v>
      </c>
      <c r="B2066" s="5">
        <v>41679</v>
      </c>
      <c r="C2066">
        <v>-25.81</v>
      </c>
      <c r="D2066" t="s">
        <v>305</v>
      </c>
      <c r="E2066" t="s">
        <v>451</v>
      </c>
      <c r="F2066" t="s">
        <v>1941</v>
      </c>
      <c r="G2066" t="s">
        <v>360</v>
      </c>
    </row>
    <row r="2067" spans="1:7" x14ac:dyDescent="0.3">
      <c r="A2067" t="s">
        <v>296</v>
      </c>
      <c r="B2067" s="5">
        <v>41679</v>
      </c>
      <c r="C2067">
        <v>-50</v>
      </c>
      <c r="D2067" t="s">
        <v>305</v>
      </c>
      <c r="E2067" t="s">
        <v>481</v>
      </c>
      <c r="F2067" t="s">
        <v>522</v>
      </c>
      <c r="G2067" t="s">
        <v>457</v>
      </c>
    </row>
    <row r="2068" spans="1:7" x14ac:dyDescent="0.3">
      <c r="A2068" t="s">
        <v>296</v>
      </c>
      <c r="B2068" s="5">
        <v>41680</v>
      </c>
      <c r="C2068">
        <v>-138</v>
      </c>
      <c r="D2068" t="s">
        <v>305</v>
      </c>
      <c r="E2068" t="s">
        <v>568</v>
      </c>
      <c r="F2068" t="s">
        <v>569</v>
      </c>
      <c r="G2068" t="s">
        <v>418</v>
      </c>
    </row>
    <row r="2069" spans="1:7" x14ac:dyDescent="0.3">
      <c r="A2069" t="s">
        <v>296</v>
      </c>
      <c r="B2069" s="5">
        <v>41680</v>
      </c>
      <c r="C2069">
        <v>-335</v>
      </c>
      <c r="D2069" t="s">
        <v>305</v>
      </c>
      <c r="E2069" t="s">
        <v>456</v>
      </c>
      <c r="F2069" t="s">
        <v>559</v>
      </c>
      <c r="G2069" t="s">
        <v>330</v>
      </c>
    </row>
    <row r="2070" spans="1:7" x14ac:dyDescent="0.3">
      <c r="A2070" t="s">
        <v>296</v>
      </c>
      <c r="B2070" s="5">
        <v>41680</v>
      </c>
      <c r="C2070" s="4">
        <v>-2259.7199999999998</v>
      </c>
      <c r="D2070" t="s">
        <v>305</v>
      </c>
      <c r="E2070" t="s">
        <v>456</v>
      </c>
      <c r="F2070" t="s">
        <v>559</v>
      </c>
      <c r="G2070" t="s">
        <v>427</v>
      </c>
    </row>
    <row r="2071" spans="1:7" x14ac:dyDescent="0.3">
      <c r="A2071" t="s">
        <v>296</v>
      </c>
      <c r="B2071" s="5">
        <v>41681</v>
      </c>
      <c r="C2071">
        <v>-17</v>
      </c>
      <c r="D2071" t="s">
        <v>305</v>
      </c>
      <c r="E2071" t="s">
        <v>570</v>
      </c>
      <c r="F2071" t="s">
        <v>571</v>
      </c>
      <c r="G2071" t="s">
        <v>20</v>
      </c>
    </row>
    <row r="2072" spans="1:7" x14ac:dyDescent="0.3">
      <c r="A2072" t="s">
        <v>296</v>
      </c>
      <c r="B2072" s="5">
        <v>41682</v>
      </c>
      <c r="C2072">
        <v>50</v>
      </c>
      <c r="D2072" t="s">
        <v>305</v>
      </c>
      <c r="E2072" t="s">
        <v>438</v>
      </c>
      <c r="F2072" t="s">
        <v>669</v>
      </c>
      <c r="G2072" t="s">
        <v>14</v>
      </c>
    </row>
    <row r="2073" spans="1:7" x14ac:dyDescent="0.3">
      <c r="A2073" t="s">
        <v>296</v>
      </c>
      <c r="B2073" s="5">
        <v>41682</v>
      </c>
      <c r="C2073">
        <v>-54</v>
      </c>
      <c r="D2073" t="s">
        <v>305</v>
      </c>
      <c r="E2073" t="s">
        <v>456</v>
      </c>
      <c r="F2073" t="s">
        <v>572</v>
      </c>
      <c r="G2073" t="s">
        <v>318</v>
      </c>
    </row>
    <row r="2074" spans="1:7" x14ac:dyDescent="0.3">
      <c r="A2074" t="s">
        <v>296</v>
      </c>
      <c r="B2074" s="5">
        <v>41682</v>
      </c>
      <c r="C2074">
        <v>-0.27</v>
      </c>
      <c r="D2074" t="s">
        <v>305</v>
      </c>
      <c r="E2074" t="s">
        <v>573</v>
      </c>
      <c r="F2074" t="s">
        <v>574</v>
      </c>
      <c r="G2074" t="s">
        <v>479</v>
      </c>
    </row>
    <row r="2075" spans="1:7" x14ac:dyDescent="0.3">
      <c r="A2075" t="s">
        <v>296</v>
      </c>
      <c r="B2075" s="5">
        <v>41682</v>
      </c>
      <c r="C2075">
        <v>-3.14</v>
      </c>
      <c r="D2075" t="s">
        <v>305</v>
      </c>
      <c r="E2075" t="s">
        <v>448</v>
      </c>
      <c r="F2075" t="s">
        <v>575</v>
      </c>
      <c r="G2075" t="s">
        <v>20</v>
      </c>
    </row>
    <row r="2076" spans="1:7" x14ac:dyDescent="0.3">
      <c r="A2076" t="s">
        <v>296</v>
      </c>
      <c r="B2076" s="5">
        <v>41682</v>
      </c>
      <c r="C2076">
        <v>-10</v>
      </c>
      <c r="D2076" t="s">
        <v>305</v>
      </c>
      <c r="E2076" t="s">
        <v>576</v>
      </c>
      <c r="F2076" t="s">
        <v>577</v>
      </c>
      <c r="G2076" t="s">
        <v>441</v>
      </c>
    </row>
    <row r="2077" spans="1:7" x14ac:dyDescent="0.3">
      <c r="A2077" t="s">
        <v>296</v>
      </c>
      <c r="B2077" s="5">
        <v>41682</v>
      </c>
      <c r="C2077">
        <v>-33.909999999999997</v>
      </c>
      <c r="D2077" t="s">
        <v>305</v>
      </c>
      <c r="E2077" t="s">
        <v>442</v>
      </c>
      <c r="F2077" t="s">
        <v>601</v>
      </c>
      <c r="G2077" t="s">
        <v>343</v>
      </c>
    </row>
    <row r="2078" spans="1:7" x14ac:dyDescent="0.3">
      <c r="A2078" t="s">
        <v>296</v>
      </c>
      <c r="B2078" s="5">
        <v>41685</v>
      </c>
      <c r="C2078">
        <v>-1.35</v>
      </c>
      <c r="D2078" t="s">
        <v>305</v>
      </c>
      <c r="E2078" t="s">
        <v>324</v>
      </c>
      <c r="F2078" t="s">
        <v>578</v>
      </c>
      <c r="G2078" t="s">
        <v>394</v>
      </c>
    </row>
    <row r="2079" spans="1:7" x14ac:dyDescent="0.3">
      <c r="A2079" t="s">
        <v>296</v>
      </c>
      <c r="B2079" s="5">
        <v>41685</v>
      </c>
      <c r="C2079">
        <v>-3</v>
      </c>
      <c r="D2079" t="s">
        <v>305</v>
      </c>
      <c r="E2079" t="s">
        <v>440</v>
      </c>
      <c r="F2079" t="s">
        <v>579</v>
      </c>
      <c r="G2079" t="s">
        <v>441</v>
      </c>
    </row>
    <row r="2080" spans="1:7" x14ac:dyDescent="0.3">
      <c r="A2080" t="s">
        <v>296</v>
      </c>
      <c r="B2080" s="5">
        <v>41685</v>
      </c>
      <c r="C2080">
        <v>-62.39</v>
      </c>
      <c r="D2080" t="s">
        <v>305</v>
      </c>
      <c r="E2080" t="s">
        <v>580</v>
      </c>
      <c r="F2080" t="s">
        <v>581</v>
      </c>
      <c r="G2080" t="s">
        <v>334</v>
      </c>
    </row>
    <row r="2081" spans="1:7" x14ac:dyDescent="0.3">
      <c r="A2081" t="s">
        <v>296</v>
      </c>
      <c r="B2081" s="5">
        <v>41685</v>
      </c>
      <c r="C2081">
        <v>-95</v>
      </c>
      <c r="D2081" t="s">
        <v>305</v>
      </c>
      <c r="E2081" t="s">
        <v>463</v>
      </c>
      <c r="F2081" t="s">
        <v>582</v>
      </c>
      <c r="G2081" t="s">
        <v>458</v>
      </c>
    </row>
    <row r="2082" spans="1:7" x14ac:dyDescent="0.3">
      <c r="A2082" t="s">
        <v>296</v>
      </c>
      <c r="B2082" s="5">
        <v>41686</v>
      </c>
      <c r="C2082">
        <v>-93.55</v>
      </c>
      <c r="D2082" t="s">
        <v>305</v>
      </c>
      <c r="E2082" t="s">
        <v>442</v>
      </c>
      <c r="F2082" t="s">
        <v>487</v>
      </c>
      <c r="G2082" t="s">
        <v>343</v>
      </c>
    </row>
    <row r="2083" spans="1:7" x14ac:dyDescent="0.3">
      <c r="A2083" t="s">
        <v>296</v>
      </c>
      <c r="B2083" s="5">
        <v>41686</v>
      </c>
      <c r="C2083">
        <v>-12.72</v>
      </c>
      <c r="D2083" t="s">
        <v>305</v>
      </c>
      <c r="E2083" t="s">
        <v>466</v>
      </c>
      <c r="F2083" t="s">
        <v>491</v>
      </c>
      <c r="G2083" t="s">
        <v>334</v>
      </c>
    </row>
    <row r="2084" spans="1:7" x14ac:dyDescent="0.3">
      <c r="A2084" t="s">
        <v>296</v>
      </c>
      <c r="B2084" s="5">
        <v>41686</v>
      </c>
      <c r="C2084">
        <v>-20.260000000000002</v>
      </c>
      <c r="D2084" t="s">
        <v>305</v>
      </c>
      <c r="E2084" t="s">
        <v>583</v>
      </c>
      <c r="F2084" t="s">
        <v>584</v>
      </c>
      <c r="G2084" t="s">
        <v>334</v>
      </c>
    </row>
    <row r="2085" spans="1:7" x14ac:dyDescent="0.3">
      <c r="A2085" t="s">
        <v>296</v>
      </c>
      <c r="B2085" s="5">
        <v>41687</v>
      </c>
      <c r="C2085">
        <v>-41.4</v>
      </c>
      <c r="D2085" t="s">
        <v>305</v>
      </c>
      <c r="E2085" t="s">
        <v>464</v>
      </c>
      <c r="F2085" t="s">
        <v>585</v>
      </c>
      <c r="G2085" t="s">
        <v>404</v>
      </c>
    </row>
    <row r="2086" spans="1:7" x14ac:dyDescent="0.3">
      <c r="A2086" t="s">
        <v>296</v>
      </c>
      <c r="B2086" s="5">
        <v>41687</v>
      </c>
      <c r="C2086">
        <v>-982.57</v>
      </c>
      <c r="D2086" t="s">
        <v>305</v>
      </c>
      <c r="E2086" t="s">
        <v>535</v>
      </c>
      <c r="F2086" t="s">
        <v>586</v>
      </c>
      <c r="G2086" t="s">
        <v>479</v>
      </c>
    </row>
    <row r="2087" spans="1:7" x14ac:dyDescent="0.3">
      <c r="A2087" t="s">
        <v>296</v>
      </c>
      <c r="B2087" s="5">
        <v>41687</v>
      </c>
      <c r="C2087">
        <v>-4.4400000000000004</v>
      </c>
      <c r="D2087" t="s">
        <v>305</v>
      </c>
      <c r="E2087" t="s">
        <v>437</v>
      </c>
      <c r="G2087" t="s">
        <v>343</v>
      </c>
    </row>
    <row r="2088" spans="1:7" x14ac:dyDescent="0.3">
      <c r="A2088" t="s">
        <v>296</v>
      </c>
      <c r="B2088" s="5">
        <v>41687</v>
      </c>
      <c r="C2088">
        <v>-18.29</v>
      </c>
      <c r="D2088" t="s">
        <v>305</v>
      </c>
      <c r="E2088" t="s">
        <v>461</v>
      </c>
      <c r="G2088" t="s">
        <v>334</v>
      </c>
    </row>
    <row r="2089" spans="1:7" x14ac:dyDescent="0.3">
      <c r="A2089" t="s">
        <v>296</v>
      </c>
      <c r="B2089" s="5">
        <v>41689</v>
      </c>
      <c r="C2089">
        <v>25</v>
      </c>
      <c r="D2089" t="s">
        <v>305</v>
      </c>
      <c r="E2089" t="s">
        <v>438</v>
      </c>
      <c r="F2089" t="s">
        <v>436</v>
      </c>
      <c r="G2089" t="s">
        <v>14</v>
      </c>
    </row>
    <row r="2090" spans="1:7" x14ac:dyDescent="0.3">
      <c r="A2090" t="s">
        <v>296</v>
      </c>
      <c r="B2090" s="5">
        <v>41690</v>
      </c>
      <c r="C2090">
        <v>-6.56</v>
      </c>
      <c r="D2090" t="s">
        <v>305</v>
      </c>
      <c r="E2090" t="s">
        <v>475</v>
      </c>
      <c r="F2090" t="s">
        <v>560</v>
      </c>
      <c r="G2090" t="s">
        <v>334</v>
      </c>
    </row>
    <row r="2091" spans="1:7" x14ac:dyDescent="0.3">
      <c r="A2091" t="s">
        <v>296</v>
      </c>
      <c r="B2091" s="5">
        <v>41690</v>
      </c>
      <c r="C2091">
        <v>-4.59</v>
      </c>
      <c r="D2091" t="s">
        <v>305</v>
      </c>
      <c r="E2091" t="s">
        <v>437</v>
      </c>
      <c r="F2091" t="s">
        <v>484</v>
      </c>
      <c r="G2091" t="s">
        <v>343</v>
      </c>
    </row>
    <row r="2092" spans="1:7" x14ac:dyDescent="0.3">
      <c r="A2092" t="s">
        <v>296</v>
      </c>
      <c r="B2092" s="5">
        <v>41691</v>
      </c>
      <c r="C2092">
        <v>-20</v>
      </c>
      <c r="D2092" t="s">
        <v>305</v>
      </c>
      <c r="E2092" t="s">
        <v>439</v>
      </c>
      <c r="F2092" t="s">
        <v>589</v>
      </c>
      <c r="G2092" t="s">
        <v>334</v>
      </c>
    </row>
    <row r="2093" spans="1:7" x14ac:dyDescent="0.3">
      <c r="A2093" t="s">
        <v>296</v>
      </c>
      <c r="B2093" s="5">
        <v>41692</v>
      </c>
      <c r="C2093">
        <v>-8.1</v>
      </c>
      <c r="D2093" t="s">
        <v>305</v>
      </c>
      <c r="E2093" t="s">
        <v>590</v>
      </c>
      <c r="F2093" t="s">
        <v>591</v>
      </c>
      <c r="G2093" t="s">
        <v>418</v>
      </c>
    </row>
    <row r="2094" spans="1:7" x14ac:dyDescent="0.3">
      <c r="A2094" t="s">
        <v>296</v>
      </c>
      <c r="B2094" s="5">
        <v>41692</v>
      </c>
      <c r="C2094">
        <v>-12.85</v>
      </c>
      <c r="D2094" t="s">
        <v>305</v>
      </c>
      <c r="E2094" t="s">
        <v>592</v>
      </c>
      <c r="F2094" t="s">
        <v>591</v>
      </c>
      <c r="G2094" t="s">
        <v>418</v>
      </c>
    </row>
    <row r="2095" spans="1:7" x14ac:dyDescent="0.3">
      <c r="A2095" t="s">
        <v>296</v>
      </c>
      <c r="B2095" s="5">
        <v>41692</v>
      </c>
      <c r="C2095">
        <v>-21.48</v>
      </c>
      <c r="D2095" t="s">
        <v>305</v>
      </c>
      <c r="E2095" t="s">
        <v>593</v>
      </c>
      <c r="F2095" t="s">
        <v>688</v>
      </c>
      <c r="G2095" t="s">
        <v>20</v>
      </c>
    </row>
    <row r="2096" spans="1:7" x14ac:dyDescent="0.3">
      <c r="A2096" t="s">
        <v>296</v>
      </c>
      <c r="B2096" s="5">
        <v>41692</v>
      </c>
      <c r="C2096">
        <v>-30.16</v>
      </c>
      <c r="D2096" t="s">
        <v>305</v>
      </c>
      <c r="E2096" t="s">
        <v>443</v>
      </c>
      <c r="F2096" t="s">
        <v>488</v>
      </c>
      <c r="G2096" t="s">
        <v>343</v>
      </c>
    </row>
    <row r="2097" spans="1:7" x14ac:dyDescent="0.3">
      <c r="A2097" t="s">
        <v>296</v>
      </c>
      <c r="B2097" s="5">
        <v>41692</v>
      </c>
      <c r="C2097">
        <v>-123.85</v>
      </c>
      <c r="D2097" t="s">
        <v>305</v>
      </c>
      <c r="E2097" t="s">
        <v>442</v>
      </c>
      <c r="F2097" t="s">
        <v>493</v>
      </c>
      <c r="G2097" t="s">
        <v>343</v>
      </c>
    </row>
    <row r="2098" spans="1:7" x14ac:dyDescent="0.3">
      <c r="A2098" t="s">
        <v>296</v>
      </c>
      <c r="B2098" s="5">
        <v>41693</v>
      </c>
      <c r="C2098">
        <v>-47.07</v>
      </c>
      <c r="D2098" t="s">
        <v>305</v>
      </c>
      <c r="E2098" t="s">
        <v>594</v>
      </c>
      <c r="F2098" t="s">
        <v>595</v>
      </c>
      <c r="G2098" t="s">
        <v>467</v>
      </c>
    </row>
    <row r="2099" spans="1:7" x14ac:dyDescent="0.3">
      <c r="A2099" t="s">
        <v>296</v>
      </c>
      <c r="B2099" s="5">
        <v>41693</v>
      </c>
      <c r="C2099">
        <v>-6.17</v>
      </c>
      <c r="D2099" t="s">
        <v>305</v>
      </c>
      <c r="E2099" t="s">
        <v>437</v>
      </c>
      <c r="F2099" t="s">
        <v>484</v>
      </c>
      <c r="G2099" t="s">
        <v>343</v>
      </c>
    </row>
    <row r="2100" spans="1:7" x14ac:dyDescent="0.3">
      <c r="A2100" t="s">
        <v>296</v>
      </c>
      <c r="B2100" s="5">
        <v>41694</v>
      </c>
      <c r="C2100">
        <v>-13.73</v>
      </c>
      <c r="D2100" t="s">
        <v>305</v>
      </c>
      <c r="E2100" t="s">
        <v>442</v>
      </c>
      <c r="F2100" t="s">
        <v>487</v>
      </c>
      <c r="G2100" t="s">
        <v>343</v>
      </c>
    </row>
    <row r="2101" spans="1:7" x14ac:dyDescent="0.3">
      <c r="A2101" t="s">
        <v>296</v>
      </c>
      <c r="B2101" s="5">
        <v>41695</v>
      </c>
      <c r="C2101">
        <v>-12.32</v>
      </c>
      <c r="D2101" t="s">
        <v>305</v>
      </c>
      <c r="E2101" t="s">
        <v>689</v>
      </c>
      <c r="F2101" t="s">
        <v>690</v>
      </c>
      <c r="G2101" t="s">
        <v>17</v>
      </c>
    </row>
    <row r="2102" spans="1:7" x14ac:dyDescent="0.3">
      <c r="A2102" t="s">
        <v>296</v>
      </c>
      <c r="B2102" s="5">
        <v>41695</v>
      </c>
      <c r="C2102">
        <v>-0.39</v>
      </c>
      <c r="D2102" t="s">
        <v>305</v>
      </c>
      <c r="E2102" t="s">
        <v>332</v>
      </c>
      <c r="F2102" t="s">
        <v>691</v>
      </c>
      <c r="G2102" t="s">
        <v>334</v>
      </c>
    </row>
    <row r="2103" spans="1:7" x14ac:dyDescent="0.3">
      <c r="A2103" t="s">
        <v>296</v>
      </c>
      <c r="B2103" s="5">
        <v>41695</v>
      </c>
      <c r="C2103">
        <v>-100</v>
      </c>
      <c r="D2103" t="s">
        <v>305</v>
      </c>
      <c r="E2103" t="s">
        <v>332</v>
      </c>
      <c r="F2103" t="s">
        <v>691</v>
      </c>
      <c r="G2103" t="s">
        <v>334</v>
      </c>
    </row>
    <row r="2104" spans="1:7" x14ac:dyDescent="0.3">
      <c r="A2104" t="s">
        <v>296</v>
      </c>
      <c r="B2104" s="5">
        <v>41695</v>
      </c>
      <c r="C2104">
        <v>-292</v>
      </c>
      <c r="D2104" t="s">
        <v>305</v>
      </c>
      <c r="E2104" t="s">
        <v>639</v>
      </c>
      <c r="F2104" t="s">
        <v>692</v>
      </c>
      <c r="G2104" t="s">
        <v>418</v>
      </c>
    </row>
    <row r="2105" spans="1:7" x14ac:dyDescent="0.3">
      <c r="A2105" t="s">
        <v>296</v>
      </c>
      <c r="B2105" s="5">
        <v>41695</v>
      </c>
      <c r="C2105">
        <v>-292</v>
      </c>
      <c r="D2105" t="s">
        <v>305</v>
      </c>
      <c r="E2105" t="s">
        <v>639</v>
      </c>
      <c r="F2105" t="s">
        <v>692</v>
      </c>
      <c r="G2105" t="s">
        <v>418</v>
      </c>
    </row>
    <row r="2106" spans="1:7" x14ac:dyDescent="0.3">
      <c r="A2106" t="s">
        <v>296</v>
      </c>
      <c r="B2106" s="5">
        <v>41695</v>
      </c>
      <c r="C2106">
        <v>-292</v>
      </c>
      <c r="D2106" t="s">
        <v>305</v>
      </c>
      <c r="E2106" t="s">
        <v>639</v>
      </c>
      <c r="F2106" t="s">
        <v>692</v>
      </c>
      <c r="G2106" t="s">
        <v>418</v>
      </c>
    </row>
    <row r="2107" spans="1:7" x14ac:dyDescent="0.3">
      <c r="A2107" t="s">
        <v>296</v>
      </c>
      <c r="B2107" s="5">
        <v>41695</v>
      </c>
      <c r="C2107">
        <v>-292</v>
      </c>
      <c r="D2107" t="s">
        <v>305</v>
      </c>
      <c r="E2107" t="s">
        <v>639</v>
      </c>
      <c r="F2107" t="s">
        <v>692</v>
      </c>
      <c r="G2107" t="s">
        <v>418</v>
      </c>
    </row>
    <row r="2108" spans="1:7" x14ac:dyDescent="0.3">
      <c r="A2108" t="s">
        <v>296</v>
      </c>
      <c r="B2108" s="5">
        <v>41696</v>
      </c>
      <c r="C2108">
        <v>0</v>
      </c>
      <c r="D2108" t="s">
        <v>305</v>
      </c>
      <c r="E2108" t="s">
        <v>309</v>
      </c>
      <c r="F2108" t="s">
        <v>601</v>
      </c>
      <c r="G2108" t="s">
        <v>13</v>
      </c>
    </row>
    <row r="2109" spans="1:7" x14ac:dyDescent="0.3">
      <c r="A2109" t="s">
        <v>296</v>
      </c>
      <c r="B2109" s="5">
        <v>41696</v>
      </c>
      <c r="C2109">
        <v>-60</v>
      </c>
      <c r="D2109" t="s">
        <v>305</v>
      </c>
      <c r="E2109" t="s">
        <v>654</v>
      </c>
      <c r="F2109" t="s">
        <v>693</v>
      </c>
      <c r="G2109" t="s">
        <v>621</v>
      </c>
    </row>
    <row r="2110" spans="1:7" x14ac:dyDescent="0.3">
      <c r="A2110" t="s">
        <v>296</v>
      </c>
      <c r="B2110" s="5">
        <v>41698</v>
      </c>
      <c r="C2110">
        <v>25</v>
      </c>
      <c r="D2110" t="s">
        <v>305</v>
      </c>
      <c r="E2110" t="s">
        <v>438</v>
      </c>
      <c r="F2110" t="s">
        <v>436</v>
      </c>
      <c r="G2110" t="s">
        <v>14</v>
      </c>
    </row>
    <row r="2111" spans="1:7" x14ac:dyDescent="0.3">
      <c r="A2111" t="s">
        <v>296</v>
      </c>
      <c r="B2111" s="5">
        <v>41698</v>
      </c>
      <c r="C2111">
        <v>-1</v>
      </c>
      <c r="D2111" t="s">
        <v>305</v>
      </c>
      <c r="E2111" t="s">
        <v>694</v>
      </c>
      <c r="F2111" t="s">
        <v>695</v>
      </c>
      <c r="G2111" t="s">
        <v>417</v>
      </c>
    </row>
    <row r="2112" spans="1:7" x14ac:dyDescent="0.3">
      <c r="A2112" t="s">
        <v>296</v>
      </c>
      <c r="B2112" s="5">
        <v>41698</v>
      </c>
      <c r="C2112">
        <v>-11.94</v>
      </c>
      <c r="D2112" t="s">
        <v>305</v>
      </c>
      <c r="E2112" t="s">
        <v>696</v>
      </c>
      <c r="F2112" t="s">
        <v>697</v>
      </c>
      <c r="G2112" t="s">
        <v>636</v>
      </c>
    </row>
    <row r="2113" spans="1:9" x14ac:dyDescent="0.3">
      <c r="A2113" t="s">
        <v>296</v>
      </c>
      <c r="B2113" s="5">
        <v>41698</v>
      </c>
      <c r="C2113">
        <v>-15.75</v>
      </c>
      <c r="D2113" t="s">
        <v>307</v>
      </c>
      <c r="E2113" t="s">
        <v>1475</v>
      </c>
      <c r="F2113" t="s">
        <v>1942</v>
      </c>
      <c r="G2113" t="s">
        <v>334</v>
      </c>
    </row>
    <row r="2114" spans="1:9" x14ac:dyDescent="0.3">
      <c r="A2114" t="s">
        <v>296</v>
      </c>
      <c r="B2114" s="5">
        <v>41699</v>
      </c>
      <c r="C2114" s="4">
        <v>4025.58</v>
      </c>
      <c r="D2114" t="s">
        <v>305</v>
      </c>
      <c r="E2114" t="s">
        <v>322</v>
      </c>
      <c r="F2114" t="s">
        <v>698</v>
      </c>
      <c r="G2114" t="s">
        <v>13</v>
      </c>
    </row>
    <row r="2115" spans="1:9" x14ac:dyDescent="0.3">
      <c r="A2115" t="s">
        <v>296</v>
      </c>
      <c r="B2115" s="5">
        <v>41699</v>
      </c>
      <c r="C2115">
        <v>-10.5</v>
      </c>
      <c r="D2115" t="s">
        <v>307</v>
      </c>
      <c r="E2115" t="s">
        <v>1943</v>
      </c>
      <c r="F2115" t="s">
        <v>1944</v>
      </c>
      <c r="G2115" t="s">
        <v>418</v>
      </c>
    </row>
    <row r="2116" spans="1:9" x14ac:dyDescent="0.3">
      <c r="A2116" t="s">
        <v>296</v>
      </c>
      <c r="B2116" s="5">
        <v>41699</v>
      </c>
      <c r="C2116">
        <v>-38.79</v>
      </c>
      <c r="D2116" t="s">
        <v>307</v>
      </c>
      <c r="E2116" t="s">
        <v>1945</v>
      </c>
      <c r="F2116" t="s">
        <v>1944</v>
      </c>
      <c r="G2116" t="s">
        <v>418</v>
      </c>
    </row>
    <row r="2117" spans="1:9" x14ac:dyDescent="0.3">
      <c r="A2117" t="s">
        <v>296</v>
      </c>
      <c r="B2117" s="5">
        <v>41700</v>
      </c>
      <c r="C2117">
        <v>0</v>
      </c>
      <c r="D2117" t="s">
        <v>305</v>
      </c>
      <c r="E2117" t="s">
        <v>309</v>
      </c>
      <c r="F2117" t="s">
        <v>729</v>
      </c>
      <c r="G2117" t="s">
        <v>5</v>
      </c>
    </row>
    <row r="2118" spans="1:9" x14ac:dyDescent="0.3">
      <c r="A2118" t="s">
        <v>296</v>
      </c>
      <c r="B2118" s="5">
        <v>41700</v>
      </c>
      <c r="C2118">
        <v>-9.64</v>
      </c>
      <c r="D2118" t="s">
        <v>307</v>
      </c>
      <c r="E2118" t="s">
        <v>1946</v>
      </c>
      <c r="F2118" t="s">
        <v>1944</v>
      </c>
      <c r="G2118" t="s">
        <v>636</v>
      </c>
    </row>
    <row r="2119" spans="1:9" x14ac:dyDescent="0.3">
      <c r="A2119" t="s">
        <v>296</v>
      </c>
      <c r="B2119" s="5">
        <v>41700</v>
      </c>
      <c r="C2119">
        <v>-100.76</v>
      </c>
      <c r="D2119" t="s">
        <v>307</v>
      </c>
      <c r="E2119" t="s">
        <v>442</v>
      </c>
      <c r="F2119" t="s">
        <v>487</v>
      </c>
      <c r="G2119" t="s">
        <v>343</v>
      </c>
    </row>
    <row r="2120" spans="1:9" x14ac:dyDescent="0.3">
      <c r="A2120" t="s">
        <v>296</v>
      </c>
      <c r="B2120" s="5">
        <v>41700</v>
      </c>
      <c r="C2120">
        <v>-20.39</v>
      </c>
      <c r="D2120" t="s">
        <v>307</v>
      </c>
      <c r="E2120" t="s">
        <v>452</v>
      </c>
      <c r="F2120" t="s">
        <v>496</v>
      </c>
      <c r="G2120" t="s">
        <v>453</v>
      </c>
      <c r="I2120" t="s">
        <v>272</v>
      </c>
    </row>
    <row r="2121" spans="1:9" x14ac:dyDescent="0.3">
      <c r="A2121" t="s">
        <v>296</v>
      </c>
      <c r="B2121" s="5">
        <v>41700</v>
      </c>
      <c r="C2121">
        <v>-62.48</v>
      </c>
      <c r="D2121" t="s">
        <v>307</v>
      </c>
      <c r="E2121" t="s">
        <v>452</v>
      </c>
      <c r="G2121" t="s">
        <v>454</v>
      </c>
      <c r="I2121" t="s">
        <v>272</v>
      </c>
    </row>
    <row r="2122" spans="1:9" x14ac:dyDescent="0.3">
      <c r="A2122" t="s">
        <v>296</v>
      </c>
      <c r="B2122" s="5">
        <v>41700</v>
      </c>
      <c r="C2122">
        <v>-42.4</v>
      </c>
      <c r="D2122" t="s">
        <v>307</v>
      </c>
      <c r="E2122" t="s">
        <v>452</v>
      </c>
      <c r="G2122" t="s">
        <v>455</v>
      </c>
      <c r="I2122" t="s">
        <v>272</v>
      </c>
    </row>
    <row r="2123" spans="1:9" x14ac:dyDescent="0.3">
      <c r="A2123" t="s">
        <v>296</v>
      </c>
      <c r="B2123" s="5">
        <v>41701</v>
      </c>
      <c r="C2123" s="4">
        <v>4025.58</v>
      </c>
      <c r="E2123" t="s">
        <v>322</v>
      </c>
      <c r="F2123" t="s">
        <v>369</v>
      </c>
      <c r="G2123" t="s">
        <v>9</v>
      </c>
    </row>
    <row r="2124" spans="1:9" x14ac:dyDescent="0.3">
      <c r="A2124" t="s">
        <v>296</v>
      </c>
      <c r="B2124" s="5">
        <v>41701</v>
      </c>
      <c r="C2124">
        <v>-8.1999999999999993</v>
      </c>
      <c r="D2124" t="s">
        <v>307</v>
      </c>
      <c r="E2124" t="s">
        <v>475</v>
      </c>
      <c r="F2124" t="s">
        <v>560</v>
      </c>
      <c r="G2124" t="s">
        <v>334</v>
      </c>
    </row>
    <row r="2125" spans="1:9" x14ac:dyDescent="0.3">
      <c r="A2125" t="s">
        <v>296</v>
      </c>
      <c r="B2125" s="5">
        <v>41703</v>
      </c>
      <c r="C2125">
        <v>-9.33</v>
      </c>
      <c r="D2125" t="s">
        <v>307</v>
      </c>
      <c r="E2125" t="s">
        <v>460</v>
      </c>
      <c r="F2125" t="s">
        <v>1947</v>
      </c>
      <c r="G2125" t="s">
        <v>346</v>
      </c>
      <c r="I2125" t="s">
        <v>272</v>
      </c>
    </row>
    <row r="2126" spans="1:9" x14ac:dyDescent="0.3">
      <c r="A2126" t="s">
        <v>296</v>
      </c>
      <c r="B2126" s="5">
        <v>41703</v>
      </c>
      <c r="C2126">
        <v>-21.77</v>
      </c>
      <c r="D2126" t="s">
        <v>307</v>
      </c>
      <c r="E2126" t="s">
        <v>460</v>
      </c>
      <c r="F2126" t="s">
        <v>1948</v>
      </c>
      <c r="G2126" t="s">
        <v>360</v>
      </c>
      <c r="I2126" t="s">
        <v>272</v>
      </c>
    </row>
    <row r="2127" spans="1:9" x14ac:dyDescent="0.3">
      <c r="A2127" t="s">
        <v>296</v>
      </c>
      <c r="B2127" s="5">
        <v>41703</v>
      </c>
      <c r="C2127">
        <v>-37.590000000000003</v>
      </c>
      <c r="D2127" t="s">
        <v>307</v>
      </c>
      <c r="E2127" t="s">
        <v>442</v>
      </c>
      <c r="F2127" t="s">
        <v>487</v>
      </c>
      <c r="G2127" t="s">
        <v>343</v>
      </c>
    </row>
    <row r="2128" spans="1:9" x14ac:dyDescent="0.3">
      <c r="A2128" t="s">
        <v>296</v>
      </c>
      <c r="B2128" s="5">
        <v>41704</v>
      </c>
      <c r="C2128">
        <v>-3.68</v>
      </c>
      <c r="D2128" t="s">
        <v>307</v>
      </c>
      <c r="E2128" t="s">
        <v>433</v>
      </c>
      <c r="F2128" t="s">
        <v>483</v>
      </c>
      <c r="G2128" t="s">
        <v>343</v>
      </c>
    </row>
    <row r="2129" spans="1:7" x14ac:dyDescent="0.3">
      <c r="A2129" t="s">
        <v>296</v>
      </c>
      <c r="B2129" s="5">
        <v>41705</v>
      </c>
      <c r="C2129">
        <v>-6.12</v>
      </c>
      <c r="D2129" t="s">
        <v>307</v>
      </c>
      <c r="E2129" t="s">
        <v>475</v>
      </c>
      <c r="F2129" t="s">
        <v>560</v>
      </c>
      <c r="G2129" t="s">
        <v>334</v>
      </c>
    </row>
    <row r="2130" spans="1:7" x14ac:dyDescent="0.3">
      <c r="A2130" t="s">
        <v>296</v>
      </c>
      <c r="B2130" s="5">
        <v>41705</v>
      </c>
      <c r="C2130">
        <v>-7.11</v>
      </c>
      <c r="D2130" t="s">
        <v>307</v>
      </c>
      <c r="E2130" t="s">
        <v>475</v>
      </c>
      <c r="F2130" t="s">
        <v>560</v>
      </c>
      <c r="G2130" t="s">
        <v>334</v>
      </c>
    </row>
    <row r="2131" spans="1:7" x14ac:dyDescent="0.3">
      <c r="A2131" t="s">
        <v>296</v>
      </c>
      <c r="B2131" s="5">
        <v>41705</v>
      </c>
      <c r="C2131">
        <v>-26.35</v>
      </c>
      <c r="D2131" t="s">
        <v>307</v>
      </c>
      <c r="E2131" t="s">
        <v>442</v>
      </c>
      <c r="F2131" t="s">
        <v>601</v>
      </c>
      <c r="G2131" t="s">
        <v>343</v>
      </c>
    </row>
    <row r="2132" spans="1:7" x14ac:dyDescent="0.3">
      <c r="A2132" t="s">
        <v>296</v>
      </c>
      <c r="B2132" s="5">
        <v>41706</v>
      </c>
      <c r="C2132">
        <v>-15.64</v>
      </c>
      <c r="D2132" t="s">
        <v>307</v>
      </c>
      <c r="E2132" t="s">
        <v>1949</v>
      </c>
      <c r="F2132" t="s">
        <v>1950</v>
      </c>
    </row>
    <row r="2133" spans="1:7" x14ac:dyDescent="0.3">
      <c r="A2133" t="s">
        <v>296</v>
      </c>
      <c r="B2133" s="5">
        <v>41706</v>
      </c>
      <c r="C2133">
        <v>-76.319999999999993</v>
      </c>
      <c r="D2133" t="s">
        <v>307</v>
      </c>
      <c r="E2133" t="s">
        <v>1951</v>
      </c>
      <c r="F2133" t="s">
        <v>1952</v>
      </c>
      <c r="G2133" t="s">
        <v>334</v>
      </c>
    </row>
    <row r="2134" spans="1:7" x14ac:dyDescent="0.3">
      <c r="A2134" t="s">
        <v>296</v>
      </c>
      <c r="B2134" s="5">
        <v>41706</v>
      </c>
      <c r="C2134">
        <v>-303.58999999999997</v>
      </c>
      <c r="D2134" t="s">
        <v>307</v>
      </c>
      <c r="E2134" t="s">
        <v>482</v>
      </c>
      <c r="F2134" t="s">
        <v>552</v>
      </c>
      <c r="G2134" t="s">
        <v>458</v>
      </c>
    </row>
    <row r="2135" spans="1:7" x14ac:dyDescent="0.3">
      <c r="A2135" t="s">
        <v>296</v>
      </c>
      <c r="B2135" s="5">
        <v>41707</v>
      </c>
      <c r="C2135">
        <v>-5.25</v>
      </c>
      <c r="D2135" t="s">
        <v>307</v>
      </c>
      <c r="E2135" t="s">
        <v>448</v>
      </c>
      <c r="F2135" t="s">
        <v>1953</v>
      </c>
      <c r="G2135" t="s">
        <v>20</v>
      </c>
    </row>
    <row r="2136" spans="1:7" x14ac:dyDescent="0.3">
      <c r="A2136" t="s">
        <v>296</v>
      </c>
      <c r="B2136" s="5">
        <v>41707</v>
      </c>
      <c r="C2136">
        <v>-7.61</v>
      </c>
      <c r="D2136" t="s">
        <v>307</v>
      </c>
      <c r="E2136" t="s">
        <v>442</v>
      </c>
      <c r="F2136" t="s">
        <v>487</v>
      </c>
      <c r="G2136" t="s">
        <v>343</v>
      </c>
    </row>
    <row r="2137" spans="1:7" x14ac:dyDescent="0.3">
      <c r="A2137" t="s">
        <v>296</v>
      </c>
      <c r="B2137" s="5">
        <v>41707</v>
      </c>
      <c r="C2137">
        <v>-10.49</v>
      </c>
      <c r="D2137" t="s">
        <v>307</v>
      </c>
      <c r="E2137" t="s">
        <v>1954</v>
      </c>
      <c r="F2137" t="s">
        <v>1955</v>
      </c>
      <c r="G2137" t="s">
        <v>72</v>
      </c>
    </row>
    <row r="2138" spans="1:7" x14ac:dyDescent="0.3">
      <c r="A2138" t="s">
        <v>296</v>
      </c>
      <c r="B2138" s="5">
        <v>41707</v>
      </c>
      <c r="C2138">
        <v>-16.91</v>
      </c>
      <c r="D2138" t="s">
        <v>307</v>
      </c>
      <c r="E2138" t="s">
        <v>442</v>
      </c>
      <c r="F2138" t="s">
        <v>487</v>
      </c>
      <c r="G2138" t="s">
        <v>343</v>
      </c>
    </row>
    <row r="2139" spans="1:7" x14ac:dyDescent="0.3">
      <c r="A2139" t="s">
        <v>296</v>
      </c>
      <c r="B2139" s="5">
        <v>41708</v>
      </c>
      <c r="C2139">
        <v>-74.42</v>
      </c>
      <c r="D2139" t="s">
        <v>307</v>
      </c>
      <c r="E2139" t="s">
        <v>1787</v>
      </c>
      <c r="F2139" t="s">
        <v>1956</v>
      </c>
      <c r="G2139" t="s">
        <v>343</v>
      </c>
    </row>
    <row r="2140" spans="1:7" x14ac:dyDescent="0.3">
      <c r="A2140" t="s">
        <v>296</v>
      </c>
      <c r="B2140" s="5">
        <v>41710</v>
      </c>
      <c r="C2140">
        <v>-10.94</v>
      </c>
      <c r="D2140" t="s">
        <v>307</v>
      </c>
      <c r="E2140" t="s">
        <v>475</v>
      </c>
      <c r="F2140" t="s">
        <v>560</v>
      </c>
      <c r="G2140" t="s">
        <v>334</v>
      </c>
    </row>
    <row r="2141" spans="1:7" x14ac:dyDescent="0.3">
      <c r="A2141" t="s">
        <v>296</v>
      </c>
      <c r="B2141" s="5">
        <v>41710</v>
      </c>
      <c r="C2141">
        <v>-20</v>
      </c>
      <c r="D2141" t="s">
        <v>307</v>
      </c>
      <c r="E2141" t="s">
        <v>439</v>
      </c>
      <c r="F2141" t="s">
        <v>1957</v>
      </c>
      <c r="G2141" t="s">
        <v>334</v>
      </c>
    </row>
    <row r="2142" spans="1:7" x14ac:dyDescent="0.3">
      <c r="A2142" t="s">
        <v>296</v>
      </c>
      <c r="B2142" s="5">
        <v>41711</v>
      </c>
      <c r="C2142">
        <v>-3.99</v>
      </c>
      <c r="D2142" t="s">
        <v>307</v>
      </c>
      <c r="E2142" t="s">
        <v>437</v>
      </c>
      <c r="F2142" t="s">
        <v>484</v>
      </c>
      <c r="G2142" t="s">
        <v>343</v>
      </c>
    </row>
    <row r="2143" spans="1:7" x14ac:dyDescent="0.3">
      <c r="A2143" t="s">
        <v>296</v>
      </c>
      <c r="B2143" s="5">
        <v>41711</v>
      </c>
      <c r="C2143">
        <v>-10.84</v>
      </c>
      <c r="D2143" t="s">
        <v>307</v>
      </c>
      <c r="E2143" t="s">
        <v>1958</v>
      </c>
      <c r="F2143" t="s">
        <v>1959</v>
      </c>
    </row>
    <row r="2144" spans="1:7" x14ac:dyDescent="0.3">
      <c r="A2144" t="s">
        <v>296</v>
      </c>
      <c r="B2144" s="5">
        <v>41711</v>
      </c>
      <c r="C2144">
        <v>-18.329999999999998</v>
      </c>
      <c r="D2144" t="s">
        <v>307</v>
      </c>
      <c r="E2144" t="s">
        <v>1960</v>
      </c>
      <c r="F2144" t="s">
        <v>1961</v>
      </c>
      <c r="G2144" t="s">
        <v>334</v>
      </c>
    </row>
    <row r="2145" spans="1:7" x14ac:dyDescent="0.3">
      <c r="A2145" t="s">
        <v>296</v>
      </c>
      <c r="B2145" s="5">
        <v>41712</v>
      </c>
      <c r="C2145">
        <v>-5.42</v>
      </c>
      <c r="D2145" t="s">
        <v>307</v>
      </c>
      <c r="E2145" t="s">
        <v>461</v>
      </c>
      <c r="F2145" t="s">
        <v>1962</v>
      </c>
      <c r="G2145" t="s">
        <v>334</v>
      </c>
    </row>
    <row r="2146" spans="1:7" x14ac:dyDescent="0.3">
      <c r="A2146" t="s">
        <v>296</v>
      </c>
      <c r="B2146" s="5">
        <v>41712</v>
      </c>
      <c r="C2146">
        <v>-30.28</v>
      </c>
      <c r="D2146" t="s">
        <v>307</v>
      </c>
      <c r="E2146" t="s">
        <v>461</v>
      </c>
      <c r="F2146" t="s">
        <v>1962</v>
      </c>
      <c r="G2146" t="s">
        <v>334</v>
      </c>
    </row>
    <row r="2147" spans="1:7" x14ac:dyDescent="0.3">
      <c r="A2147" t="s">
        <v>296</v>
      </c>
      <c r="B2147" s="5">
        <v>41712</v>
      </c>
      <c r="C2147">
        <v>-31.83</v>
      </c>
      <c r="D2147" t="s">
        <v>307</v>
      </c>
      <c r="E2147" t="s">
        <v>474</v>
      </c>
      <c r="F2147" t="s">
        <v>512</v>
      </c>
      <c r="G2147" t="s">
        <v>334</v>
      </c>
    </row>
    <row r="2148" spans="1:7" x14ac:dyDescent="0.3">
      <c r="A2148" t="s">
        <v>296</v>
      </c>
      <c r="B2148" s="5">
        <v>41712</v>
      </c>
      <c r="C2148">
        <v>-71.88</v>
      </c>
      <c r="D2148" t="s">
        <v>307</v>
      </c>
      <c r="E2148" t="s">
        <v>446</v>
      </c>
      <c r="F2148" t="s">
        <v>1963</v>
      </c>
      <c r="G2148" t="s">
        <v>346</v>
      </c>
    </row>
    <row r="2149" spans="1:7" x14ac:dyDescent="0.3">
      <c r="A2149" t="s">
        <v>296</v>
      </c>
      <c r="B2149" s="5">
        <v>41713</v>
      </c>
      <c r="C2149">
        <v>-14.08</v>
      </c>
      <c r="D2149" t="s">
        <v>307</v>
      </c>
      <c r="E2149" t="s">
        <v>1672</v>
      </c>
      <c r="F2149" t="s">
        <v>1964</v>
      </c>
      <c r="G2149" t="s">
        <v>444</v>
      </c>
    </row>
    <row r="2150" spans="1:7" x14ac:dyDescent="0.3">
      <c r="A2150" t="s">
        <v>296</v>
      </c>
      <c r="B2150" s="5">
        <v>41713</v>
      </c>
      <c r="C2150">
        <v>-17.22</v>
      </c>
      <c r="D2150" t="s">
        <v>307</v>
      </c>
      <c r="E2150" t="s">
        <v>1204</v>
      </c>
      <c r="F2150" t="s">
        <v>1965</v>
      </c>
      <c r="G2150" t="s">
        <v>334</v>
      </c>
    </row>
    <row r="2151" spans="1:7" x14ac:dyDescent="0.3">
      <c r="A2151" t="s">
        <v>296</v>
      </c>
      <c r="B2151" s="5">
        <v>41713</v>
      </c>
      <c r="C2151">
        <v>-22.52</v>
      </c>
      <c r="D2151" t="s">
        <v>307</v>
      </c>
      <c r="E2151" t="s">
        <v>1966</v>
      </c>
      <c r="F2151" t="s">
        <v>1967</v>
      </c>
      <c r="G2151" t="s">
        <v>63</v>
      </c>
    </row>
    <row r="2152" spans="1:7" x14ac:dyDescent="0.3">
      <c r="A2152" t="s">
        <v>296</v>
      </c>
      <c r="B2152" s="5">
        <v>41714</v>
      </c>
      <c r="C2152">
        <v>-15.75</v>
      </c>
      <c r="D2152" t="s">
        <v>307</v>
      </c>
      <c r="E2152" t="s">
        <v>1968</v>
      </c>
      <c r="F2152" t="s">
        <v>1969</v>
      </c>
      <c r="G2152" t="s">
        <v>343</v>
      </c>
    </row>
    <row r="2153" spans="1:7" x14ac:dyDescent="0.3">
      <c r="A2153" t="s">
        <v>297</v>
      </c>
      <c r="B2153" s="5">
        <v>41486</v>
      </c>
      <c r="C2153">
        <v>0</v>
      </c>
      <c r="D2153" t="s">
        <v>305</v>
      </c>
      <c r="E2153" t="s">
        <v>702</v>
      </c>
      <c r="G2153" t="s">
        <v>79</v>
      </c>
    </row>
    <row r="2154" spans="1:7" x14ac:dyDescent="0.3">
      <c r="A2154" t="s">
        <v>298</v>
      </c>
      <c r="B2154" s="5">
        <v>41276</v>
      </c>
      <c r="C2154">
        <v>0.01</v>
      </c>
      <c r="D2154" t="s">
        <v>307</v>
      </c>
      <c r="E2154" t="s">
        <v>1970</v>
      </c>
      <c r="F2154" t="s">
        <v>1971</v>
      </c>
      <c r="G2154" t="s">
        <v>14</v>
      </c>
    </row>
    <row r="2155" spans="1:7" x14ac:dyDescent="0.3">
      <c r="A2155" t="s">
        <v>298</v>
      </c>
      <c r="B2155" s="5">
        <v>41284</v>
      </c>
      <c r="C2155" s="4">
        <v>2500</v>
      </c>
      <c r="D2155" t="s">
        <v>307</v>
      </c>
      <c r="E2155" t="s">
        <v>1970</v>
      </c>
      <c r="F2155" t="s">
        <v>1972</v>
      </c>
      <c r="G2155" t="s">
        <v>14</v>
      </c>
    </row>
    <row r="2156" spans="1:7" x14ac:dyDescent="0.3">
      <c r="A2156" t="s">
        <v>298</v>
      </c>
      <c r="B2156" s="5">
        <v>41284</v>
      </c>
      <c r="C2156">
        <v>112.5</v>
      </c>
      <c r="D2156" t="s">
        <v>307</v>
      </c>
      <c r="E2156" t="s">
        <v>1973</v>
      </c>
      <c r="F2156" t="s">
        <v>1974</v>
      </c>
      <c r="G2156" t="s">
        <v>22</v>
      </c>
    </row>
    <row r="2157" spans="1:7" x14ac:dyDescent="0.3">
      <c r="A2157" t="s">
        <v>298</v>
      </c>
      <c r="B2157" s="5">
        <v>41302</v>
      </c>
      <c r="C2157">
        <v>112.5</v>
      </c>
      <c r="D2157" t="s">
        <v>307</v>
      </c>
      <c r="E2157" t="s">
        <v>1973</v>
      </c>
      <c r="F2157" t="s">
        <v>1975</v>
      </c>
      <c r="G2157" t="s">
        <v>22</v>
      </c>
    </row>
    <row r="2158" spans="1:7" x14ac:dyDescent="0.3">
      <c r="A2158" t="s">
        <v>298</v>
      </c>
      <c r="B2158" s="5">
        <v>41305</v>
      </c>
      <c r="C2158">
        <v>0.3</v>
      </c>
      <c r="D2158" t="s">
        <v>307</v>
      </c>
      <c r="E2158" t="s">
        <v>1976</v>
      </c>
      <c r="F2158" t="s">
        <v>1977</v>
      </c>
      <c r="G2158" t="s">
        <v>14</v>
      </c>
    </row>
    <row r="2159" spans="1:7" x14ac:dyDescent="0.3">
      <c r="A2159" t="s">
        <v>298</v>
      </c>
      <c r="B2159" s="5">
        <v>41312</v>
      </c>
      <c r="C2159">
        <v>-211.65</v>
      </c>
      <c r="D2159" t="s">
        <v>307</v>
      </c>
      <c r="E2159" t="s">
        <v>825</v>
      </c>
      <c r="F2159" t="s">
        <v>1978</v>
      </c>
      <c r="G2159" t="s">
        <v>371</v>
      </c>
    </row>
    <row r="2160" spans="1:7" x14ac:dyDescent="0.3">
      <c r="A2160" t="s">
        <v>298</v>
      </c>
      <c r="B2160" s="5">
        <v>41313</v>
      </c>
      <c r="C2160">
        <v>112.5</v>
      </c>
      <c r="D2160" t="s">
        <v>307</v>
      </c>
      <c r="E2160" t="s">
        <v>1973</v>
      </c>
      <c r="F2160" t="s">
        <v>1979</v>
      </c>
      <c r="G2160" t="s">
        <v>22</v>
      </c>
    </row>
    <row r="2161" spans="1:7" x14ac:dyDescent="0.3">
      <c r="A2161" t="s">
        <v>298</v>
      </c>
      <c r="B2161" s="5">
        <v>41318</v>
      </c>
      <c r="C2161">
        <v>-740.28</v>
      </c>
      <c r="D2161" t="s">
        <v>307</v>
      </c>
      <c r="E2161" t="s">
        <v>1980</v>
      </c>
      <c r="F2161" t="s">
        <v>1981</v>
      </c>
      <c r="G2161" t="s">
        <v>371</v>
      </c>
    </row>
    <row r="2162" spans="1:7" x14ac:dyDescent="0.3">
      <c r="A2162" t="s">
        <v>298</v>
      </c>
      <c r="B2162" s="5">
        <v>41326</v>
      </c>
      <c r="C2162">
        <v>112.5</v>
      </c>
      <c r="D2162" t="s">
        <v>307</v>
      </c>
      <c r="E2162" t="s">
        <v>1973</v>
      </c>
      <c r="F2162" t="s">
        <v>1982</v>
      </c>
      <c r="G2162" t="s">
        <v>22</v>
      </c>
    </row>
    <row r="2163" spans="1:7" x14ac:dyDescent="0.3">
      <c r="A2163" t="s">
        <v>298</v>
      </c>
      <c r="B2163" s="5">
        <v>41333</v>
      </c>
      <c r="C2163">
        <v>0.34</v>
      </c>
      <c r="D2163" t="s">
        <v>307</v>
      </c>
      <c r="E2163" t="s">
        <v>1976</v>
      </c>
      <c r="F2163" t="s">
        <v>1977</v>
      </c>
      <c r="G2163" t="s">
        <v>14</v>
      </c>
    </row>
    <row r="2164" spans="1:7" x14ac:dyDescent="0.3">
      <c r="A2164" t="s">
        <v>298</v>
      </c>
      <c r="B2164" s="5">
        <v>41337</v>
      </c>
      <c r="C2164">
        <v>-16.11</v>
      </c>
      <c r="D2164" t="s">
        <v>307</v>
      </c>
      <c r="E2164" t="s">
        <v>1983</v>
      </c>
      <c r="F2164" t="s">
        <v>1984</v>
      </c>
      <c r="G2164" t="s">
        <v>371</v>
      </c>
    </row>
    <row r="2165" spans="1:7" x14ac:dyDescent="0.3">
      <c r="A2165" t="s">
        <v>298</v>
      </c>
      <c r="B2165" s="5">
        <v>41340</v>
      </c>
      <c r="C2165">
        <v>-740.28</v>
      </c>
      <c r="D2165" t="s">
        <v>307</v>
      </c>
      <c r="E2165" t="s">
        <v>1985</v>
      </c>
      <c r="F2165" t="s">
        <v>1986</v>
      </c>
      <c r="G2165" t="s">
        <v>479</v>
      </c>
    </row>
    <row r="2166" spans="1:7" x14ac:dyDescent="0.3">
      <c r="A2166" t="s">
        <v>298</v>
      </c>
      <c r="B2166" s="5">
        <v>41340</v>
      </c>
      <c r="C2166">
        <v>-11.84</v>
      </c>
      <c r="D2166" t="s">
        <v>307</v>
      </c>
      <c r="E2166" t="s">
        <v>1160</v>
      </c>
      <c r="F2166" t="s">
        <v>1987</v>
      </c>
      <c r="G2166" t="s">
        <v>371</v>
      </c>
    </row>
    <row r="2167" spans="1:7" x14ac:dyDescent="0.3">
      <c r="A2167" t="s">
        <v>298</v>
      </c>
      <c r="B2167" s="5">
        <v>41341</v>
      </c>
      <c r="C2167">
        <v>112.5</v>
      </c>
      <c r="D2167" t="s">
        <v>307</v>
      </c>
      <c r="E2167" t="s">
        <v>1973</v>
      </c>
      <c r="F2167" t="s">
        <v>1988</v>
      </c>
      <c r="G2167" t="s">
        <v>22</v>
      </c>
    </row>
    <row r="2168" spans="1:7" x14ac:dyDescent="0.3">
      <c r="A2168" t="s">
        <v>298</v>
      </c>
      <c r="B2168" s="5">
        <v>41347</v>
      </c>
      <c r="C2168">
        <v>-61.66</v>
      </c>
      <c r="D2168" t="s">
        <v>307</v>
      </c>
      <c r="E2168" t="s">
        <v>825</v>
      </c>
      <c r="F2168" t="s">
        <v>1989</v>
      </c>
      <c r="G2168" t="s">
        <v>371</v>
      </c>
    </row>
    <row r="2169" spans="1:7" x14ac:dyDescent="0.3">
      <c r="A2169" t="s">
        <v>298</v>
      </c>
      <c r="B2169" s="5">
        <v>41355</v>
      </c>
      <c r="C2169">
        <v>112.5</v>
      </c>
      <c r="D2169" t="s">
        <v>307</v>
      </c>
      <c r="E2169" t="s">
        <v>1973</v>
      </c>
      <c r="F2169" t="s">
        <v>1990</v>
      </c>
      <c r="G2169" t="s">
        <v>22</v>
      </c>
    </row>
    <row r="2170" spans="1:7" x14ac:dyDescent="0.3">
      <c r="A2170" t="s">
        <v>298</v>
      </c>
      <c r="B2170" s="5">
        <v>41361</v>
      </c>
      <c r="C2170">
        <v>-10</v>
      </c>
      <c r="D2170" t="s">
        <v>307</v>
      </c>
      <c r="E2170" t="s">
        <v>435</v>
      </c>
      <c r="F2170" t="s">
        <v>1991</v>
      </c>
      <c r="G2170" t="s">
        <v>479</v>
      </c>
    </row>
    <row r="2171" spans="1:7" x14ac:dyDescent="0.3">
      <c r="A2171" t="s">
        <v>298</v>
      </c>
      <c r="B2171" s="5">
        <v>41363</v>
      </c>
      <c r="C2171">
        <v>0.24</v>
      </c>
      <c r="D2171" t="s">
        <v>307</v>
      </c>
      <c r="E2171" t="s">
        <v>1976</v>
      </c>
      <c r="F2171" t="s">
        <v>1977</v>
      </c>
      <c r="G2171" t="s">
        <v>14</v>
      </c>
    </row>
    <row r="2172" spans="1:7" x14ac:dyDescent="0.3">
      <c r="A2172" t="s">
        <v>298</v>
      </c>
      <c r="B2172" s="5">
        <v>41363</v>
      </c>
      <c r="C2172">
        <v>-144.99</v>
      </c>
      <c r="D2172" t="s">
        <v>307</v>
      </c>
      <c r="E2172" t="s">
        <v>1983</v>
      </c>
      <c r="F2172" t="s">
        <v>1992</v>
      </c>
      <c r="G2172" t="s">
        <v>371</v>
      </c>
    </row>
    <row r="2173" spans="1:7" x14ac:dyDescent="0.3">
      <c r="A2173" t="s">
        <v>298</v>
      </c>
      <c r="B2173" s="5">
        <v>41372</v>
      </c>
      <c r="C2173">
        <v>112.5</v>
      </c>
      <c r="D2173" t="s">
        <v>307</v>
      </c>
      <c r="E2173" t="s">
        <v>1973</v>
      </c>
      <c r="F2173" t="s">
        <v>1993</v>
      </c>
      <c r="G2173" t="s">
        <v>22</v>
      </c>
    </row>
    <row r="2174" spans="1:7" x14ac:dyDescent="0.3">
      <c r="A2174" t="s">
        <v>298</v>
      </c>
      <c r="B2174" s="5">
        <v>41372</v>
      </c>
      <c r="C2174">
        <v>-74.03</v>
      </c>
      <c r="D2174" t="s">
        <v>307</v>
      </c>
      <c r="E2174" t="s">
        <v>1985</v>
      </c>
      <c r="F2174" t="s">
        <v>1994</v>
      </c>
      <c r="G2174" t="s">
        <v>479</v>
      </c>
    </row>
    <row r="2175" spans="1:7" x14ac:dyDescent="0.3">
      <c r="A2175" t="s">
        <v>298</v>
      </c>
      <c r="B2175" s="5">
        <v>41377</v>
      </c>
      <c r="C2175">
        <v>-466.76</v>
      </c>
      <c r="D2175" t="s">
        <v>307</v>
      </c>
      <c r="E2175" t="s">
        <v>1995</v>
      </c>
      <c r="F2175" t="s">
        <v>1996</v>
      </c>
      <c r="G2175" t="s">
        <v>371</v>
      </c>
    </row>
    <row r="2176" spans="1:7" x14ac:dyDescent="0.3">
      <c r="A2176" t="s">
        <v>298</v>
      </c>
      <c r="B2176" s="5">
        <v>41381</v>
      </c>
      <c r="C2176">
        <v>-80.489999999999995</v>
      </c>
      <c r="D2176" t="s">
        <v>307</v>
      </c>
      <c r="E2176" t="s">
        <v>825</v>
      </c>
      <c r="F2176" t="s">
        <v>1997</v>
      </c>
      <c r="G2176" t="s">
        <v>371</v>
      </c>
    </row>
    <row r="2177" spans="1:9" x14ac:dyDescent="0.3">
      <c r="A2177" t="s">
        <v>298</v>
      </c>
      <c r="B2177" s="5">
        <v>41387</v>
      </c>
      <c r="C2177">
        <v>112.5</v>
      </c>
      <c r="D2177" t="s">
        <v>307</v>
      </c>
      <c r="E2177" t="s">
        <v>1973</v>
      </c>
      <c r="F2177" t="s">
        <v>1998</v>
      </c>
      <c r="G2177" t="s">
        <v>22</v>
      </c>
    </row>
    <row r="2178" spans="1:9" x14ac:dyDescent="0.3">
      <c r="A2178" t="s">
        <v>298</v>
      </c>
      <c r="B2178" s="5">
        <v>41387</v>
      </c>
      <c r="C2178">
        <v>-10</v>
      </c>
      <c r="D2178" t="s">
        <v>307</v>
      </c>
      <c r="E2178" t="s">
        <v>435</v>
      </c>
      <c r="F2178" t="s">
        <v>1999</v>
      </c>
      <c r="G2178" t="s">
        <v>479</v>
      </c>
    </row>
    <row r="2179" spans="1:9" x14ac:dyDescent="0.3">
      <c r="A2179" t="s">
        <v>298</v>
      </c>
      <c r="B2179" s="5">
        <v>41394</v>
      </c>
      <c r="C2179">
        <v>0.1</v>
      </c>
      <c r="D2179" t="s">
        <v>307</v>
      </c>
      <c r="E2179" t="s">
        <v>1976</v>
      </c>
      <c r="F2179" t="s">
        <v>1977</v>
      </c>
      <c r="G2179" t="s">
        <v>14</v>
      </c>
    </row>
    <row r="2180" spans="1:9" x14ac:dyDescent="0.3">
      <c r="A2180" t="s">
        <v>298</v>
      </c>
      <c r="B2180" s="5">
        <v>41402</v>
      </c>
      <c r="C2180">
        <v>112.5</v>
      </c>
      <c r="D2180" t="s">
        <v>307</v>
      </c>
      <c r="E2180" t="s">
        <v>1973</v>
      </c>
      <c r="F2180" t="s">
        <v>2000</v>
      </c>
      <c r="G2180" t="s">
        <v>22</v>
      </c>
    </row>
    <row r="2181" spans="1:9" x14ac:dyDescent="0.3">
      <c r="A2181" t="s">
        <v>298</v>
      </c>
      <c r="B2181" s="5">
        <v>41403</v>
      </c>
      <c r="C2181">
        <v>-225.04</v>
      </c>
      <c r="D2181" t="s">
        <v>307</v>
      </c>
      <c r="E2181" t="s">
        <v>2001</v>
      </c>
      <c r="F2181" t="s">
        <v>2002</v>
      </c>
      <c r="G2181" t="s">
        <v>371</v>
      </c>
    </row>
    <row r="2182" spans="1:9" x14ac:dyDescent="0.3">
      <c r="A2182" t="s">
        <v>298</v>
      </c>
      <c r="B2182" s="5">
        <v>41405</v>
      </c>
      <c r="C2182">
        <v>-9.3000000000000007</v>
      </c>
      <c r="D2182" t="s">
        <v>307</v>
      </c>
      <c r="E2182" t="s">
        <v>435</v>
      </c>
      <c r="F2182" t="s">
        <v>2003</v>
      </c>
      <c r="G2182" t="s">
        <v>2004</v>
      </c>
      <c r="I2182" t="s">
        <v>272</v>
      </c>
    </row>
    <row r="2183" spans="1:9" x14ac:dyDescent="0.3">
      <c r="A2183" t="s">
        <v>298</v>
      </c>
      <c r="B2183" s="5">
        <v>41405</v>
      </c>
      <c r="C2183">
        <v>-1.74</v>
      </c>
      <c r="D2183" t="s">
        <v>307</v>
      </c>
      <c r="E2183" t="s">
        <v>435</v>
      </c>
      <c r="F2183" t="s">
        <v>2005</v>
      </c>
      <c r="G2183" t="s">
        <v>2004</v>
      </c>
      <c r="I2183" t="s">
        <v>272</v>
      </c>
    </row>
    <row r="2184" spans="1:9" x14ac:dyDescent="0.3">
      <c r="A2184" t="s">
        <v>298</v>
      </c>
      <c r="B2184" s="5">
        <v>41405</v>
      </c>
      <c r="C2184">
        <v>-4.1500000000000004</v>
      </c>
      <c r="D2184" t="s">
        <v>307</v>
      </c>
      <c r="E2184" t="s">
        <v>435</v>
      </c>
      <c r="F2184" t="s">
        <v>2006</v>
      </c>
      <c r="G2184" t="s">
        <v>343</v>
      </c>
      <c r="I2184" t="s">
        <v>272</v>
      </c>
    </row>
    <row r="2185" spans="1:9" x14ac:dyDescent="0.3">
      <c r="A2185" t="s">
        <v>298</v>
      </c>
      <c r="B2185" s="5">
        <v>41405</v>
      </c>
      <c r="C2185">
        <v>-10.74</v>
      </c>
      <c r="D2185" t="s">
        <v>307</v>
      </c>
      <c r="E2185" t="s">
        <v>435</v>
      </c>
      <c r="F2185" t="s">
        <v>2007</v>
      </c>
      <c r="G2185" t="s">
        <v>2004</v>
      </c>
      <c r="I2185" t="s">
        <v>272</v>
      </c>
    </row>
    <row r="2186" spans="1:9" x14ac:dyDescent="0.3">
      <c r="A2186" t="s">
        <v>298</v>
      </c>
      <c r="B2186" s="5">
        <v>41405</v>
      </c>
      <c r="C2186">
        <v>-28.45</v>
      </c>
      <c r="D2186" t="s">
        <v>307</v>
      </c>
      <c r="E2186" t="s">
        <v>435</v>
      </c>
      <c r="F2186" t="s">
        <v>2008</v>
      </c>
      <c r="G2186" t="s">
        <v>653</v>
      </c>
      <c r="I2186" t="s">
        <v>272</v>
      </c>
    </row>
    <row r="2187" spans="1:9" x14ac:dyDescent="0.3">
      <c r="A2187" t="s">
        <v>298</v>
      </c>
      <c r="B2187" s="5">
        <v>41408</v>
      </c>
      <c r="C2187">
        <v>-73</v>
      </c>
      <c r="D2187" t="s">
        <v>307</v>
      </c>
      <c r="E2187" t="s">
        <v>740</v>
      </c>
      <c r="F2187" t="s">
        <v>2009</v>
      </c>
      <c r="G2187" t="s">
        <v>606</v>
      </c>
    </row>
    <row r="2188" spans="1:9" x14ac:dyDescent="0.3">
      <c r="A2188" t="s">
        <v>298</v>
      </c>
      <c r="B2188" s="5">
        <v>41409</v>
      </c>
      <c r="C2188">
        <v>-29.08</v>
      </c>
      <c r="D2188" t="s">
        <v>307</v>
      </c>
      <c r="E2188" t="s">
        <v>825</v>
      </c>
      <c r="F2188" t="s">
        <v>2010</v>
      </c>
      <c r="G2188" t="s">
        <v>371</v>
      </c>
    </row>
    <row r="2189" spans="1:9" x14ac:dyDescent="0.3">
      <c r="A2189" t="s">
        <v>298</v>
      </c>
      <c r="B2189" s="5">
        <v>41409</v>
      </c>
      <c r="C2189">
        <v>-29.08</v>
      </c>
      <c r="D2189" t="s">
        <v>307</v>
      </c>
      <c r="E2189" t="s">
        <v>825</v>
      </c>
      <c r="F2189" t="s">
        <v>2011</v>
      </c>
      <c r="G2189" t="s">
        <v>371</v>
      </c>
    </row>
    <row r="2190" spans="1:9" x14ac:dyDescent="0.3">
      <c r="A2190" t="s">
        <v>298</v>
      </c>
      <c r="B2190" s="5">
        <v>41409</v>
      </c>
      <c r="C2190">
        <v>-120</v>
      </c>
      <c r="D2190" t="s">
        <v>307</v>
      </c>
      <c r="E2190" t="s">
        <v>2012</v>
      </c>
      <c r="F2190" t="s">
        <v>2013</v>
      </c>
      <c r="G2190" t="s">
        <v>371</v>
      </c>
    </row>
    <row r="2191" spans="1:9" x14ac:dyDescent="0.3">
      <c r="A2191" t="s">
        <v>298</v>
      </c>
      <c r="B2191" s="5">
        <v>41409</v>
      </c>
      <c r="C2191">
        <v>-120</v>
      </c>
      <c r="D2191" t="s">
        <v>307</v>
      </c>
      <c r="E2191" t="s">
        <v>2012</v>
      </c>
      <c r="F2191" t="s">
        <v>2014</v>
      </c>
      <c r="G2191" t="s">
        <v>371</v>
      </c>
    </row>
    <row r="2192" spans="1:9" x14ac:dyDescent="0.3">
      <c r="A2192" t="s">
        <v>298</v>
      </c>
      <c r="B2192" s="5">
        <v>41409</v>
      </c>
      <c r="C2192">
        <v>-12</v>
      </c>
      <c r="D2192" t="s">
        <v>307</v>
      </c>
      <c r="E2192" t="s">
        <v>2012</v>
      </c>
      <c r="F2192" t="s">
        <v>2015</v>
      </c>
      <c r="G2192" t="s">
        <v>371</v>
      </c>
    </row>
    <row r="2193" spans="1:7" x14ac:dyDescent="0.3">
      <c r="A2193" t="s">
        <v>298</v>
      </c>
      <c r="B2193" s="5">
        <v>41409</v>
      </c>
      <c r="C2193">
        <v>-120</v>
      </c>
      <c r="D2193" t="s">
        <v>307</v>
      </c>
      <c r="E2193" t="s">
        <v>2012</v>
      </c>
      <c r="F2193" t="s">
        <v>2016</v>
      </c>
      <c r="G2193" t="s">
        <v>371</v>
      </c>
    </row>
    <row r="2194" spans="1:7" x14ac:dyDescent="0.3">
      <c r="A2194" t="s">
        <v>298</v>
      </c>
      <c r="B2194" s="5">
        <v>41409</v>
      </c>
      <c r="C2194">
        <v>-12</v>
      </c>
      <c r="D2194" t="s">
        <v>307</v>
      </c>
      <c r="E2194" t="s">
        <v>2012</v>
      </c>
      <c r="F2194" t="s">
        <v>2017</v>
      </c>
      <c r="G2194" t="s">
        <v>371</v>
      </c>
    </row>
    <row r="2195" spans="1:7" x14ac:dyDescent="0.3">
      <c r="A2195" t="s">
        <v>298</v>
      </c>
      <c r="B2195" s="5">
        <v>41409</v>
      </c>
      <c r="C2195">
        <v>-120</v>
      </c>
      <c r="D2195" t="s">
        <v>307</v>
      </c>
      <c r="E2195" t="s">
        <v>2012</v>
      </c>
      <c r="F2195" t="s">
        <v>2018</v>
      </c>
      <c r="G2195" t="s">
        <v>371</v>
      </c>
    </row>
    <row r="2196" spans="1:7" x14ac:dyDescent="0.3">
      <c r="A2196" t="s">
        <v>298</v>
      </c>
      <c r="B2196" s="5">
        <v>41410</v>
      </c>
      <c r="C2196" s="4">
        <v>1819.64</v>
      </c>
      <c r="E2196" t="s">
        <v>803</v>
      </c>
      <c r="F2196" t="s">
        <v>804</v>
      </c>
      <c r="G2196" t="s">
        <v>9</v>
      </c>
    </row>
    <row r="2197" spans="1:7" x14ac:dyDescent="0.3">
      <c r="A2197" t="s">
        <v>298</v>
      </c>
      <c r="B2197" s="5">
        <v>41411</v>
      </c>
      <c r="C2197">
        <v>-10</v>
      </c>
      <c r="D2197" t="s">
        <v>307</v>
      </c>
      <c r="E2197" t="s">
        <v>435</v>
      </c>
      <c r="F2197" t="s">
        <v>2019</v>
      </c>
      <c r="G2197" t="s">
        <v>479</v>
      </c>
    </row>
    <row r="2198" spans="1:7" x14ac:dyDescent="0.3">
      <c r="A2198" t="s">
        <v>298</v>
      </c>
      <c r="B2198" s="5">
        <v>41416</v>
      </c>
      <c r="C2198">
        <v>-20.82</v>
      </c>
      <c r="D2198" t="s">
        <v>307</v>
      </c>
      <c r="E2198" t="s">
        <v>2020</v>
      </c>
      <c r="F2198" t="s">
        <v>2021</v>
      </c>
      <c r="G2198" t="s">
        <v>371</v>
      </c>
    </row>
    <row r="2199" spans="1:7" x14ac:dyDescent="0.3">
      <c r="A2199" t="s">
        <v>298</v>
      </c>
      <c r="B2199" s="5">
        <v>41422</v>
      </c>
      <c r="C2199">
        <v>112.5</v>
      </c>
      <c r="D2199" t="s">
        <v>307</v>
      </c>
      <c r="E2199" t="s">
        <v>1973</v>
      </c>
      <c r="F2199" t="s">
        <v>2022</v>
      </c>
      <c r="G2199" t="s">
        <v>22</v>
      </c>
    </row>
    <row r="2200" spans="1:7" x14ac:dyDescent="0.3">
      <c r="A2200" t="s">
        <v>298</v>
      </c>
      <c r="B2200" s="5">
        <v>41446</v>
      </c>
      <c r="C2200">
        <v>-254.8</v>
      </c>
      <c r="E2200" t="s">
        <v>825</v>
      </c>
      <c r="F2200" t="s">
        <v>826</v>
      </c>
      <c r="G2200" t="s">
        <v>9</v>
      </c>
    </row>
    <row r="2201" spans="1:7" x14ac:dyDescent="0.3">
      <c r="A2201" t="s">
        <v>298</v>
      </c>
      <c r="B2201" s="5">
        <v>41543</v>
      </c>
      <c r="C2201">
        <v>-225.04</v>
      </c>
      <c r="E2201" t="s">
        <v>358</v>
      </c>
      <c r="F2201" t="s">
        <v>859</v>
      </c>
      <c r="G2201" t="s">
        <v>9</v>
      </c>
    </row>
    <row r="2202" spans="1:7" x14ac:dyDescent="0.3">
      <c r="A2202" t="s">
        <v>298</v>
      </c>
      <c r="B2202" s="5">
        <v>41563</v>
      </c>
      <c r="C2202" s="4">
        <v>-5000</v>
      </c>
      <c r="E2202" t="s">
        <v>758</v>
      </c>
      <c r="F2202" t="s">
        <v>874</v>
      </c>
      <c r="G2202" t="s">
        <v>9</v>
      </c>
    </row>
    <row r="2203" spans="1:7" x14ac:dyDescent="0.3">
      <c r="A2203" t="s">
        <v>298</v>
      </c>
      <c r="B2203" s="5">
        <v>41569</v>
      </c>
      <c r="C2203" s="4">
        <v>-1101.25</v>
      </c>
      <c r="E2203" t="s">
        <v>883</v>
      </c>
      <c r="F2203" t="s">
        <v>362</v>
      </c>
      <c r="G2203" t="s">
        <v>9</v>
      </c>
    </row>
    <row r="2204" spans="1:7" x14ac:dyDescent="0.3">
      <c r="A2204" t="s">
        <v>298</v>
      </c>
      <c r="B2204" s="5">
        <v>41579</v>
      </c>
      <c r="C2204">
        <v>-112.5</v>
      </c>
      <c r="E2204" t="s">
        <v>364</v>
      </c>
      <c r="F2204" t="s">
        <v>362</v>
      </c>
      <c r="G2204" t="s">
        <v>9</v>
      </c>
    </row>
    <row r="2205" spans="1:7" x14ac:dyDescent="0.3">
      <c r="A2205" t="s">
        <v>298</v>
      </c>
      <c r="B2205" s="5">
        <v>41583</v>
      </c>
      <c r="C2205">
        <v>-0.12</v>
      </c>
      <c r="E2205" t="s">
        <v>803</v>
      </c>
      <c r="F2205" t="s">
        <v>362</v>
      </c>
      <c r="G2205" t="s">
        <v>9</v>
      </c>
    </row>
    <row r="2206" spans="1:7" x14ac:dyDescent="0.3">
      <c r="A2206" t="s">
        <v>298</v>
      </c>
      <c r="B2206" s="5">
        <v>41589</v>
      </c>
      <c r="C2206">
        <v>-344.23</v>
      </c>
      <c r="E2206" t="s">
        <v>622</v>
      </c>
      <c r="F2206" t="s">
        <v>890</v>
      </c>
      <c r="G2206" t="s">
        <v>9</v>
      </c>
    </row>
    <row r="2207" spans="1:7" x14ac:dyDescent="0.3">
      <c r="A2207" t="s">
        <v>298</v>
      </c>
      <c r="B2207" s="5">
        <v>41596</v>
      </c>
      <c r="C2207">
        <v>-108.7</v>
      </c>
      <c r="E2207" t="s">
        <v>883</v>
      </c>
      <c r="F2207" t="s">
        <v>362</v>
      </c>
      <c r="G2207" t="s">
        <v>9</v>
      </c>
    </row>
    <row r="2208" spans="1:7" x14ac:dyDescent="0.3">
      <c r="A2208" t="s">
        <v>298</v>
      </c>
      <c r="B2208" s="5">
        <v>41610</v>
      </c>
      <c r="C2208">
        <v>-112.5</v>
      </c>
      <c r="E2208" t="s">
        <v>364</v>
      </c>
      <c r="F2208" t="s">
        <v>362</v>
      </c>
      <c r="G2208" t="s">
        <v>9</v>
      </c>
    </row>
    <row r="2209" spans="1:9" x14ac:dyDescent="0.3">
      <c r="A2209" t="s">
        <v>298</v>
      </c>
      <c r="B2209" s="5">
        <v>41613</v>
      </c>
      <c r="C2209">
        <v>-0.01</v>
      </c>
      <c r="E2209" t="s">
        <v>883</v>
      </c>
      <c r="F2209" t="s">
        <v>362</v>
      </c>
      <c r="G2209" t="s">
        <v>9</v>
      </c>
    </row>
    <row r="2210" spans="1:9" x14ac:dyDescent="0.3">
      <c r="A2210" t="s">
        <v>298</v>
      </c>
      <c r="B2210" s="5">
        <v>41630</v>
      </c>
      <c r="C2210">
        <v>-449.18</v>
      </c>
      <c r="E2210" t="s">
        <v>347</v>
      </c>
      <c r="F2210" t="s">
        <v>910</v>
      </c>
      <c r="G2210" t="s">
        <v>9</v>
      </c>
    </row>
    <row r="2211" spans="1:9" x14ac:dyDescent="0.3">
      <c r="A2211" t="s">
        <v>298</v>
      </c>
      <c r="B2211" s="5">
        <v>41634</v>
      </c>
      <c r="C2211">
        <v>-161.1</v>
      </c>
      <c r="E2211" t="s">
        <v>903</v>
      </c>
      <c r="F2211" t="s">
        <v>2023</v>
      </c>
      <c r="G2211" t="s">
        <v>9</v>
      </c>
    </row>
    <row r="2212" spans="1:9" x14ac:dyDescent="0.3">
      <c r="A2212" t="s">
        <v>298</v>
      </c>
      <c r="B2212" s="5">
        <v>41641</v>
      </c>
      <c r="C2212">
        <v>-112.5</v>
      </c>
      <c r="E2212" t="s">
        <v>364</v>
      </c>
      <c r="F2212" t="s">
        <v>362</v>
      </c>
      <c r="G2212" t="s">
        <v>9</v>
      </c>
    </row>
    <row r="2213" spans="1:9" x14ac:dyDescent="0.3">
      <c r="A2213" t="s">
        <v>298</v>
      </c>
      <c r="B2213" s="5">
        <v>41656</v>
      </c>
      <c r="C2213">
        <v>-159.56</v>
      </c>
      <c r="E2213" t="s">
        <v>364</v>
      </c>
      <c r="F2213" t="s">
        <v>362</v>
      </c>
      <c r="G2213" t="s">
        <v>9</v>
      </c>
    </row>
    <row r="2214" spans="1:9" x14ac:dyDescent="0.3">
      <c r="A2214" t="s">
        <v>298</v>
      </c>
      <c r="B2214" s="5">
        <v>41703</v>
      </c>
      <c r="C2214">
        <v>-14.27</v>
      </c>
      <c r="E2214" t="s">
        <v>883</v>
      </c>
      <c r="F2214" t="s">
        <v>362</v>
      </c>
      <c r="G2214" t="s">
        <v>9</v>
      </c>
    </row>
    <row r="2215" spans="1:9" x14ac:dyDescent="0.3">
      <c r="A2215" t="s">
        <v>299</v>
      </c>
      <c r="B2215" s="5">
        <v>41390</v>
      </c>
      <c r="C2215">
        <v>-17.149999999999999</v>
      </c>
      <c r="D2215" t="s">
        <v>305</v>
      </c>
      <c r="E2215" t="s">
        <v>647</v>
      </c>
      <c r="F2215" t="s">
        <v>2024</v>
      </c>
      <c r="G2215" t="s">
        <v>20</v>
      </c>
    </row>
    <row r="2216" spans="1:9" x14ac:dyDescent="0.3">
      <c r="A2216" t="s">
        <v>299</v>
      </c>
      <c r="B2216" s="5">
        <v>41410</v>
      </c>
      <c r="C2216">
        <v>17.149999999999999</v>
      </c>
      <c r="D2216" t="s">
        <v>305</v>
      </c>
      <c r="E2216" t="s">
        <v>349</v>
      </c>
      <c r="F2216" t="s">
        <v>350</v>
      </c>
      <c r="G2216" t="s">
        <v>9</v>
      </c>
    </row>
    <row r="2217" spans="1:9" x14ac:dyDescent="0.3">
      <c r="A2217" t="s">
        <v>299</v>
      </c>
      <c r="B2217" s="5">
        <v>41411</v>
      </c>
      <c r="C2217">
        <v>-74.19</v>
      </c>
      <c r="D2217" t="s">
        <v>305</v>
      </c>
      <c r="E2217" t="s">
        <v>647</v>
      </c>
      <c r="F2217" t="s">
        <v>2025</v>
      </c>
      <c r="G2217" t="s">
        <v>653</v>
      </c>
      <c r="I2217" t="s">
        <v>272</v>
      </c>
    </row>
    <row r="2218" spans="1:9" x14ac:dyDescent="0.3">
      <c r="A2218" t="s">
        <v>299</v>
      </c>
      <c r="B2218" s="5">
        <v>41411</v>
      </c>
      <c r="C2218">
        <v>-56.94</v>
      </c>
      <c r="D2218" t="s">
        <v>305</v>
      </c>
      <c r="E2218" t="s">
        <v>647</v>
      </c>
      <c r="F2218" t="s">
        <v>2026</v>
      </c>
      <c r="G2218" t="s">
        <v>650</v>
      </c>
      <c r="I2218" t="s">
        <v>272</v>
      </c>
    </row>
    <row r="2219" spans="1:9" x14ac:dyDescent="0.3">
      <c r="A2219" t="s">
        <v>299</v>
      </c>
      <c r="B2219" s="5">
        <v>41456</v>
      </c>
      <c r="C2219">
        <v>131.13</v>
      </c>
      <c r="D2219" t="s">
        <v>305</v>
      </c>
      <c r="E2219" t="s">
        <v>349</v>
      </c>
      <c r="F2219" t="s">
        <v>350</v>
      </c>
      <c r="G2219" t="s">
        <v>9</v>
      </c>
    </row>
    <row r="2220" spans="1:9" x14ac:dyDescent="0.3">
      <c r="A2220" t="s">
        <v>299</v>
      </c>
      <c r="B2220" s="5">
        <v>41468</v>
      </c>
      <c r="C2220">
        <v>-2.85</v>
      </c>
      <c r="D2220" t="s">
        <v>305</v>
      </c>
      <c r="E2220" t="s">
        <v>647</v>
      </c>
      <c r="F2220" t="s">
        <v>2027</v>
      </c>
      <c r="G2220" t="s">
        <v>444</v>
      </c>
    </row>
    <row r="2221" spans="1:9" x14ac:dyDescent="0.3">
      <c r="A2221" t="s">
        <v>299</v>
      </c>
      <c r="B2221" s="5">
        <v>41518</v>
      </c>
      <c r="C2221">
        <v>2.85</v>
      </c>
      <c r="D2221" t="s">
        <v>305</v>
      </c>
      <c r="E2221" t="s">
        <v>349</v>
      </c>
      <c r="F2221" t="s">
        <v>2028</v>
      </c>
      <c r="G2221" t="s">
        <v>9</v>
      </c>
    </row>
    <row r="2222" spans="1:9" x14ac:dyDescent="0.3">
      <c r="A2222" t="s">
        <v>299</v>
      </c>
      <c r="B2222" s="5">
        <v>41603</v>
      </c>
      <c r="C2222">
        <v>-85.41</v>
      </c>
      <c r="D2222" t="s">
        <v>305</v>
      </c>
      <c r="E2222" t="s">
        <v>1362</v>
      </c>
      <c r="F2222" t="s">
        <v>2029</v>
      </c>
      <c r="G2222" t="s">
        <v>650</v>
      </c>
    </row>
    <row r="2223" spans="1:9" x14ac:dyDescent="0.3">
      <c r="A2223" t="s">
        <v>299</v>
      </c>
      <c r="B2223" s="5">
        <v>41620</v>
      </c>
      <c r="C2223">
        <v>-98</v>
      </c>
      <c r="D2223" t="s">
        <v>305</v>
      </c>
      <c r="E2223" t="s">
        <v>1362</v>
      </c>
      <c r="F2223" t="s">
        <v>2028</v>
      </c>
      <c r="G2223" t="s">
        <v>650</v>
      </c>
    </row>
    <row r="2224" spans="1:9" x14ac:dyDescent="0.3">
      <c r="A2224" t="s">
        <v>299</v>
      </c>
      <c r="B2224" s="5">
        <v>41636</v>
      </c>
      <c r="C2224">
        <v>0</v>
      </c>
      <c r="D2224" t="s">
        <v>305</v>
      </c>
      <c r="E2224" t="s">
        <v>309</v>
      </c>
      <c r="F2224" t="s">
        <v>2030</v>
      </c>
      <c r="G2224" t="s">
        <v>21</v>
      </c>
    </row>
    <row r="2225" spans="1:9" x14ac:dyDescent="0.3">
      <c r="A2225" t="s">
        <v>299</v>
      </c>
      <c r="B2225" s="5">
        <v>41639</v>
      </c>
      <c r="C2225">
        <v>-49.22</v>
      </c>
      <c r="D2225" t="s">
        <v>305</v>
      </c>
      <c r="E2225" t="s">
        <v>1362</v>
      </c>
      <c r="F2225" t="s">
        <v>2031</v>
      </c>
      <c r="G2225" t="s">
        <v>444</v>
      </c>
    </row>
    <row r="2226" spans="1:9" x14ac:dyDescent="0.3">
      <c r="A2226" t="s">
        <v>299</v>
      </c>
      <c r="B2226" s="5">
        <v>41641</v>
      </c>
      <c r="C2226">
        <v>85.41</v>
      </c>
      <c r="D2226" t="s">
        <v>305</v>
      </c>
      <c r="E2226" t="s">
        <v>349</v>
      </c>
      <c r="G2226" t="s">
        <v>9</v>
      </c>
    </row>
    <row r="2227" spans="1:9" x14ac:dyDescent="0.3">
      <c r="A2227" t="s">
        <v>299</v>
      </c>
      <c r="B2227" s="5">
        <v>41673</v>
      </c>
      <c r="C2227">
        <v>147.22</v>
      </c>
      <c r="D2227" t="s">
        <v>305</v>
      </c>
      <c r="E2227" t="s">
        <v>349</v>
      </c>
      <c r="G2227" t="s">
        <v>9</v>
      </c>
    </row>
    <row r="2228" spans="1:9" x14ac:dyDescent="0.3">
      <c r="A2228" t="s">
        <v>299</v>
      </c>
      <c r="B2228" s="5">
        <v>41674</v>
      </c>
      <c r="C2228">
        <v>-126</v>
      </c>
      <c r="D2228" t="s">
        <v>305</v>
      </c>
      <c r="E2228" t="s">
        <v>459</v>
      </c>
      <c r="F2228" t="s">
        <v>587</v>
      </c>
      <c r="G2228" t="s">
        <v>348</v>
      </c>
    </row>
    <row r="2229" spans="1:9" x14ac:dyDescent="0.3">
      <c r="A2229" t="s">
        <v>299</v>
      </c>
      <c r="B2229" s="5">
        <v>41687</v>
      </c>
      <c r="C2229">
        <v>0</v>
      </c>
      <c r="D2229" t="s">
        <v>305</v>
      </c>
      <c r="E2229" t="s">
        <v>309</v>
      </c>
      <c r="F2229" t="s">
        <v>2032</v>
      </c>
      <c r="G2229" t="s">
        <v>21</v>
      </c>
    </row>
    <row r="2230" spans="1:9" x14ac:dyDescent="0.3">
      <c r="A2230" t="s">
        <v>299</v>
      </c>
      <c r="B2230" s="5">
        <v>41700</v>
      </c>
      <c r="C2230">
        <v>0</v>
      </c>
      <c r="D2230" t="s">
        <v>305</v>
      </c>
      <c r="E2230" t="s">
        <v>309</v>
      </c>
      <c r="F2230" t="s">
        <v>2033</v>
      </c>
      <c r="G2230" t="s">
        <v>21</v>
      </c>
    </row>
    <row r="2231" spans="1:9" x14ac:dyDescent="0.3">
      <c r="A2231" t="s">
        <v>299</v>
      </c>
      <c r="B2231" s="5">
        <v>41701</v>
      </c>
      <c r="C2231">
        <v>126</v>
      </c>
      <c r="D2231" t="s">
        <v>307</v>
      </c>
      <c r="E2231" t="s">
        <v>918</v>
      </c>
      <c r="F2231" t="s">
        <v>2034</v>
      </c>
      <c r="G2231" t="s">
        <v>9</v>
      </c>
    </row>
    <row r="2232" spans="1:9" x14ac:dyDescent="0.3">
      <c r="A2232" t="s">
        <v>300</v>
      </c>
      <c r="B2232" s="5">
        <v>41375</v>
      </c>
      <c r="C2232">
        <v>0</v>
      </c>
      <c r="D2232" t="s">
        <v>305</v>
      </c>
      <c r="E2232" t="s">
        <v>702</v>
      </c>
      <c r="G2232" t="s">
        <v>23</v>
      </c>
    </row>
    <row r="2233" spans="1:9" x14ac:dyDescent="0.3">
      <c r="A2233" t="s">
        <v>300</v>
      </c>
      <c r="B2233" s="5">
        <v>41376</v>
      </c>
      <c r="C2233">
        <v>-7</v>
      </c>
      <c r="D2233" t="s">
        <v>305</v>
      </c>
      <c r="E2233" t="s">
        <v>372</v>
      </c>
      <c r="F2233" t="s">
        <v>2035</v>
      </c>
      <c r="G2233" t="s">
        <v>20</v>
      </c>
      <c r="H2233">
        <v>799999931011</v>
      </c>
      <c r="I2233" t="s">
        <v>272</v>
      </c>
    </row>
    <row r="2234" spans="1:9" x14ac:dyDescent="0.3">
      <c r="A2234" t="s">
        <v>300</v>
      </c>
      <c r="B2234" s="5">
        <v>41376</v>
      </c>
      <c r="C2234">
        <v>-46.41</v>
      </c>
      <c r="D2234" t="s">
        <v>305</v>
      </c>
      <c r="E2234" t="s">
        <v>372</v>
      </c>
      <c r="F2234" t="s">
        <v>2036</v>
      </c>
      <c r="G2234" t="s">
        <v>343</v>
      </c>
      <c r="H2234">
        <v>799999931011</v>
      </c>
      <c r="I2234" t="s">
        <v>272</v>
      </c>
    </row>
    <row r="2235" spans="1:9" x14ac:dyDescent="0.3">
      <c r="A2235" t="s">
        <v>300</v>
      </c>
      <c r="B2235" s="5">
        <v>41413</v>
      </c>
      <c r="C2235">
        <v>-1.19</v>
      </c>
      <c r="D2235" t="s">
        <v>305</v>
      </c>
      <c r="E2235" t="s">
        <v>372</v>
      </c>
      <c r="F2235" t="s">
        <v>2037</v>
      </c>
      <c r="G2235" t="s">
        <v>343</v>
      </c>
      <c r="H2235">
        <v>799999931391</v>
      </c>
      <c r="I2235" t="s">
        <v>272</v>
      </c>
    </row>
    <row r="2236" spans="1:9" x14ac:dyDescent="0.3">
      <c r="A2236" t="s">
        <v>300</v>
      </c>
      <c r="B2236" s="5">
        <v>41413</v>
      </c>
      <c r="C2236">
        <v>-29.06</v>
      </c>
      <c r="D2236" t="s">
        <v>305</v>
      </c>
      <c r="E2236" t="s">
        <v>372</v>
      </c>
      <c r="F2236" t="s">
        <v>2038</v>
      </c>
      <c r="G2236" t="s">
        <v>359</v>
      </c>
      <c r="H2236">
        <v>799999931391</v>
      </c>
      <c r="I2236" t="s">
        <v>272</v>
      </c>
    </row>
    <row r="2237" spans="1:9" x14ac:dyDescent="0.3">
      <c r="A2237" t="s">
        <v>300</v>
      </c>
      <c r="B2237" s="5">
        <v>41421</v>
      </c>
      <c r="C2237">
        <v>-20.260000000000002</v>
      </c>
      <c r="D2237" t="s">
        <v>305</v>
      </c>
      <c r="E2237" t="s">
        <v>372</v>
      </c>
      <c r="F2237" t="s">
        <v>2039</v>
      </c>
      <c r="G2237" t="s">
        <v>346</v>
      </c>
      <c r="H2237">
        <v>799999931471</v>
      </c>
    </row>
    <row r="2238" spans="1:9" x14ac:dyDescent="0.3">
      <c r="A2238" t="s">
        <v>300</v>
      </c>
      <c r="B2238" s="5">
        <v>41431</v>
      </c>
      <c r="C2238">
        <v>53.41</v>
      </c>
      <c r="D2238" t="s">
        <v>305</v>
      </c>
      <c r="E2238" t="s">
        <v>370</v>
      </c>
      <c r="F2238" t="s">
        <v>2040</v>
      </c>
      <c r="G2238" t="s">
        <v>23</v>
      </c>
    </row>
    <row r="2239" spans="1:9" x14ac:dyDescent="0.3">
      <c r="A2239" t="s">
        <v>300</v>
      </c>
      <c r="B2239" s="5">
        <v>41436</v>
      </c>
      <c r="C2239">
        <v>-1</v>
      </c>
      <c r="D2239" t="s">
        <v>305</v>
      </c>
      <c r="E2239" t="s">
        <v>370</v>
      </c>
      <c r="F2239" t="s">
        <v>2041</v>
      </c>
      <c r="G2239" t="s">
        <v>618</v>
      </c>
    </row>
    <row r="2240" spans="1:9" x14ac:dyDescent="0.3">
      <c r="A2240" t="s">
        <v>300</v>
      </c>
      <c r="B2240" s="5">
        <v>41436</v>
      </c>
      <c r="C2240">
        <v>-53.41</v>
      </c>
      <c r="D2240" t="s">
        <v>305</v>
      </c>
      <c r="E2240" t="s">
        <v>370</v>
      </c>
      <c r="F2240" t="s">
        <v>2042</v>
      </c>
      <c r="G2240" t="s">
        <v>23</v>
      </c>
      <c r="H2240">
        <v>799999931620</v>
      </c>
    </row>
    <row r="2241" spans="1:9" x14ac:dyDescent="0.3">
      <c r="A2241" t="s">
        <v>300</v>
      </c>
      <c r="B2241" s="5">
        <v>41440</v>
      </c>
      <c r="C2241">
        <v>104.92</v>
      </c>
      <c r="D2241" t="s">
        <v>305</v>
      </c>
      <c r="E2241" t="s">
        <v>370</v>
      </c>
      <c r="F2241" t="s">
        <v>2043</v>
      </c>
      <c r="G2241" t="s">
        <v>23</v>
      </c>
    </row>
    <row r="2242" spans="1:9" x14ac:dyDescent="0.3">
      <c r="A2242" t="s">
        <v>300</v>
      </c>
      <c r="B2242" s="5">
        <v>41443</v>
      </c>
      <c r="C2242">
        <v>-25</v>
      </c>
      <c r="D2242" t="s">
        <v>305</v>
      </c>
      <c r="E2242" t="s">
        <v>370</v>
      </c>
      <c r="F2242" t="s">
        <v>2044</v>
      </c>
      <c r="G2242" t="s">
        <v>670</v>
      </c>
      <c r="H2242">
        <v>799999931690</v>
      </c>
    </row>
    <row r="2243" spans="1:9" x14ac:dyDescent="0.3">
      <c r="A2243" t="s">
        <v>300</v>
      </c>
      <c r="B2243" s="5">
        <v>41443</v>
      </c>
      <c r="C2243">
        <v>-104.92</v>
      </c>
      <c r="D2243" t="s">
        <v>305</v>
      </c>
      <c r="E2243" t="s">
        <v>2045</v>
      </c>
      <c r="F2243" t="s">
        <v>2042</v>
      </c>
      <c r="G2243" t="s">
        <v>23</v>
      </c>
      <c r="H2243">
        <v>799999931690</v>
      </c>
    </row>
    <row r="2244" spans="1:9" x14ac:dyDescent="0.3">
      <c r="A2244" t="s">
        <v>300</v>
      </c>
      <c r="B2244" s="5">
        <v>41444</v>
      </c>
      <c r="C2244">
        <v>104.92</v>
      </c>
      <c r="D2244" t="s">
        <v>305</v>
      </c>
      <c r="E2244" t="s">
        <v>370</v>
      </c>
      <c r="F2244" t="s">
        <v>824</v>
      </c>
      <c r="G2244" t="s">
        <v>9</v>
      </c>
    </row>
    <row r="2245" spans="1:9" x14ac:dyDescent="0.3">
      <c r="A2245" t="s">
        <v>300</v>
      </c>
      <c r="B2245" s="5">
        <v>41447</v>
      </c>
      <c r="C2245">
        <v>-14.48</v>
      </c>
      <c r="D2245" t="s">
        <v>305</v>
      </c>
      <c r="E2245" t="s">
        <v>372</v>
      </c>
      <c r="F2245" t="s">
        <v>2046</v>
      </c>
      <c r="G2245" t="s">
        <v>346</v>
      </c>
      <c r="H2245">
        <v>799999931731</v>
      </c>
      <c r="I2245" t="s">
        <v>272</v>
      </c>
    </row>
    <row r="2246" spans="1:9" x14ac:dyDescent="0.3">
      <c r="A2246" t="s">
        <v>300</v>
      </c>
      <c r="B2246" s="5">
        <v>41447</v>
      </c>
      <c r="C2246">
        <v>-71.180000000000007</v>
      </c>
      <c r="D2246" t="s">
        <v>305</v>
      </c>
      <c r="E2246" t="s">
        <v>372</v>
      </c>
      <c r="F2246" t="s">
        <v>2047</v>
      </c>
      <c r="G2246" t="s">
        <v>360</v>
      </c>
      <c r="H2246">
        <v>799999931731</v>
      </c>
      <c r="I2246" t="s">
        <v>272</v>
      </c>
    </row>
    <row r="2247" spans="1:9" x14ac:dyDescent="0.3">
      <c r="A2247" t="s">
        <v>300</v>
      </c>
      <c r="B2247" s="5">
        <v>41450</v>
      </c>
      <c r="C2247">
        <v>25</v>
      </c>
      <c r="D2247" t="s">
        <v>305</v>
      </c>
      <c r="E2247" t="s">
        <v>370</v>
      </c>
      <c r="F2247" t="s">
        <v>2048</v>
      </c>
      <c r="G2247" t="s">
        <v>670</v>
      </c>
      <c r="H2247">
        <v>799999931690</v>
      </c>
    </row>
    <row r="2248" spans="1:9" x14ac:dyDescent="0.3">
      <c r="A2248" t="s">
        <v>300</v>
      </c>
      <c r="B2248" s="5">
        <v>41456</v>
      </c>
      <c r="C2248">
        <v>10</v>
      </c>
      <c r="D2248" t="s">
        <v>305</v>
      </c>
      <c r="E2248" t="s">
        <v>370</v>
      </c>
      <c r="F2248" t="s">
        <v>2049</v>
      </c>
      <c r="G2248" t="s">
        <v>9</v>
      </c>
    </row>
    <row r="2249" spans="1:9" x14ac:dyDescent="0.3">
      <c r="A2249" t="s">
        <v>300</v>
      </c>
      <c r="B2249" s="5">
        <v>41461</v>
      </c>
      <c r="C2249">
        <v>50.51</v>
      </c>
      <c r="D2249" t="s">
        <v>305</v>
      </c>
      <c r="E2249" t="s">
        <v>370</v>
      </c>
      <c r="G2249" t="s">
        <v>9</v>
      </c>
    </row>
    <row r="2250" spans="1:9" x14ac:dyDescent="0.3">
      <c r="A2250" t="s">
        <v>300</v>
      </c>
      <c r="B2250" s="5">
        <v>41492</v>
      </c>
      <c r="C2250">
        <v>25.15</v>
      </c>
      <c r="D2250" t="s">
        <v>305</v>
      </c>
      <c r="E2250" t="s">
        <v>370</v>
      </c>
      <c r="G2250" t="s">
        <v>9</v>
      </c>
    </row>
    <row r="2251" spans="1:9" x14ac:dyDescent="0.3">
      <c r="A2251" t="s">
        <v>300</v>
      </c>
      <c r="B2251" s="5">
        <v>41535</v>
      </c>
      <c r="C2251">
        <v>-24.94</v>
      </c>
      <c r="D2251" t="s">
        <v>305</v>
      </c>
      <c r="E2251" t="s">
        <v>372</v>
      </c>
      <c r="F2251" t="s">
        <v>2050</v>
      </c>
      <c r="G2251" t="s">
        <v>614</v>
      </c>
    </row>
    <row r="2252" spans="1:9" x14ac:dyDescent="0.3">
      <c r="A2252" t="s">
        <v>300</v>
      </c>
      <c r="B2252" s="5">
        <v>41566</v>
      </c>
      <c r="C2252">
        <v>-35.06</v>
      </c>
      <c r="D2252" t="s">
        <v>305</v>
      </c>
      <c r="E2252" t="s">
        <v>372</v>
      </c>
      <c r="F2252" t="s">
        <v>2051</v>
      </c>
      <c r="G2252" t="s">
        <v>346</v>
      </c>
      <c r="H2252">
        <v>799999932921</v>
      </c>
      <c r="I2252" t="s">
        <v>272</v>
      </c>
    </row>
    <row r="2253" spans="1:9" x14ac:dyDescent="0.3">
      <c r="A2253" t="s">
        <v>300</v>
      </c>
      <c r="B2253" s="5">
        <v>41566</v>
      </c>
      <c r="C2253">
        <v>-9.3800000000000008</v>
      </c>
      <c r="D2253" t="s">
        <v>305</v>
      </c>
      <c r="E2253" t="s">
        <v>372</v>
      </c>
      <c r="G2253" t="s">
        <v>343</v>
      </c>
      <c r="H2253">
        <v>799999932921</v>
      </c>
      <c r="I2253" t="s">
        <v>272</v>
      </c>
    </row>
    <row r="2254" spans="1:9" x14ac:dyDescent="0.3">
      <c r="A2254" t="s">
        <v>300</v>
      </c>
      <c r="B2254" s="5">
        <v>41584</v>
      </c>
      <c r="C2254">
        <v>24.94</v>
      </c>
      <c r="D2254" t="s">
        <v>305</v>
      </c>
      <c r="E2254" t="s">
        <v>370</v>
      </c>
      <c r="F2254" t="s">
        <v>2052</v>
      </c>
      <c r="G2254" t="s">
        <v>9</v>
      </c>
    </row>
    <row r="2255" spans="1:9" x14ac:dyDescent="0.3">
      <c r="A2255" t="s">
        <v>300</v>
      </c>
      <c r="B2255" s="5">
        <v>41589</v>
      </c>
      <c r="C2255">
        <v>-37.43</v>
      </c>
      <c r="D2255" t="s">
        <v>305</v>
      </c>
      <c r="E2255" t="s">
        <v>372</v>
      </c>
      <c r="F2255" t="s">
        <v>2053</v>
      </c>
      <c r="G2255" t="s">
        <v>444</v>
      </c>
      <c r="H2255">
        <v>799999933151</v>
      </c>
    </row>
    <row r="2256" spans="1:9" x14ac:dyDescent="0.3">
      <c r="A2256" t="s">
        <v>300</v>
      </c>
      <c r="B2256" s="5">
        <v>41607</v>
      </c>
      <c r="C2256">
        <v>-5.19</v>
      </c>
      <c r="D2256" t="s">
        <v>305</v>
      </c>
      <c r="E2256" t="s">
        <v>372</v>
      </c>
      <c r="F2256" t="s">
        <v>2054</v>
      </c>
      <c r="G2256" t="s">
        <v>346</v>
      </c>
      <c r="H2256">
        <v>799999933331</v>
      </c>
    </row>
    <row r="2257" spans="1:9" x14ac:dyDescent="0.3">
      <c r="A2257" t="s">
        <v>300</v>
      </c>
      <c r="B2257" s="5">
        <v>41614</v>
      </c>
      <c r="C2257">
        <v>44.44</v>
      </c>
      <c r="D2257" t="s">
        <v>305</v>
      </c>
      <c r="E2257" t="s">
        <v>370</v>
      </c>
      <c r="F2257" t="s">
        <v>2055</v>
      </c>
      <c r="G2257" t="s">
        <v>9</v>
      </c>
    </row>
    <row r="2258" spans="1:9" x14ac:dyDescent="0.3">
      <c r="A2258" t="s">
        <v>300</v>
      </c>
      <c r="B2258" s="5">
        <v>41623</v>
      </c>
      <c r="C2258">
        <v>-120</v>
      </c>
      <c r="D2258" t="s">
        <v>305</v>
      </c>
      <c r="E2258" t="s">
        <v>372</v>
      </c>
      <c r="F2258" t="s">
        <v>2056</v>
      </c>
      <c r="G2258" t="s">
        <v>20</v>
      </c>
      <c r="I2258" t="s">
        <v>272</v>
      </c>
    </row>
    <row r="2259" spans="1:9" x14ac:dyDescent="0.3">
      <c r="A2259" t="s">
        <v>300</v>
      </c>
      <c r="B2259" s="5">
        <v>41623</v>
      </c>
      <c r="C2259">
        <v>-9.86</v>
      </c>
      <c r="D2259" t="s">
        <v>305</v>
      </c>
      <c r="E2259" t="s">
        <v>372</v>
      </c>
      <c r="G2259" t="s">
        <v>20</v>
      </c>
      <c r="I2259" t="s">
        <v>272</v>
      </c>
    </row>
    <row r="2260" spans="1:9" x14ac:dyDescent="0.3">
      <c r="A2260" t="s">
        <v>300</v>
      </c>
      <c r="B2260" s="5">
        <v>41623</v>
      </c>
      <c r="C2260">
        <v>-1.98</v>
      </c>
      <c r="D2260" t="s">
        <v>305</v>
      </c>
      <c r="E2260" t="s">
        <v>372</v>
      </c>
      <c r="G2260" t="s">
        <v>343</v>
      </c>
      <c r="I2260" t="s">
        <v>272</v>
      </c>
    </row>
    <row r="2261" spans="1:9" x14ac:dyDescent="0.3">
      <c r="A2261" t="s">
        <v>300</v>
      </c>
      <c r="B2261" s="5">
        <v>41623</v>
      </c>
      <c r="C2261">
        <v>-13.14</v>
      </c>
      <c r="D2261" t="s">
        <v>305</v>
      </c>
      <c r="E2261" t="s">
        <v>372</v>
      </c>
      <c r="G2261" t="s">
        <v>346</v>
      </c>
      <c r="I2261" t="s">
        <v>272</v>
      </c>
    </row>
    <row r="2262" spans="1:9" x14ac:dyDescent="0.3">
      <c r="A2262" t="s">
        <v>300</v>
      </c>
      <c r="B2262" s="5">
        <v>41623</v>
      </c>
      <c r="C2262">
        <v>-21.9</v>
      </c>
      <c r="D2262" t="s">
        <v>305</v>
      </c>
      <c r="E2262" t="s">
        <v>372</v>
      </c>
      <c r="F2262" t="s">
        <v>2057</v>
      </c>
      <c r="G2262" t="s">
        <v>360</v>
      </c>
      <c r="I2262" t="s">
        <v>272</v>
      </c>
    </row>
    <row r="2263" spans="1:9" x14ac:dyDescent="0.3">
      <c r="A2263" t="s">
        <v>300</v>
      </c>
      <c r="B2263" s="5">
        <v>41623</v>
      </c>
      <c r="C2263">
        <v>-6.89</v>
      </c>
      <c r="D2263" t="s">
        <v>305</v>
      </c>
      <c r="E2263" t="s">
        <v>372</v>
      </c>
      <c r="G2263" t="s">
        <v>614</v>
      </c>
      <c r="I2263" t="s">
        <v>272</v>
      </c>
    </row>
    <row r="2264" spans="1:9" x14ac:dyDescent="0.3">
      <c r="A2264" t="s">
        <v>300</v>
      </c>
      <c r="B2264" s="5">
        <v>41623</v>
      </c>
      <c r="C2264">
        <v>-7.6</v>
      </c>
      <c r="D2264" t="s">
        <v>305</v>
      </c>
      <c r="E2264" t="s">
        <v>372</v>
      </c>
      <c r="F2264" t="s">
        <v>2058</v>
      </c>
      <c r="G2264" t="s">
        <v>360</v>
      </c>
      <c r="I2264" t="s">
        <v>272</v>
      </c>
    </row>
    <row r="2265" spans="1:9" x14ac:dyDescent="0.3">
      <c r="A2265" t="s">
        <v>300</v>
      </c>
      <c r="B2265" s="5">
        <v>41625</v>
      </c>
      <c r="C2265">
        <v>-16.47</v>
      </c>
      <c r="D2265" t="s">
        <v>305</v>
      </c>
      <c r="E2265" t="s">
        <v>372</v>
      </c>
      <c r="F2265" t="s">
        <v>2059</v>
      </c>
      <c r="G2265" t="s">
        <v>360</v>
      </c>
      <c r="H2265">
        <v>799999933511</v>
      </c>
      <c r="I2265" t="s">
        <v>272</v>
      </c>
    </row>
    <row r="2266" spans="1:9" x14ac:dyDescent="0.3">
      <c r="A2266" t="s">
        <v>300</v>
      </c>
      <c r="B2266" s="5">
        <v>41625</v>
      </c>
      <c r="C2266">
        <v>-10.39</v>
      </c>
      <c r="D2266" t="s">
        <v>305</v>
      </c>
      <c r="E2266" t="s">
        <v>372</v>
      </c>
      <c r="F2266" t="s">
        <v>1866</v>
      </c>
      <c r="G2266" t="s">
        <v>17</v>
      </c>
      <c r="H2266">
        <v>799999933511</v>
      </c>
      <c r="I2266" t="s">
        <v>272</v>
      </c>
    </row>
    <row r="2267" spans="1:9" x14ac:dyDescent="0.3">
      <c r="A2267" t="s">
        <v>300</v>
      </c>
      <c r="B2267" s="5">
        <v>41630</v>
      </c>
      <c r="C2267">
        <v>250.85</v>
      </c>
      <c r="D2267" t="s">
        <v>305</v>
      </c>
      <c r="E2267" t="s">
        <v>370</v>
      </c>
      <c r="G2267" t="s">
        <v>9</v>
      </c>
      <c r="H2267">
        <v>799999933560</v>
      </c>
    </row>
    <row r="2268" spans="1:9" x14ac:dyDescent="0.3">
      <c r="A2268" t="s">
        <v>300</v>
      </c>
      <c r="B2268" s="5">
        <v>41630</v>
      </c>
      <c r="C2268">
        <v>-2.0699999999999998</v>
      </c>
      <c r="D2268" t="s">
        <v>305</v>
      </c>
      <c r="E2268" t="s">
        <v>372</v>
      </c>
      <c r="F2268" t="s">
        <v>2060</v>
      </c>
      <c r="G2268" t="s">
        <v>17</v>
      </c>
      <c r="H2268">
        <v>799999933561</v>
      </c>
      <c r="I2268" t="s">
        <v>272</v>
      </c>
    </row>
    <row r="2269" spans="1:9" x14ac:dyDescent="0.3">
      <c r="A2269" t="s">
        <v>300</v>
      </c>
      <c r="B2269" s="5">
        <v>41630</v>
      </c>
      <c r="C2269">
        <v>-8.32</v>
      </c>
      <c r="D2269" t="s">
        <v>305</v>
      </c>
      <c r="E2269" t="s">
        <v>372</v>
      </c>
      <c r="F2269" t="s">
        <v>2061</v>
      </c>
      <c r="G2269" t="s">
        <v>360</v>
      </c>
      <c r="H2269">
        <v>799999933561</v>
      </c>
      <c r="I2269" t="s">
        <v>272</v>
      </c>
    </row>
    <row r="2270" spans="1:9" x14ac:dyDescent="0.3">
      <c r="A2270" t="s">
        <v>300</v>
      </c>
      <c r="B2270" s="5">
        <v>41630</v>
      </c>
      <c r="C2270">
        <v>-283.98</v>
      </c>
      <c r="D2270" t="s">
        <v>305</v>
      </c>
      <c r="E2270" t="s">
        <v>372</v>
      </c>
      <c r="F2270" t="s">
        <v>2062</v>
      </c>
      <c r="G2270" t="s">
        <v>342</v>
      </c>
      <c r="H2270">
        <v>799999933561</v>
      </c>
      <c r="I2270" t="s">
        <v>272</v>
      </c>
    </row>
    <row r="2271" spans="1:9" x14ac:dyDescent="0.3">
      <c r="A2271" t="s">
        <v>300</v>
      </c>
      <c r="B2271" s="5">
        <v>41631</v>
      </c>
      <c r="C2271">
        <v>10.39</v>
      </c>
      <c r="D2271" t="s">
        <v>305</v>
      </c>
      <c r="E2271" t="s">
        <v>372</v>
      </c>
      <c r="F2271" t="s">
        <v>2063</v>
      </c>
      <c r="G2271" t="s">
        <v>17</v>
      </c>
      <c r="H2271">
        <v>799999933571</v>
      </c>
    </row>
    <row r="2272" spans="1:9" x14ac:dyDescent="0.3">
      <c r="A2272" t="s">
        <v>300</v>
      </c>
      <c r="B2272" s="5">
        <v>41631</v>
      </c>
      <c r="C2272">
        <v>-250</v>
      </c>
      <c r="D2272" t="s">
        <v>305</v>
      </c>
      <c r="E2272" t="s">
        <v>372</v>
      </c>
      <c r="F2272" t="s">
        <v>671</v>
      </c>
      <c r="G2272" t="s">
        <v>342</v>
      </c>
      <c r="H2272">
        <v>799999933571</v>
      </c>
    </row>
    <row r="2273" spans="1:9" x14ac:dyDescent="0.3">
      <c r="A2273" t="s">
        <v>300</v>
      </c>
      <c r="B2273" s="5">
        <v>41636</v>
      </c>
      <c r="C2273">
        <v>0</v>
      </c>
      <c r="D2273" t="s">
        <v>305</v>
      </c>
      <c r="E2273" t="s">
        <v>309</v>
      </c>
      <c r="F2273" t="s">
        <v>2064</v>
      </c>
      <c r="G2273" t="s">
        <v>23</v>
      </c>
    </row>
    <row r="2274" spans="1:9" x14ac:dyDescent="0.3">
      <c r="A2274" t="s">
        <v>300</v>
      </c>
      <c r="B2274" s="5">
        <v>41639</v>
      </c>
      <c r="C2274">
        <v>0</v>
      </c>
      <c r="D2274" t="s">
        <v>305</v>
      </c>
      <c r="E2274" t="s">
        <v>309</v>
      </c>
      <c r="F2274" t="s">
        <v>601</v>
      </c>
      <c r="G2274" t="s">
        <v>23</v>
      </c>
    </row>
    <row r="2275" spans="1:9" x14ac:dyDescent="0.3">
      <c r="A2275" t="s">
        <v>300</v>
      </c>
      <c r="B2275" s="5">
        <v>41645</v>
      </c>
      <c r="C2275">
        <v>42.62</v>
      </c>
      <c r="D2275" t="s">
        <v>305</v>
      </c>
      <c r="E2275" t="s">
        <v>370</v>
      </c>
      <c r="F2275" t="s">
        <v>2065</v>
      </c>
      <c r="G2275" t="s">
        <v>9</v>
      </c>
    </row>
    <row r="2276" spans="1:9" x14ac:dyDescent="0.3">
      <c r="A2276" t="s">
        <v>300</v>
      </c>
      <c r="B2276" s="5">
        <v>41672</v>
      </c>
      <c r="C2276">
        <v>-58.28</v>
      </c>
      <c r="D2276" t="s">
        <v>305</v>
      </c>
      <c r="E2276" t="s">
        <v>372</v>
      </c>
      <c r="F2276" t="s">
        <v>588</v>
      </c>
      <c r="G2276" t="s">
        <v>346</v>
      </c>
      <c r="H2276">
        <v>799999940331</v>
      </c>
    </row>
    <row r="2277" spans="1:9" x14ac:dyDescent="0.3">
      <c r="A2277" t="s">
        <v>300</v>
      </c>
      <c r="B2277" s="5">
        <v>41676</v>
      </c>
      <c r="C2277">
        <v>491.36</v>
      </c>
      <c r="D2277" t="s">
        <v>305</v>
      </c>
      <c r="E2277" t="s">
        <v>370</v>
      </c>
      <c r="G2277" t="s">
        <v>9</v>
      </c>
    </row>
    <row r="2278" spans="1:9" x14ac:dyDescent="0.3">
      <c r="A2278" t="s">
        <v>300</v>
      </c>
      <c r="B2278" s="5">
        <v>41680</v>
      </c>
      <c r="C2278">
        <v>-3.32</v>
      </c>
      <c r="D2278" t="s">
        <v>305</v>
      </c>
      <c r="E2278" t="s">
        <v>372</v>
      </c>
      <c r="F2278" t="s">
        <v>2066</v>
      </c>
      <c r="G2278" t="s">
        <v>20</v>
      </c>
      <c r="H2278">
        <v>799999940411</v>
      </c>
    </row>
    <row r="2279" spans="1:9" x14ac:dyDescent="0.3">
      <c r="A2279" t="s">
        <v>300</v>
      </c>
      <c r="B2279" s="5">
        <v>41687</v>
      </c>
      <c r="C2279">
        <v>0</v>
      </c>
      <c r="D2279" t="s">
        <v>305</v>
      </c>
      <c r="E2279" t="s">
        <v>309</v>
      </c>
      <c r="F2279" t="s">
        <v>601</v>
      </c>
      <c r="G2279" t="s">
        <v>23</v>
      </c>
    </row>
    <row r="2280" spans="1:9" x14ac:dyDescent="0.3">
      <c r="A2280" t="s">
        <v>300</v>
      </c>
      <c r="B2280" s="5">
        <v>41692</v>
      </c>
      <c r="C2280">
        <v>-204.82</v>
      </c>
      <c r="D2280" t="s">
        <v>305</v>
      </c>
      <c r="E2280" t="s">
        <v>372</v>
      </c>
      <c r="F2280" t="s">
        <v>598</v>
      </c>
      <c r="G2280" t="s">
        <v>360</v>
      </c>
      <c r="H2280">
        <v>799999940531</v>
      </c>
    </row>
    <row r="2281" spans="1:9" x14ac:dyDescent="0.3">
      <c r="A2281" t="s">
        <v>300</v>
      </c>
      <c r="B2281" s="5">
        <v>41700</v>
      </c>
      <c r="C2281">
        <v>0</v>
      </c>
      <c r="D2281" t="s">
        <v>305</v>
      </c>
      <c r="E2281" t="s">
        <v>309</v>
      </c>
      <c r="F2281" t="s">
        <v>2067</v>
      </c>
      <c r="G2281" t="s">
        <v>23</v>
      </c>
    </row>
    <row r="2282" spans="1:9" x14ac:dyDescent="0.3">
      <c r="A2282" t="s">
        <v>300</v>
      </c>
      <c r="B2282" s="5">
        <v>41704</v>
      </c>
      <c r="C2282">
        <v>58.28</v>
      </c>
      <c r="D2282" t="s">
        <v>307</v>
      </c>
      <c r="E2282" t="s">
        <v>370</v>
      </c>
      <c r="G2282" t="s">
        <v>9</v>
      </c>
    </row>
    <row r="2283" spans="1:9" x14ac:dyDescent="0.3">
      <c r="A2283" t="s">
        <v>300</v>
      </c>
      <c r="B2283" s="5">
        <v>41704</v>
      </c>
      <c r="C2283">
        <v>58.28</v>
      </c>
      <c r="D2283" t="s">
        <v>307</v>
      </c>
      <c r="E2283" t="s">
        <v>699</v>
      </c>
      <c r="G2283" t="s">
        <v>667</v>
      </c>
    </row>
    <row r="2284" spans="1:9" x14ac:dyDescent="0.3">
      <c r="A2284" t="s">
        <v>300</v>
      </c>
      <c r="B2284" s="5">
        <v>41707</v>
      </c>
      <c r="C2284">
        <v>-3.12</v>
      </c>
      <c r="D2284" t="s">
        <v>307</v>
      </c>
      <c r="E2284" t="s">
        <v>2068</v>
      </c>
      <c r="H2284">
        <v>799999940681</v>
      </c>
    </row>
    <row r="2285" spans="1:9" x14ac:dyDescent="0.3">
      <c r="A2285" t="s">
        <v>300</v>
      </c>
      <c r="B2285" s="5">
        <v>41707</v>
      </c>
      <c r="C2285">
        <v>-141.36000000000001</v>
      </c>
      <c r="D2285" t="s">
        <v>307</v>
      </c>
      <c r="E2285" t="s">
        <v>2068</v>
      </c>
      <c r="H2285">
        <v>799999940681</v>
      </c>
    </row>
    <row r="2286" spans="1:9" x14ac:dyDescent="0.3">
      <c r="A2286" t="s">
        <v>303</v>
      </c>
      <c r="B2286" s="5">
        <v>41365</v>
      </c>
      <c r="C2286" s="4">
        <v>20021.43</v>
      </c>
      <c r="G2286" t="s">
        <v>19</v>
      </c>
      <c r="H2286" t="s">
        <v>302</v>
      </c>
    </row>
    <row r="2287" spans="1:9" x14ac:dyDescent="0.3">
      <c r="A2287" t="s">
        <v>303</v>
      </c>
      <c r="B2287" s="5">
        <v>41367</v>
      </c>
      <c r="C2287" s="4">
        <v>10000</v>
      </c>
      <c r="E2287" t="s">
        <v>303</v>
      </c>
      <c r="F2287" t="s">
        <v>778</v>
      </c>
      <c r="G2287" t="s">
        <v>9</v>
      </c>
      <c r="H2287" t="s">
        <v>2069</v>
      </c>
      <c r="I2287" t="s">
        <v>272</v>
      </c>
    </row>
    <row r="2288" spans="1:9" x14ac:dyDescent="0.3">
      <c r="A2288" t="s">
        <v>303</v>
      </c>
      <c r="B2288" s="5">
        <v>41375</v>
      </c>
      <c r="C2288" s="4">
        <v>10000</v>
      </c>
      <c r="E2288" t="s">
        <v>303</v>
      </c>
      <c r="F2288" t="s">
        <v>778</v>
      </c>
      <c r="G2288" t="s">
        <v>9</v>
      </c>
      <c r="H2288" t="s">
        <v>2069</v>
      </c>
      <c r="I2288" t="s">
        <v>272</v>
      </c>
    </row>
    <row r="2289" spans="1:9" x14ac:dyDescent="0.3">
      <c r="A2289" t="s">
        <v>303</v>
      </c>
      <c r="B2289" s="5">
        <v>41423</v>
      </c>
      <c r="C2289">
        <v>21.43</v>
      </c>
      <c r="E2289" t="s">
        <v>303</v>
      </c>
      <c r="F2289" t="s">
        <v>815</v>
      </c>
      <c r="G2289" t="s">
        <v>9</v>
      </c>
      <c r="H2289" t="s">
        <v>2069</v>
      </c>
      <c r="I2289" t="s">
        <v>272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4.4" x14ac:dyDescent="0.3"/>
  <cols>
    <col min="1" max="1" width="5.88671875" bestFit="1" customWidth="1"/>
    <col min="2" max="2" width="10.21875" bestFit="1" customWidth="1"/>
    <col min="3" max="3" width="10.5546875" bestFit="1" customWidth="1"/>
    <col min="4" max="4" width="7.88671875" bestFit="1" customWidth="1"/>
    <col min="5" max="5" width="4.88671875" bestFit="1" customWidth="1"/>
  </cols>
  <sheetData>
    <row r="1" spans="1:5" x14ac:dyDescent="0.3">
      <c r="A1" t="s">
        <v>264</v>
      </c>
      <c r="B1" t="s">
        <v>273</v>
      </c>
      <c r="C1" t="s">
        <v>274</v>
      </c>
      <c r="D1" t="s">
        <v>275</v>
      </c>
      <c r="E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/>
  </sheetViews>
  <sheetFormatPr defaultRowHeight="14.4" x14ac:dyDescent="0.3"/>
  <cols>
    <col min="1" max="1" width="5.88671875" bestFit="1" customWidth="1"/>
    <col min="2" max="2" width="10.21875" bestFit="1" customWidth="1"/>
  </cols>
  <sheetData>
    <row r="1" spans="1:2" x14ac:dyDescent="0.3">
      <c r="A1" t="s">
        <v>264</v>
      </c>
      <c r="B1" t="s">
        <v>273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4.4" x14ac:dyDescent="0.3"/>
  <sheetData>
    <row r="1" spans="1:3" x14ac:dyDescent="0.3">
      <c r="A1" t="s">
        <v>264</v>
      </c>
      <c r="B1" t="s">
        <v>276</v>
      </c>
      <c r="C1" t="s">
        <v>277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"/>
  <sheetViews>
    <sheetView workbookViewId="0"/>
  </sheetViews>
  <sheetFormatPr defaultRowHeight="14.4" x14ac:dyDescent="0.3"/>
  <cols>
    <col min="1" max="2" width="4.88671875" bestFit="1" customWidth="1"/>
    <col min="3" max="3" width="7.44140625" bestFit="1" customWidth="1"/>
    <col min="4" max="4" width="6" bestFit="1" customWidth="1"/>
    <col min="5" max="5" width="5.88671875" bestFit="1" customWidth="1"/>
    <col min="6" max="6" width="6.33203125" bestFit="1" customWidth="1"/>
    <col min="7" max="7" width="8.33203125" bestFit="1" customWidth="1"/>
    <col min="8" max="8" width="12.88671875" bestFit="1" customWidth="1"/>
    <col min="9" max="9" width="4.44140625" bestFit="1" customWidth="1"/>
  </cols>
  <sheetData>
    <row r="1" spans="1:9" x14ac:dyDescent="0.3">
      <c r="A1" t="s">
        <v>0</v>
      </c>
      <c r="B1" t="s">
        <v>266</v>
      </c>
      <c r="C1" t="s">
        <v>267</v>
      </c>
      <c r="D1" t="s">
        <v>268</v>
      </c>
      <c r="E1" t="s">
        <v>269</v>
      </c>
      <c r="F1" t="s">
        <v>270</v>
      </c>
      <c r="G1" t="s">
        <v>3</v>
      </c>
      <c r="H1" t="s">
        <v>271</v>
      </c>
      <c r="I1" t="s">
        <v>272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workbookViewId="0">
      <selection activeCell="B3" sqref="B3"/>
    </sheetView>
  </sheetViews>
  <sheetFormatPr defaultRowHeight="14.4" x14ac:dyDescent="0.3"/>
  <cols>
    <col min="1" max="1" width="19.5546875" bestFit="1" customWidth="1"/>
  </cols>
  <sheetData>
    <row r="1" spans="1:2" x14ac:dyDescent="0.3">
      <c r="A1" t="s">
        <v>1</v>
      </c>
      <c r="B1" t="s">
        <v>672</v>
      </c>
    </row>
    <row r="2" spans="1:2" x14ac:dyDescent="0.3">
      <c r="A2" t="s">
        <v>81</v>
      </c>
      <c r="B2" t="s">
        <v>80</v>
      </c>
    </row>
    <row r="3" spans="1:2" x14ac:dyDescent="0.3">
      <c r="A3" t="s">
        <v>82</v>
      </c>
      <c r="B3">
        <v>2014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K235"/>
  <sheetViews>
    <sheetView topLeftCell="A80" workbookViewId="0">
      <selection activeCell="A80" sqref="A80"/>
    </sheetView>
  </sheetViews>
  <sheetFormatPr defaultRowHeight="14.4" x14ac:dyDescent="0.3"/>
  <cols>
    <col min="1" max="1" width="57.77734375" bestFit="1" customWidth="1"/>
    <col min="2" max="2" width="9.77734375" bestFit="1" customWidth="1"/>
  </cols>
  <sheetData>
    <row r="1" spans="1:11" x14ac:dyDescent="0.3">
      <c r="A1" s="1" t="s">
        <v>3</v>
      </c>
      <c r="B1" s="1" t="s">
        <v>0</v>
      </c>
      <c r="C1" s="1" t="s">
        <v>83</v>
      </c>
      <c r="D1" s="1" t="s">
        <v>84</v>
      </c>
      <c r="E1" s="1" t="s">
        <v>85</v>
      </c>
      <c r="F1" s="1" t="s">
        <v>86</v>
      </c>
      <c r="I1" s="1" t="s">
        <v>251</v>
      </c>
      <c r="J1" s="1" t="s">
        <v>35</v>
      </c>
      <c r="K1" s="1" t="s">
        <v>252</v>
      </c>
    </row>
    <row r="2" spans="1:11" x14ac:dyDescent="0.3">
      <c r="A2" t="s">
        <v>15</v>
      </c>
      <c r="B2" t="s">
        <v>2</v>
      </c>
      <c r="C2">
        <v>0</v>
      </c>
      <c r="D2" t="s">
        <v>34</v>
      </c>
      <c r="E2" t="s">
        <v>247</v>
      </c>
      <c r="F2">
        <v>0</v>
      </c>
      <c r="I2">
        <f>SUMIF(F2:F235,"&gt;0")</f>
        <v>17380</v>
      </c>
      <c r="J2">
        <f>SUMIF(F2:F235,"&lt;0")*-1</f>
        <v>17215</v>
      </c>
      <c r="K2">
        <f>J2-I2</f>
        <v>-165</v>
      </c>
    </row>
    <row r="3" spans="1:11" x14ac:dyDescent="0.3">
      <c r="A3" t="s">
        <v>4</v>
      </c>
      <c r="B3" t="s">
        <v>2</v>
      </c>
      <c r="C3">
        <v>0</v>
      </c>
      <c r="D3" t="s">
        <v>34</v>
      </c>
      <c r="E3" t="s">
        <v>247</v>
      </c>
      <c r="F3">
        <v>0</v>
      </c>
    </row>
    <row r="4" spans="1:11" x14ac:dyDescent="0.3">
      <c r="A4" t="s">
        <v>6</v>
      </c>
      <c r="B4" t="s">
        <v>2</v>
      </c>
      <c r="C4">
        <v>0</v>
      </c>
      <c r="D4" t="s">
        <v>34</v>
      </c>
      <c r="E4" t="s">
        <v>247</v>
      </c>
      <c r="F4">
        <v>0</v>
      </c>
    </row>
    <row r="5" spans="1:11" x14ac:dyDescent="0.3">
      <c r="A5" t="s">
        <v>5</v>
      </c>
      <c r="B5" t="s">
        <v>2</v>
      </c>
      <c r="C5">
        <v>0</v>
      </c>
      <c r="D5" t="s">
        <v>34</v>
      </c>
      <c r="E5" t="s">
        <v>247</v>
      </c>
      <c r="F5">
        <v>0</v>
      </c>
    </row>
    <row r="6" spans="1:11" x14ac:dyDescent="0.3">
      <c r="A6" t="s">
        <v>7</v>
      </c>
      <c r="B6" t="s">
        <v>2</v>
      </c>
      <c r="C6">
        <v>0</v>
      </c>
      <c r="D6" t="s">
        <v>34</v>
      </c>
      <c r="E6" t="s">
        <v>247</v>
      </c>
      <c r="F6">
        <v>0</v>
      </c>
    </row>
    <row r="7" spans="1:11" x14ac:dyDescent="0.3">
      <c r="A7" t="s">
        <v>10</v>
      </c>
      <c r="B7" t="s">
        <v>2</v>
      </c>
      <c r="C7">
        <v>0</v>
      </c>
      <c r="D7" t="s">
        <v>34</v>
      </c>
      <c r="E7" t="s">
        <v>247</v>
      </c>
      <c r="F7">
        <v>0</v>
      </c>
    </row>
    <row r="8" spans="1:11" x14ac:dyDescent="0.3">
      <c r="A8" t="s">
        <v>89</v>
      </c>
      <c r="B8" t="s">
        <v>2</v>
      </c>
      <c r="C8">
        <v>0</v>
      </c>
      <c r="D8" t="s">
        <v>34</v>
      </c>
      <c r="E8" t="s">
        <v>247</v>
      </c>
      <c r="F8">
        <v>0</v>
      </c>
    </row>
    <row r="9" spans="1:11" x14ac:dyDescent="0.3">
      <c r="A9" t="s">
        <v>18</v>
      </c>
      <c r="B9" t="s">
        <v>2</v>
      </c>
      <c r="C9">
        <v>0</v>
      </c>
      <c r="D9" t="s">
        <v>34</v>
      </c>
      <c r="E9" t="s">
        <v>247</v>
      </c>
      <c r="F9">
        <v>0</v>
      </c>
    </row>
    <row r="10" spans="1:11" x14ac:dyDescent="0.3">
      <c r="A10" t="s">
        <v>9</v>
      </c>
      <c r="B10" t="s">
        <v>2</v>
      </c>
      <c r="C10">
        <v>0</v>
      </c>
      <c r="D10" t="s">
        <v>34</v>
      </c>
      <c r="E10" t="s">
        <v>247</v>
      </c>
      <c r="F10">
        <v>0</v>
      </c>
    </row>
    <row r="11" spans="1:11" x14ac:dyDescent="0.3">
      <c r="A11" t="s">
        <v>28</v>
      </c>
      <c r="B11" t="s">
        <v>2</v>
      </c>
      <c r="C11">
        <v>0</v>
      </c>
      <c r="D11" t="s">
        <v>34</v>
      </c>
      <c r="E11" t="s">
        <v>247</v>
      </c>
      <c r="F11">
        <v>0</v>
      </c>
    </row>
    <row r="12" spans="1:11" x14ac:dyDescent="0.3">
      <c r="A12" t="s">
        <v>27</v>
      </c>
      <c r="B12" t="s">
        <v>2</v>
      </c>
      <c r="C12">
        <v>0</v>
      </c>
      <c r="D12" t="s">
        <v>34</v>
      </c>
      <c r="E12" t="s">
        <v>247</v>
      </c>
      <c r="F12">
        <v>0</v>
      </c>
    </row>
    <row r="13" spans="1:11" x14ac:dyDescent="0.3">
      <c r="A13" t="s">
        <v>30</v>
      </c>
      <c r="B13" t="s">
        <v>2</v>
      </c>
      <c r="C13">
        <v>0</v>
      </c>
      <c r="D13" t="s">
        <v>34</v>
      </c>
      <c r="E13" t="s">
        <v>247</v>
      </c>
      <c r="F13">
        <v>0</v>
      </c>
    </row>
    <row r="14" spans="1:11" x14ac:dyDescent="0.3">
      <c r="A14" t="s">
        <v>248</v>
      </c>
      <c r="B14" t="s">
        <v>2</v>
      </c>
      <c r="C14">
        <v>0</v>
      </c>
      <c r="D14" t="s">
        <v>34</v>
      </c>
      <c r="E14" t="s">
        <v>247</v>
      </c>
      <c r="F14">
        <v>0</v>
      </c>
    </row>
    <row r="15" spans="1:11" x14ac:dyDescent="0.3">
      <c r="A15" t="s">
        <v>24</v>
      </c>
      <c r="B15" t="s">
        <v>2</v>
      </c>
      <c r="C15">
        <v>0</v>
      </c>
      <c r="D15" t="s">
        <v>34</v>
      </c>
      <c r="E15" t="s">
        <v>247</v>
      </c>
      <c r="F15">
        <v>0</v>
      </c>
    </row>
    <row r="16" spans="1:11" x14ac:dyDescent="0.3">
      <c r="A16" t="s">
        <v>25</v>
      </c>
      <c r="B16" t="s">
        <v>2</v>
      </c>
      <c r="C16">
        <v>0</v>
      </c>
      <c r="D16" t="s">
        <v>34</v>
      </c>
      <c r="E16" t="s">
        <v>247</v>
      </c>
      <c r="F16">
        <v>0</v>
      </c>
    </row>
    <row r="17" spans="1:6" x14ac:dyDescent="0.3">
      <c r="A17" t="s">
        <v>31</v>
      </c>
      <c r="B17" t="s">
        <v>2</v>
      </c>
      <c r="C17">
        <v>0</v>
      </c>
      <c r="D17" t="s">
        <v>34</v>
      </c>
      <c r="E17" t="s">
        <v>247</v>
      </c>
      <c r="F17">
        <v>0</v>
      </c>
    </row>
    <row r="18" spans="1:6" x14ac:dyDescent="0.3">
      <c r="A18" t="s">
        <v>16</v>
      </c>
      <c r="B18" t="s">
        <v>2</v>
      </c>
      <c r="C18">
        <v>0</v>
      </c>
      <c r="D18" t="s">
        <v>34</v>
      </c>
      <c r="E18" t="s">
        <v>247</v>
      </c>
      <c r="F18">
        <v>0</v>
      </c>
    </row>
    <row r="19" spans="1:6" x14ac:dyDescent="0.3">
      <c r="A19" t="s">
        <v>13</v>
      </c>
      <c r="B19" t="s">
        <v>2</v>
      </c>
      <c r="C19">
        <v>0</v>
      </c>
      <c r="D19" t="s">
        <v>34</v>
      </c>
      <c r="E19" t="s">
        <v>247</v>
      </c>
      <c r="F19">
        <v>0</v>
      </c>
    </row>
    <row r="20" spans="1:6" x14ac:dyDescent="0.3">
      <c r="A20" t="s">
        <v>19</v>
      </c>
      <c r="B20" t="s">
        <v>2</v>
      </c>
      <c r="C20">
        <v>0</v>
      </c>
      <c r="D20" t="s">
        <v>34</v>
      </c>
      <c r="E20" t="s">
        <v>247</v>
      </c>
      <c r="F20">
        <v>0</v>
      </c>
    </row>
    <row r="21" spans="1:6" x14ac:dyDescent="0.3">
      <c r="A21" t="s">
        <v>79</v>
      </c>
      <c r="B21" t="s">
        <v>2</v>
      </c>
      <c r="C21">
        <v>0</v>
      </c>
      <c r="D21" t="s">
        <v>34</v>
      </c>
      <c r="E21" t="s">
        <v>247</v>
      </c>
      <c r="F21">
        <v>0</v>
      </c>
    </row>
    <row r="22" spans="1:6" x14ac:dyDescent="0.3">
      <c r="A22" t="s">
        <v>22</v>
      </c>
      <c r="B22" t="s">
        <v>2</v>
      </c>
      <c r="C22">
        <v>0</v>
      </c>
      <c r="D22" t="s">
        <v>34</v>
      </c>
      <c r="E22" t="s">
        <v>247</v>
      </c>
      <c r="F22">
        <v>0</v>
      </c>
    </row>
    <row r="23" spans="1:6" x14ac:dyDescent="0.3">
      <c r="A23" t="s">
        <v>21</v>
      </c>
      <c r="B23" t="s">
        <v>2</v>
      </c>
      <c r="C23">
        <v>0</v>
      </c>
      <c r="D23" t="s">
        <v>34</v>
      </c>
      <c r="E23" t="s">
        <v>247</v>
      </c>
      <c r="F23">
        <v>0</v>
      </c>
    </row>
    <row r="24" spans="1:6" x14ac:dyDescent="0.3">
      <c r="A24" t="s">
        <v>11</v>
      </c>
      <c r="B24" t="s">
        <v>2</v>
      </c>
      <c r="C24">
        <v>0</v>
      </c>
      <c r="D24" t="s">
        <v>34</v>
      </c>
      <c r="E24" t="s">
        <v>247</v>
      </c>
      <c r="F24">
        <v>0</v>
      </c>
    </row>
    <row r="25" spans="1:6" x14ac:dyDescent="0.3">
      <c r="A25" t="s">
        <v>23</v>
      </c>
      <c r="B25" t="s">
        <v>2</v>
      </c>
      <c r="C25">
        <v>0</v>
      </c>
      <c r="D25" t="s">
        <v>34</v>
      </c>
      <c r="E25" t="s">
        <v>247</v>
      </c>
      <c r="F25">
        <v>0</v>
      </c>
    </row>
    <row r="26" spans="1:6" x14ac:dyDescent="0.3">
      <c r="A26" t="s">
        <v>249</v>
      </c>
      <c r="B26" t="s">
        <v>2</v>
      </c>
      <c r="C26">
        <v>0</v>
      </c>
      <c r="D26" t="s">
        <v>34</v>
      </c>
      <c r="E26" t="s">
        <v>247</v>
      </c>
      <c r="F26">
        <v>0</v>
      </c>
    </row>
    <row r="27" spans="1:6" x14ac:dyDescent="0.3">
      <c r="A27" t="s">
        <v>76</v>
      </c>
      <c r="B27" t="s">
        <v>244</v>
      </c>
      <c r="C27">
        <v>0</v>
      </c>
      <c r="D27" t="s">
        <v>34</v>
      </c>
      <c r="E27" t="s">
        <v>247</v>
      </c>
      <c r="F27">
        <v>0</v>
      </c>
    </row>
    <row r="28" spans="1:6" x14ac:dyDescent="0.3">
      <c r="A28" t="s">
        <v>77</v>
      </c>
      <c r="B28" t="s">
        <v>244</v>
      </c>
      <c r="C28">
        <v>0</v>
      </c>
      <c r="D28" t="s">
        <v>34</v>
      </c>
      <c r="E28" t="s">
        <v>247</v>
      </c>
      <c r="F28">
        <v>0</v>
      </c>
    </row>
    <row r="29" spans="1:6" x14ac:dyDescent="0.3">
      <c r="A29" t="s">
        <v>39</v>
      </c>
      <c r="B29" t="s">
        <v>244</v>
      </c>
      <c r="C29">
        <v>0</v>
      </c>
      <c r="D29" t="s">
        <v>34</v>
      </c>
      <c r="E29" t="s">
        <v>247</v>
      </c>
      <c r="F29">
        <v>0</v>
      </c>
    </row>
    <row r="30" spans="1:6" x14ac:dyDescent="0.3">
      <c r="A30" t="s">
        <v>40</v>
      </c>
      <c r="B30" t="s">
        <v>244</v>
      </c>
      <c r="C30">
        <v>0</v>
      </c>
      <c r="D30" t="s">
        <v>34</v>
      </c>
      <c r="E30" t="s">
        <v>247</v>
      </c>
      <c r="F30">
        <v>0</v>
      </c>
    </row>
    <row r="31" spans="1:6" x14ac:dyDescent="0.3">
      <c r="A31" t="s">
        <v>41</v>
      </c>
      <c r="B31" t="s">
        <v>244</v>
      </c>
      <c r="C31">
        <v>0</v>
      </c>
      <c r="D31" t="s">
        <v>34</v>
      </c>
      <c r="E31" t="s">
        <v>247</v>
      </c>
      <c r="F31">
        <v>0</v>
      </c>
    </row>
    <row r="32" spans="1:6" x14ac:dyDescent="0.3">
      <c r="A32" t="s">
        <v>42</v>
      </c>
      <c r="B32" t="s">
        <v>244</v>
      </c>
      <c r="C32">
        <v>0</v>
      </c>
      <c r="D32" t="s">
        <v>34</v>
      </c>
      <c r="E32" t="s">
        <v>247</v>
      </c>
      <c r="F32">
        <v>0</v>
      </c>
    </row>
    <row r="33" spans="1:6" x14ac:dyDescent="0.3">
      <c r="A33" t="s">
        <v>43</v>
      </c>
      <c r="B33" t="s">
        <v>244</v>
      </c>
      <c r="C33">
        <v>0</v>
      </c>
      <c r="D33" t="s">
        <v>34</v>
      </c>
      <c r="E33" t="s">
        <v>247</v>
      </c>
      <c r="F33">
        <v>0</v>
      </c>
    </row>
    <row r="34" spans="1:6" x14ac:dyDescent="0.3">
      <c r="A34" t="s">
        <v>44</v>
      </c>
      <c r="B34" t="s">
        <v>244</v>
      </c>
      <c r="C34">
        <v>0</v>
      </c>
      <c r="D34" t="s">
        <v>34</v>
      </c>
      <c r="E34" t="s">
        <v>247</v>
      </c>
      <c r="F34">
        <v>0</v>
      </c>
    </row>
    <row r="35" spans="1:6" x14ac:dyDescent="0.3">
      <c r="A35" t="s">
        <v>78</v>
      </c>
      <c r="B35" t="s">
        <v>244</v>
      </c>
      <c r="C35">
        <v>0</v>
      </c>
      <c r="D35" t="s">
        <v>34</v>
      </c>
      <c r="E35" t="s">
        <v>247</v>
      </c>
      <c r="F35">
        <v>0</v>
      </c>
    </row>
    <row r="36" spans="1:6" x14ac:dyDescent="0.3">
      <c r="A36" t="s">
        <v>45</v>
      </c>
      <c r="B36" t="s">
        <v>244</v>
      </c>
      <c r="C36">
        <v>0</v>
      </c>
      <c r="D36" t="s">
        <v>34</v>
      </c>
      <c r="E36" t="s">
        <v>247</v>
      </c>
      <c r="F36">
        <v>0</v>
      </c>
    </row>
    <row r="37" spans="1:6" x14ac:dyDescent="0.3">
      <c r="A37" t="s">
        <v>46</v>
      </c>
      <c r="B37" t="s">
        <v>244</v>
      </c>
      <c r="C37">
        <v>0</v>
      </c>
      <c r="D37" t="s">
        <v>34</v>
      </c>
      <c r="E37" t="s">
        <v>247</v>
      </c>
      <c r="F37">
        <v>0</v>
      </c>
    </row>
    <row r="38" spans="1:6" x14ac:dyDescent="0.3">
      <c r="A38" t="s">
        <v>47</v>
      </c>
      <c r="B38" t="s">
        <v>244</v>
      </c>
      <c r="C38">
        <v>0</v>
      </c>
      <c r="D38" t="s">
        <v>34</v>
      </c>
      <c r="E38" t="s">
        <v>247</v>
      </c>
      <c r="F38">
        <v>0</v>
      </c>
    </row>
    <row r="39" spans="1:6" x14ac:dyDescent="0.3">
      <c r="A39" t="s">
        <v>48</v>
      </c>
      <c r="B39" t="s">
        <v>244</v>
      </c>
      <c r="C39">
        <v>0</v>
      </c>
      <c r="D39" t="s">
        <v>34</v>
      </c>
      <c r="E39" t="s">
        <v>247</v>
      </c>
      <c r="F39">
        <v>0</v>
      </c>
    </row>
    <row r="40" spans="1:6" x14ac:dyDescent="0.3">
      <c r="A40" t="s">
        <v>49</v>
      </c>
      <c r="B40" t="s">
        <v>244</v>
      </c>
      <c r="C40">
        <v>0</v>
      </c>
      <c r="D40" t="s">
        <v>34</v>
      </c>
      <c r="E40" t="s">
        <v>247</v>
      </c>
      <c r="F40">
        <v>0</v>
      </c>
    </row>
    <row r="41" spans="1:6" x14ac:dyDescent="0.3">
      <c r="A41" t="s">
        <v>50</v>
      </c>
      <c r="B41" t="s">
        <v>244</v>
      </c>
      <c r="C41">
        <v>0</v>
      </c>
      <c r="D41" t="s">
        <v>34</v>
      </c>
      <c r="E41" t="s">
        <v>247</v>
      </c>
      <c r="F41">
        <v>0</v>
      </c>
    </row>
    <row r="42" spans="1:6" x14ac:dyDescent="0.3">
      <c r="A42" t="s">
        <v>51</v>
      </c>
      <c r="B42" t="s">
        <v>244</v>
      </c>
      <c r="C42">
        <v>0</v>
      </c>
      <c r="D42" t="s">
        <v>34</v>
      </c>
      <c r="E42" t="s">
        <v>247</v>
      </c>
      <c r="F42">
        <v>0</v>
      </c>
    </row>
    <row r="43" spans="1:6" x14ac:dyDescent="0.3">
      <c r="A43" t="s">
        <v>52</v>
      </c>
      <c r="B43" t="s">
        <v>244</v>
      </c>
      <c r="C43">
        <v>0</v>
      </c>
      <c r="D43" t="s">
        <v>34</v>
      </c>
      <c r="E43" t="s">
        <v>247</v>
      </c>
      <c r="F43">
        <v>0</v>
      </c>
    </row>
    <row r="44" spans="1:6" x14ac:dyDescent="0.3">
      <c r="A44" t="s">
        <v>98</v>
      </c>
      <c r="B44" t="s">
        <v>88</v>
      </c>
      <c r="C44">
        <v>0</v>
      </c>
      <c r="D44" t="s">
        <v>34</v>
      </c>
      <c r="E44" t="s">
        <v>247</v>
      </c>
      <c r="F44">
        <v>200</v>
      </c>
    </row>
    <row r="45" spans="1:6" x14ac:dyDescent="0.3">
      <c r="A45" t="s">
        <v>99</v>
      </c>
      <c r="B45" t="s">
        <v>87</v>
      </c>
      <c r="C45">
        <v>0</v>
      </c>
      <c r="D45" t="s">
        <v>34</v>
      </c>
      <c r="E45" t="s">
        <v>247</v>
      </c>
      <c r="F45">
        <v>185</v>
      </c>
    </row>
    <row r="46" spans="1:6" x14ac:dyDescent="0.3">
      <c r="A46" t="s">
        <v>100</v>
      </c>
      <c r="B46" t="s">
        <v>244</v>
      </c>
      <c r="C46">
        <v>0</v>
      </c>
      <c r="D46" t="s">
        <v>34</v>
      </c>
      <c r="E46" t="s">
        <v>247</v>
      </c>
      <c r="F46">
        <v>0</v>
      </c>
    </row>
    <row r="47" spans="1:6" x14ac:dyDescent="0.3">
      <c r="A47" t="s">
        <v>101</v>
      </c>
      <c r="B47" t="s">
        <v>244</v>
      </c>
      <c r="C47">
        <v>0</v>
      </c>
      <c r="D47" t="s">
        <v>34</v>
      </c>
      <c r="E47" t="s">
        <v>247</v>
      </c>
      <c r="F47">
        <v>0</v>
      </c>
    </row>
    <row r="48" spans="1:6" x14ac:dyDescent="0.3">
      <c r="A48" t="s">
        <v>102</v>
      </c>
      <c r="B48" t="s">
        <v>88</v>
      </c>
      <c r="C48">
        <v>0</v>
      </c>
      <c r="D48" t="s">
        <v>34</v>
      </c>
      <c r="E48" t="s">
        <v>247</v>
      </c>
      <c r="F48">
        <v>2</v>
      </c>
    </row>
    <row r="49" spans="1:6" x14ac:dyDescent="0.3">
      <c r="A49" t="s">
        <v>103</v>
      </c>
      <c r="B49" t="s">
        <v>87</v>
      </c>
      <c r="C49">
        <v>0</v>
      </c>
      <c r="D49" t="s">
        <v>34</v>
      </c>
      <c r="E49" t="s">
        <v>247</v>
      </c>
      <c r="F49">
        <v>15</v>
      </c>
    </row>
    <row r="50" spans="1:6" x14ac:dyDescent="0.3">
      <c r="A50" t="s">
        <v>104</v>
      </c>
      <c r="B50" t="s">
        <v>87</v>
      </c>
      <c r="C50">
        <v>0</v>
      </c>
      <c r="D50" t="s">
        <v>34</v>
      </c>
      <c r="E50" t="s">
        <v>247</v>
      </c>
      <c r="F50">
        <v>30</v>
      </c>
    </row>
    <row r="51" spans="1:6" x14ac:dyDescent="0.3">
      <c r="A51" t="s">
        <v>105</v>
      </c>
      <c r="B51" t="s">
        <v>244</v>
      </c>
      <c r="C51">
        <v>0</v>
      </c>
      <c r="D51" t="s">
        <v>34</v>
      </c>
      <c r="E51" t="s">
        <v>247</v>
      </c>
      <c r="F51">
        <v>0</v>
      </c>
    </row>
    <row r="52" spans="1:6" x14ac:dyDescent="0.3">
      <c r="A52" t="s">
        <v>106</v>
      </c>
      <c r="B52" t="s">
        <v>88</v>
      </c>
      <c r="C52">
        <v>0</v>
      </c>
      <c r="D52" t="s">
        <v>34</v>
      </c>
      <c r="E52" t="s">
        <v>247</v>
      </c>
      <c r="F52">
        <v>20</v>
      </c>
    </row>
    <row r="53" spans="1:6" x14ac:dyDescent="0.3">
      <c r="A53" t="s">
        <v>107</v>
      </c>
      <c r="B53" t="s">
        <v>246</v>
      </c>
      <c r="C53">
        <v>0</v>
      </c>
      <c r="D53" t="s">
        <v>34</v>
      </c>
      <c r="E53" t="s">
        <v>247</v>
      </c>
      <c r="F53">
        <v>20</v>
      </c>
    </row>
    <row r="54" spans="1:6" x14ac:dyDescent="0.3">
      <c r="A54" t="s">
        <v>108</v>
      </c>
      <c r="B54" t="s">
        <v>245</v>
      </c>
      <c r="C54">
        <v>0</v>
      </c>
      <c r="D54" t="s">
        <v>34</v>
      </c>
      <c r="E54" t="s">
        <v>247</v>
      </c>
      <c r="F54">
        <v>15</v>
      </c>
    </row>
    <row r="55" spans="1:6" x14ac:dyDescent="0.3">
      <c r="A55" t="s">
        <v>109</v>
      </c>
      <c r="B55" t="s">
        <v>244</v>
      </c>
      <c r="C55">
        <v>0</v>
      </c>
      <c r="D55" t="s">
        <v>34</v>
      </c>
      <c r="E55" t="s">
        <v>247</v>
      </c>
      <c r="F55">
        <v>0</v>
      </c>
    </row>
    <row r="56" spans="1:6" x14ac:dyDescent="0.3">
      <c r="A56" t="s">
        <v>53</v>
      </c>
      <c r="B56" t="s">
        <v>244</v>
      </c>
      <c r="C56">
        <v>0</v>
      </c>
      <c r="D56" t="s">
        <v>34</v>
      </c>
      <c r="E56" t="s">
        <v>247</v>
      </c>
      <c r="F56">
        <v>0</v>
      </c>
    </row>
    <row r="57" spans="1:6" x14ac:dyDescent="0.3">
      <c r="A57" t="s">
        <v>110</v>
      </c>
      <c r="B57" t="s">
        <v>87</v>
      </c>
      <c r="C57">
        <v>0</v>
      </c>
      <c r="D57" t="s">
        <v>34</v>
      </c>
      <c r="E57" t="s">
        <v>247</v>
      </c>
      <c r="F57">
        <v>0</v>
      </c>
    </row>
    <row r="58" spans="1:6" x14ac:dyDescent="0.3">
      <c r="A58" t="s">
        <v>111</v>
      </c>
      <c r="B58" t="s">
        <v>245</v>
      </c>
      <c r="C58">
        <v>0</v>
      </c>
      <c r="D58" t="s">
        <v>34</v>
      </c>
      <c r="E58" t="s">
        <v>247</v>
      </c>
      <c r="F58">
        <v>0</v>
      </c>
    </row>
    <row r="59" spans="1:6" x14ac:dyDescent="0.3">
      <c r="A59" t="s">
        <v>112</v>
      </c>
      <c r="B59" t="s">
        <v>244</v>
      </c>
      <c r="C59">
        <v>0</v>
      </c>
      <c r="D59" t="s">
        <v>34</v>
      </c>
      <c r="E59" t="s">
        <v>247</v>
      </c>
      <c r="F59">
        <v>0</v>
      </c>
    </row>
    <row r="60" spans="1:6" x14ac:dyDescent="0.3">
      <c r="A60" t="s">
        <v>113</v>
      </c>
      <c r="B60" t="s">
        <v>244</v>
      </c>
      <c r="C60">
        <v>0</v>
      </c>
      <c r="D60" t="s">
        <v>34</v>
      </c>
      <c r="E60" t="s">
        <v>247</v>
      </c>
      <c r="F60">
        <v>0</v>
      </c>
    </row>
    <row r="61" spans="1:6" x14ac:dyDescent="0.3">
      <c r="A61" t="s">
        <v>114</v>
      </c>
      <c r="B61" t="s">
        <v>244</v>
      </c>
      <c r="C61">
        <v>0</v>
      </c>
      <c r="D61" t="s">
        <v>34</v>
      </c>
      <c r="E61" t="s">
        <v>247</v>
      </c>
      <c r="F61">
        <v>0</v>
      </c>
    </row>
    <row r="62" spans="1:6" x14ac:dyDescent="0.3">
      <c r="A62" t="s">
        <v>115</v>
      </c>
      <c r="B62" t="s">
        <v>244</v>
      </c>
      <c r="C62">
        <v>0</v>
      </c>
      <c r="D62" t="s">
        <v>34</v>
      </c>
      <c r="E62" t="s">
        <v>247</v>
      </c>
      <c r="F62">
        <v>0</v>
      </c>
    </row>
    <row r="63" spans="1:6" x14ac:dyDescent="0.3">
      <c r="A63" t="s">
        <v>54</v>
      </c>
      <c r="B63" t="s">
        <v>244</v>
      </c>
      <c r="C63">
        <v>0</v>
      </c>
      <c r="D63" t="s">
        <v>34</v>
      </c>
      <c r="E63" t="s">
        <v>247</v>
      </c>
      <c r="F63">
        <v>0</v>
      </c>
    </row>
    <row r="64" spans="1:6" x14ac:dyDescent="0.3">
      <c r="A64" t="s">
        <v>116</v>
      </c>
      <c r="B64" t="s">
        <v>244</v>
      </c>
      <c r="C64">
        <v>0</v>
      </c>
      <c r="D64" t="s">
        <v>34</v>
      </c>
      <c r="E64" t="s">
        <v>247</v>
      </c>
      <c r="F64">
        <v>0</v>
      </c>
    </row>
    <row r="65" spans="1:6" x14ac:dyDescent="0.3">
      <c r="A65" t="s">
        <v>117</v>
      </c>
      <c r="B65" t="s">
        <v>87</v>
      </c>
      <c r="C65">
        <v>0</v>
      </c>
      <c r="D65" t="s">
        <v>34</v>
      </c>
      <c r="E65" t="s">
        <v>247</v>
      </c>
      <c r="F65">
        <v>48</v>
      </c>
    </row>
    <row r="66" spans="1:6" x14ac:dyDescent="0.3">
      <c r="A66" t="s">
        <v>118</v>
      </c>
      <c r="B66" t="s">
        <v>87</v>
      </c>
      <c r="C66">
        <v>0</v>
      </c>
      <c r="D66" t="s">
        <v>34</v>
      </c>
      <c r="E66" t="s">
        <v>247</v>
      </c>
      <c r="F66">
        <v>28</v>
      </c>
    </row>
    <row r="67" spans="1:6" x14ac:dyDescent="0.3">
      <c r="A67" t="s">
        <v>119</v>
      </c>
      <c r="B67" t="s">
        <v>244</v>
      </c>
      <c r="C67">
        <v>0</v>
      </c>
      <c r="D67" t="s">
        <v>34</v>
      </c>
      <c r="E67" t="s">
        <v>247</v>
      </c>
      <c r="F67">
        <v>0</v>
      </c>
    </row>
    <row r="68" spans="1:6" x14ac:dyDescent="0.3">
      <c r="A68" t="s">
        <v>120</v>
      </c>
      <c r="B68" t="s">
        <v>244</v>
      </c>
      <c r="C68">
        <v>0</v>
      </c>
      <c r="D68" t="s">
        <v>34</v>
      </c>
      <c r="E68" t="s">
        <v>247</v>
      </c>
      <c r="F68">
        <v>0</v>
      </c>
    </row>
    <row r="69" spans="1:6" x14ac:dyDescent="0.3">
      <c r="A69" t="s">
        <v>121</v>
      </c>
      <c r="B69" t="s">
        <v>87</v>
      </c>
      <c r="C69">
        <v>0</v>
      </c>
      <c r="D69" t="s">
        <v>34</v>
      </c>
      <c r="E69" t="s">
        <v>247</v>
      </c>
      <c r="F69">
        <v>21</v>
      </c>
    </row>
    <row r="70" spans="1:6" x14ac:dyDescent="0.3">
      <c r="A70" t="s">
        <v>122</v>
      </c>
      <c r="B70" t="s">
        <v>87</v>
      </c>
      <c r="C70">
        <v>0</v>
      </c>
      <c r="D70" t="s">
        <v>34</v>
      </c>
      <c r="E70" t="s">
        <v>247</v>
      </c>
      <c r="F70">
        <v>250</v>
      </c>
    </row>
    <row r="71" spans="1:6" x14ac:dyDescent="0.3">
      <c r="A71" t="s">
        <v>123</v>
      </c>
      <c r="B71" t="s">
        <v>244</v>
      </c>
      <c r="C71">
        <v>0</v>
      </c>
      <c r="D71" t="s">
        <v>34</v>
      </c>
      <c r="E71" t="s">
        <v>247</v>
      </c>
      <c r="F71">
        <v>0</v>
      </c>
    </row>
    <row r="72" spans="1:6" x14ac:dyDescent="0.3">
      <c r="A72" t="s">
        <v>55</v>
      </c>
      <c r="B72" t="s">
        <v>244</v>
      </c>
      <c r="C72">
        <v>0</v>
      </c>
      <c r="D72" t="s">
        <v>34</v>
      </c>
      <c r="E72" t="s">
        <v>247</v>
      </c>
      <c r="F72">
        <v>0</v>
      </c>
    </row>
    <row r="73" spans="1:6" x14ac:dyDescent="0.3">
      <c r="A73" t="s">
        <v>124</v>
      </c>
      <c r="B73" t="s">
        <v>244</v>
      </c>
      <c r="C73">
        <v>0</v>
      </c>
      <c r="D73" t="s">
        <v>34</v>
      </c>
      <c r="E73" t="s">
        <v>247</v>
      </c>
      <c r="F73">
        <v>0</v>
      </c>
    </row>
    <row r="74" spans="1:6" x14ac:dyDescent="0.3">
      <c r="A74" t="s">
        <v>125</v>
      </c>
      <c r="B74" t="s">
        <v>244</v>
      </c>
      <c r="C74">
        <v>0</v>
      </c>
      <c r="D74" t="s">
        <v>34</v>
      </c>
      <c r="E74" t="s">
        <v>247</v>
      </c>
      <c r="F74">
        <v>0</v>
      </c>
    </row>
    <row r="75" spans="1:6" x14ac:dyDescent="0.3">
      <c r="A75" t="s">
        <v>262</v>
      </c>
      <c r="B75" t="s">
        <v>87</v>
      </c>
      <c r="C75">
        <v>0</v>
      </c>
      <c r="D75" t="s">
        <v>34</v>
      </c>
      <c r="E75" t="s">
        <v>247</v>
      </c>
      <c r="F75">
        <v>147</v>
      </c>
    </row>
    <row r="76" spans="1:6" x14ac:dyDescent="0.3">
      <c r="A76" t="s">
        <v>126</v>
      </c>
      <c r="B76" t="s">
        <v>244</v>
      </c>
      <c r="C76">
        <v>0</v>
      </c>
      <c r="D76" t="s">
        <v>34</v>
      </c>
      <c r="E76" t="s">
        <v>247</v>
      </c>
      <c r="F76">
        <v>0</v>
      </c>
    </row>
    <row r="77" spans="1:6" x14ac:dyDescent="0.3">
      <c r="A77" t="s">
        <v>127</v>
      </c>
      <c r="B77" t="s">
        <v>244</v>
      </c>
      <c r="C77">
        <v>0</v>
      </c>
      <c r="D77" t="s">
        <v>34</v>
      </c>
      <c r="E77" t="s">
        <v>247</v>
      </c>
      <c r="F77">
        <v>0</v>
      </c>
    </row>
    <row r="78" spans="1:6" x14ac:dyDescent="0.3">
      <c r="A78" t="s">
        <v>263</v>
      </c>
      <c r="B78" t="s">
        <v>87</v>
      </c>
      <c r="C78">
        <v>0</v>
      </c>
      <c r="D78" t="s">
        <v>34</v>
      </c>
      <c r="E78" t="s">
        <v>247</v>
      </c>
      <c r="F78">
        <v>62</v>
      </c>
    </row>
    <row r="79" spans="1:6" x14ac:dyDescent="0.3">
      <c r="A79" t="s">
        <v>128</v>
      </c>
      <c r="B79" t="s">
        <v>246</v>
      </c>
      <c r="C79">
        <v>0</v>
      </c>
      <c r="D79" t="s">
        <v>34</v>
      </c>
      <c r="E79" t="s">
        <v>247</v>
      </c>
      <c r="F79">
        <v>0</v>
      </c>
    </row>
    <row r="80" spans="1:6" x14ac:dyDescent="0.3">
      <c r="A80" t="s">
        <v>129</v>
      </c>
      <c r="B80" t="s">
        <v>244</v>
      </c>
      <c r="C80">
        <v>0</v>
      </c>
      <c r="D80" t="s">
        <v>34</v>
      </c>
      <c r="E80" t="s">
        <v>247</v>
      </c>
      <c r="F80">
        <v>0</v>
      </c>
    </row>
    <row r="81" spans="1:6" x14ac:dyDescent="0.3">
      <c r="A81" t="s">
        <v>130</v>
      </c>
      <c r="B81" t="s">
        <v>244</v>
      </c>
      <c r="C81">
        <v>0</v>
      </c>
      <c r="D81" t="s">
        <v>34</v>
      </c>
      <c r="E81" t="s">
        <v>247</v>
      </c>
      <c r="F81">
        <v>0</v>
      </c>
    </row>
    <row r="82" spans="1:6" x14ac:dyDescent="0.3">
      <c r="A82" t="s">
        <v>131</v>
      </c>
      <c r="B82" t="s">
        <v>87</v>
      </c>
      <c r="C82">
        <v>0</v>
      </c>
      <c r="D82" t="s">
        <v>34</v>
      </c>
      <c r="E82" t="s">
        <v>247</v>
      </c>
      <c r="F82">
        <v>5600</v>
      </c>
    </row>
    <row r="83" spans="1:6" x14ac:dyDescent="0.3">
      <c r="A83" t="s">
        <v>132</v>
      </c>
      <c r="B83" t="s">
        <v>87</v>
      </c>
      <c r="C83">
        <v>0</v>
      </c>
      <c r="D83" t="s">
        <v>34</v>
      </c>
      <c r="E83" t="s">
        <v>247</v>
      </c>
      <c r="F83">
        <v>40</v>
      </c>
    </row>
    <row r="84" spans="1:6" x14ac:dyDescent="0.3">
      <c r="A84" t="s">
        <v>133</v>
      </c>
      <c r="B84" t="s">
        <v>88</v>
      </c>
      <c r="C84">
        <v>0</v>
      </c>
      <c r="D84" t="s">
        <v>34</v>
      </c>
      <c r="E84" t="s">
        <v>247</v>
      </c>
      <c r="F84">
        <v>2</v>
      </c>
    </row>
    <row r="85" spans="1:6" x14ac:dyDescent="0.3">
      <c r="A85" t="s">
        <v>134</v>
      </c>
      <c r="B85" t="s">
        <v>244</v>
      </c>
      <c r="C85">
        <v>0</v>
      </c>
      <c r="D85" t="s">
        <v>34</v>
      </c>
      <c r="E85" t="s">
        <v>247</v>
      </c>
      <c r="F85">
        <v>0</v>
      </c>
    </row>
    <row r="86" spans="1:6" x14ac:dyDescent="0.3">
      <c r="A86" t="s">
        <v>135</v>
      </c>
      <c r="B86" t="s">
        <v>88</v>
      </c>
      <c r="C86">
        <v>0</v>
      </c>
      <c r="D86" t="s">
        <v>34</v>
      </c>
      <c r="E86" t="s">
        <v>247</v>
      </c>
      <c r="F86">
        <v>50</v>
      </c>
    </row>
    <row r="87" spans="1:6" x14ac:dyDescent="0.3">
      <c r="A87" t="s">
        <v>136</v>
      </c>
      <c r="B87" t="s">
        <v>245</v>
      </c>
      <c r="C87">
        <v>0</v>
      </c>
      <c r="D87" t="s">
        <v>34</v>
      </c>
      <c r="E87" t="s">
        <v>247</v>
      </c>
      <c r="F87">
        <v>250</v>
      </c>
    </row>
    <row r="88" spans="1:6" x14ac:dyDescent="0.3">
      <c r="A88" t="s">
        <v>137</v>
      </c>
      <c r="B88" t="s">
        <v>244</v>
      </c>
      <c r="C88">
        <v>0</v>
      </c>
      <c r="D88" t="s">
        <v>34</v>
      </c>
      <c r="E88" t="s">
        <v>247</v>
      </c>
      <c r="F88">
        <v>0</v>
      </c>
    </row>
    <row r="89" spans="1:6" x14ac:dyDescent="0.3">
      <c r="A89" t="s">
        <v>138</v>
      </c>
      <c r="B89" t="s">
        <v>245</v>
      </c>
      <c r="C89">
        <v>0</v>
      </c>
      <c r="D89" t="s">
        <v>34</v>
      </c>
      <c r="E89" t="s">
        <v>247</v>
      </c>
      <c r="F89">
        <v>100</v>
      </c>
    </row>
    <row r="90" spans="1:6" x14ac:dyDescent="0.3">
      <c r="A90" t="s">
        <v>139</v>
      </c>
      <c r="B90" t="s">
        <v>245</v>
      </c>
      <c r="C90">
        <v>0</v>
      </c>
      <c r="D90" t="s">
        <v>34</v>
      </c>
      <c r="E90" t="s">
        <v>247</v>
      </c>
      <c r="F90">
        <v>0</v>
      </c>
    </row>
    <row r="91" spans="1:6" x14ac:dyDescent="0.3">
      <c r="A91" t="s">
        <v>140</v>
      </c>
      <c r="B91" t="s">
        <v>245</v>
      </c>
      <c r="C91">
        <v>0</v>
      </c>
      <c r="D91" t="s">
        <v>34</v>
      </c>
      <c r="E91" t="s">
        <v>247</v>
      </c>
      <c r="F91">
        <v>10</v>
      </c>
    </row>
    <row r="92" spans="1:6" x14ac:dyDescent="0.3">
      <c r="A92" t="s">
        <v>141</v>
      </c>
      <c r="B92" t="s">
        <v>88</v>
      </c>
      <c r="C92">
        <v>0</v>
      </c>
      <c r="D92" t="s">
        <v>34</v>
      </c>
      <c r="E92" t="s">
        <v>247</v>
      </c>
      <c r="F92">
        <v>0</v>
      </c>
    </row>
    <row r="93" spans="1:6" x14ac:dyDescent="0.3">
      <c r="A93" t="s">
        <v>142</v>
      </c>
      <c r="B93" t="s">
        <v>88</v>
      </c>
      <c r="C93">
        <v>0</v>
      </c>
      <c r="D93" t="s">
        <v>34</v>
      </c>
      <c r="E93" t="s">
        <v>247</v>
      </c>
      <c r="F93">
        <v>6</v>
      </c>
    </row>
    <row r="94" spans="1:6" x14ac:dyDescent="0.3">
      <c r="A94" t="s">
        <v>143</v>
      </c>
      <c r="B94" t="s">
        <v>244</v>
      </c>
      <c r="C94">
        <v>0</v>
      </c>
      <c r="D94" t="s">
        <v>34</v>
      </c>
      <c r="E94" t="s">
        <v>247</v>
      </c>
      <c r="F94">
        <v>0</v>
      </c>
    </row>
    <row r="95" spans="1:6" x14ac:dyDescent="0.3">
      <c r="A95" t="s">
        <v>144</v>
      </c>
      <c r="B95" t="s">
        <v>244</v>
      </c>
      <c r="C95">
        <v>0</v>
      </c>
      <c r="D95" t="s">
        <v>34</v>
      </c>
      <c r="E95" t="s">
        <v>247</v>
      </c>
      <c r="F95">
        <v>0</v>
      </c>
    </row>
    <row r="96" spans="1:6" x14ac:dyDescent="0.3">
      <c r="A96" t="s">
        <v>145</v>
      </c>
      <c r="B96" t="s">
        <v>245</v>
      </c>
      <c r="C96">
        <v>0</v>
      </c>
      <c r="D96" t="s">
        <v>34</v>
      </c>
      <c r="E96" t="s">
        <v>247</v>
      </c>
      <c r="F96">
        <v>10</v>
      </c>
    </row>
    <row r="97" spans="1:6" x14ac:dyDescent="0.3">
      <c r="A97" t="s">
        <v>146</v>
      </c>
      <c r="B97" t="s">
        <v>246</v>
      </c>
      <c r="C97">
        <v>0</v>
      </c>
      <c r="D97" t="s">
        <v>34</v>
      </c>
      <c r="E97" t="s">
        <v>247</v>
      </c>
      <c r="F97">
        <v>0</v>
      </c>
    </row>
    <row r="98" spans="1:6" x14ac:dyDescent="0.3">
      <c r="A98" t="s">
        <v>147</v>
      </c>
      <c r="B98" t="s">
        <v>87</v>
      </c>
      <c r="C98">
        <v>0</v>
      </c>
      <c r="D98" t="s">
        <v>34</v>
      </c>
      <c r="E98" t="s">
        <v>247</v>
      </c>
      <c r="F98">
        <v>0</v>
      </c>
    </row>
    <row r="99" spans="1:6" x14ac:dyDescent="0.3">
      <c r="A99" t="s">
        <v>148</v>
      </c>
      <c r="B99" t="s">
        <v>244</v>
      </c>
      <c r="C99">
        <v>0</v>
      </c>
      <c r="D99" t="s">
        <v>34</v>
      </c>
      <c r="E99" t="s">
        <v>247</v>
      </c>
      <c r="F99">
        <v>0</v>
      </c>
    </row>
    <row r="100" spans="1:6" x14ac:dyDescent="0.3">
      <c r="A100" t="s">
        <v>149</v>
      </c>
      <c r="B100" t="s">
        <v>244</v>
      </c>
      <c r="C100">
        <v>0</v>
      </c>
      <c r="D100" t="s">
        <v>34</v>
      </c>
      <c r="E100" t="s">
        <v>247</v>
      </c>
      <c r="F100">
        <v>0</v>
      </c>
    </row>
    <row r="101" spans="1:6" x14ac:dyDescent="0.3">
      <c r="A101" t="s">
        <v>33</v>
      </c>
      <c r="B101" t="s">
        <v>244</v>
      </c>
      <c r="C101">
        <v>0</v>
      </c>
      <c r="D101" t="s">
        <v>34</v>
      </c>
      <c r="E101" t="s">
        <v>247</v>
      </c>
      <c r="F101">
        <v>0</v>
      </c>
    </row>
    <row r="102" spans="1:6" x14ac:dyDescent="0.3">
      <c r="A102" t="s">
        <v>92</v>
      </c>
      <c r="B102" t="s">
        <v>244</v>
      </c>
      <c r="C102">
        <v>0</v>
      </c>
      <c r="D102" t="s">
        <v>34</v>
      </c>
      <c r="E102" t="s">
        <v>247</v>
      </c>
      <c r="F102">
        <v>0</v>
      </c>
    </row>
    <row r="103" spans="1:6" x14ac:dyDescent="0.3">
      <c r="A103" t="s">
        <v>93</v>
      </c>
      <c r="B103" t="s">
        <v>244</v>
      </c>
      <c r="C103">
        <v>0</v>
      </c>
      <c r="D103" t="s">
        <v>34</v>
      </c>
      <c r="E103" t="s">
        <v>247</v>
      </c>
      <c r="F103">
        <v>0</v>
      </c>
    </row>
    <row r="104" spans="1:6" x14ac:dyDescent="0.3">
      <c r="A104" t="s">
        <v>94</v>
      </c>
      <c r="B104" t="s">
        <v>245</v>
      </c>
      <c r="C104">
        <v>0</v>
      </c>
      <c r="D104" t="s">
        <v>34</v>
      </c>
      <c r="E104" t="s">
        <v>247</v>
      </c>
      <c r="F104">
        <v>0</v>
      </c>
    </row>
    <row r="105" spans="1:6" x14ac:dyDescent="0.3">
      <c r="A105" t="s">
        <v>95</v>
      </c>
      <c r="B105" t="s">
        <v>87</v>
      </c>
      <c r="C105">
        <v>0</v>
      </c>
      <c r="D105" t="s">
        <v>34</v>
      </c>
      <c r="E105" t="s">
        <v>247</v>
      </c>
      <c r="F105">
        <v>-4490</v>
      </c>
    </row>
    <row r="106" spans="1:6" x14ac:dyDescent="0.3">
      <c r="A106" t="s">
        <v>96</v>
      </c>
      <c r="B106" t="s">
        <v>244</v>
      </c>
      <c r="C106">
        <v>0</v>
      </c>
      <c r="D106" t="s">
        <v>34</v>
      </c>
      <c r="E106" t="s">
        <v>247</v>
      </c>
      <c r="F106">
        <v>0</v>
      </c>
    </row>
    <row r="107" spans="1:6" x14ac:dyDescent="0.3">
      <c r="A107" t="s">
        <v>97</v>
      </c>
      <c r="B107" t="s">
        <v>244</v>
      </c>
      <c r="C107">
        <v>0</v>
      </c>
      <c r="D107" t="s">
        <v>34</v>
      </c>
      <c r="E107" t="s">
        <v>247</v>
      </c>
      <c r="F107">
        <v>0</v>
      </c>
    </row>
    <row r="108" spans="1:6" x14ac:dyDescent="0.3">
      <c r="A108" t="s">
        <v>32</v>
      </c>
      <c r="B108" t="s">
        <v>87</v>
      </c>
      <c r="C108">
        <v>0</v>
      </c>
      <c r="D108" t="s">
        <v>34</v>
      </c>
      <c r="E108" t="s">
        <v>247</v>
      </c>
      <c r="F108">
        <v>0</v>
      </c>
    </row>
    <row r="109" spans="1:6" x14ac:dyDescent="0.3">
      <c r="A109" t="s">
        <v>56</v>
      </c>
      <c r="B109" t="s">
        <v>244</v>
      </c>
      <c r="C109">
        <v>0</v>
      </c>
      <c r="D109" t="s">
        <v>34</v>
      </c>
      <c r="E109" t="s">
        <v>247</v>
      </c>
      <c r="F109">
        <v>0</v>
      </c>
    </row>
    <row r="110" spans="1:6" x14ac:dyDescent="0.3">
      <c r="A110" t="s">
        <v>150</v>
      </c>
      <c r="B110" t="s">
        <v>88</v>
      </c>
      <c r="C110">
        <v>0</v>
      </c>
      <c r="D110" t="s">
        <v>34</v>
      </c>
      <c r="E110" t="s">
        <v>247</v>
      </c>
      <c r="F110">
        <v>0</v>
      </c>
    </row>
    <row r="111" spans="1:6" x14ac:dyDescent="0.3">
      <c r="A111" t="s">
        <v>151</v>
      </c>
      <c r="B111" t="s">
        <v>246</v>
      </c>
      <c r="C111">
        <v>0</v>
      </c>
      <c r="D111" t="s">
        <v>34</v>
      </c>
      <c r="E111" t="s">
        <v>247</v>
      </c>
      <c r="F111">
        <v>0</v>
      </c>
    </row>
    <row r="112" spans="1:6" x14ac:dyDescent="0.3">
      <c r="A112" t="s">
        <v>152</v>
      </c>
      <c r="B112" t="s">
        <v>244</v>
      </c>
      <c r="C112">
        <v>0</v>
      </c>
      <c r="D112" t="s">
        <v>34</v>
      </c>
      <c r="E112" t="s">
        <v>247</v>
      </c>
      <c r="F112">
        <v>0</v>
      </c>
    </row>
    <row r="113" spans="1:6" x14ac:dyDescent="0.3">
      <c r="A113" t="s">
        <v>153</v>
      </c>
      <c r="B113" t="s">
        <v>244</v>
      </c>
      <c r="C113">
        <v>0</v>
      </c>
      <c r="D113" t="s">
        <v>34</v>
      </c>
      <c r="E113" t="s">
        <v>247</v>
      </c>
      <c r="F113">
        <v>0</v>
      </c>
    </row>
    <row r="114" spans="1:6" x14ac:dyDescent="0.3">
      <c r="A114" t="s">
        <v>57</v>
      </c>
      <c r="B114" t="s">
        <v>244</v>
      </c>
      <c r="C114">
        <v>0</v>
      </c>
      <c r="D114" t="s">
        <v>34</v>
      </c>
      <c r="E114" t="s">
        <v>247</v>
      </c>
      <c r="F114">
        <v>0</v>
      </c>
    </row>
    <row r="115" spans="1:6" x14ac:dyDescent="0.3">
      <c r="A115" t="s">
        <v>36</v>
      </c>
      <c r="B115" t="s">
        <v>246</v>
      </c>
      <c r="C115">
        <v>0</v>
      </c>
      <c r="D115" t="s">
        <v>34</v>
      </c>
      <c r="E115" t="s">
        <v>247</v>
      </c>
      <c r="F115">
        <v>0</v>
      </c>
    </row>
    <row r="116" spans="1:6" x14ac:dyDescent="0.3">
      <c r="A116" t="s">
        <v>58</v>
      </c>
      <c r="B116" t="s">
        <v>244</v>
      </c>
      <c r="C116">
        <v>0</v>
      </c>
      <c r="D116" t="s">
        <v>34</v>
      </c>
      <c r="E116" t="s">
        <v>247</v>
      </c>
      <c r="F116">
        <v>0</v>
      </c>
    </row>
    <row r="117" spans="1:6" x14ac:dyDescent="0.3">
      <c r="A117" t="s">
        <v>154</v>
      </c>
      <c r="B117" t="s">
        <v>245</v>
      </c>
      <c r="C117">
        <v>0</v>
      </c>
      <c r="D117" t="s">
        <v>34</v>
      </c>
      <c r="E117" t="s">
        <v>247</v>
      </c>
      <c r="F117">
        <v>2</v>
      </c>
    </row>
    <row r="118" spans="1:6" x14ac:dyDescent="0.3">
      <c r="A118" t="s">
        <v>155</v>
      </c>
      <c r="B118" t="s">
        <v>245</v>
      </c>
      <c r="C118">
        <v>0</v>
      </c>
      <c r="D118" t="s">
        <v>34</v>
      </c>
      <c r="E118" t="s">
        <v>247</v>
      </c>
      <c r="F118">
        <v>2</v>
      </c>
    </row>
    <row r="119" spans="1:6" x14ac:dyDescent="0.3">
      <c r="A119" t="s">
        <v>156</v>
      </c>
      <c r="B119" t="s">
        <v>244</v>
      </c>
      <c r="C119">
        <v>0</v>
      </c>
      <c r="D119" t="s">
        <v>34</v>
      </c>
      <c r="E119" t="s">
        <v>247</v>
      </c>
      <c r="F119">
        <v>0</v>
      </c>
    </row>
    <row r="120" spans="1:6" x14ac:dyDescent="0.3">
      <c r="A120" t="s">
        <v>157</v>
      </c>
      <c r="B120" t="s">
        <v>244</v>
      </c>
      <c r="C120">
        <v>0</v>
      </c>
      <c r="D120" t="s">
        <v>34</v>
      </c>
      <c r="E120" t="s">
        <v>247</v>
      </c>
      <c r="F120">
        <v>0</v>
      </c>
    </row>
    <row r="121" spans="1:6" x14ac:dyDescent="0.3">
      <c r="A121" t="s">
        <v>158</v>
      </c>
      <c r="B121" t="s">
        <v>244</v>
      </c>
      <c r="C121">
        <v>0</v>
      </c>
      <c r="D121" t="s">
        <v>34</v>
      </c>
      <c r="E121" t="s">
        <v>247</v>
      </c>
      <c r="F121">
        <v>0</v>
      </c>
    </row>
    <row r="122" spans="1:6" x14ac:dyDescent="0.3">
      <c r="A122" t="s">
        <v>59</v>
      </c>
      <c r="B122" t="s">
        <v>88</v>
      </c>
      <c r="C122">
        <v>0</v>
      </c>
      <c r="D122" t="s">
        <v>34</v>
      </c>
      <c r="E122" t="s">
        <v>247</v>
      </c>
      <c r="F122">
        <v>0</v>
      </c>
    </row>
    <row r="123" spans="1:6" x14ac:dyDescent="0.3">
      <c r="A123" t="s">
        <v>17</v>
      </c>
      <c r="B123" t="s">
        <v>87</v>
      </c>
      <c r="C123">
        <v>0</v>
      </c>
      <c r="D123" t="s">
        <v>34</v>
      </c>
      <c r="E123" t="s">
        <v>247</v>
      </c>
      <c r="F123">
        <v>100</v>
      </c>
    </row>
    <row r="124" spans="1:6" x14ac:dyDescent="0.3">
      <c r="A124" t="s">
        <v>159</v>
      </c>
      <c r="B124" t="s">
        <v>246</v>
      </c>
      <c r="C124">
        <v>0</v>
      </c>
      <c r="D124" t="s">
        <v>34</v>
      </c>
      <c r="E124" t="s">
        <v>247</v>
      </c>
      <c r="F124">
        <v>0</v>
      </c>
    </row>
    <row r="125" spans="1:6" x14ac:dyDescent="0.3">
      <c r="A125" t="s">
        <v>160</v>
      </c>
      <c r="B125" t="s">
        <v>246</v>
      </c>
      <c r="C125">
        <v>0</v>
      </c>
      <c r="D125" t="s">
        <v>34</v>
      </c>
      <c r="E125" t="s">
        <v>247</v>
      </c>
      <c r="F125">
        <v>0</v>
      </c>
    </row>
    <row r="126" spans="1:6" x14ac:dyDescent="0.3">
      <c r="A126" t="s">
        <v>161</v>
      </c>
      <c r="B126" t="s">
        <v>246</v>
      </c>
      <c r="C126">
        <v>0</v>
      </c>
      <c r="D126" t="s">
        <v>34</v>
      </c>
      <c r="E126" t="s">
        <v>247</v>
      </c>
      <c r="F126">
        <v>0</v>
      </c>
    </row>
    <row r="127" spans="1:6" x14ac:dyDescent="0.3">
      <c r="A127" t="s">
        <v>162</v>
      </c>
      <c r="B127" t="s">
        <v>246</v>
      </c>
      <c r="C127">
        <v>0</v>
      </c>
      <c r="D127" t="s">
        <v>34</v>
      </c>
      <c r="E127" t="s">
        <v>247</v>
      </c>
      <c r="F127">
        <v>0</v>
      </c>
    </row>
    <row r="128" spans="1:6" x14ac:dyDescent="0.3">
      <c r="A128" t="s">
        <v>163</v>
      </c>
      <c r="B128" t="s">
        <v>246</v>
      </c>
      <c r="C128">
        <v>0</v>
      </c>
      <c r="D128" t="s">
        <v>34</v>
      </c>
      <c r="E128" t="s">
        <v>247</v>
      </c>
      <c r="F128">
        <v>0</v>
      </c>
    </row>
    <row r="129" spans="1:6" x14ac:dyDescent="0.3">
      <c r="A129" t="s">
        <v>164</v>
      </c>
      <c r="B129" t="s">
        <v>244</v>
      </c>
      <c r="C129">
        <v>0</v>
      </c>
      <c r="D129" t="s">
        <v>34</v>
      </c>
      <c r="E129" t="s">
        <v>247</v>
      </c>
      <c r="F129">
        <v>0</v>
      </c>
    </row>
    <row r="130" spans="1:6" x14ac:dyDescent="0.3">
      <c r="A130" t="s">
        <v>60</v>
      </c>
      <c r="B130" t="s">
        <v>246</v>
      </c>
      <c r="C130">
        <v>0</v>
      </c>
      <c r="D130" t="s">
        <v>34</v>
      </c>
      <c r="E130" t="s">
        <v>247</v>
      </c>
      <c r="F130">
        <v>0</v>
      </c>
    </row>
    <row r="131" spans="1:6" x14ac:dyDescent="0.3">
      <c r="A131" t="s">
        <v>165</v>
      </c>
      <c r="B131" t="s">
        <v>245</v>
      </c>
      <c r="C131">
        <v>0</v>
      </c>
      <c r="D131" t="s">
        <v>34</v>
      </c>
      <c r="E131" t="s">
        <v>247</v>
      </c>
      <c r="F131">
        <v>0</v>
      </c>
    </row>
    <row r="132" spans="1:6" x14ac:dyDescent="0.3">
      <c r="A132" t="s">
        <v>166</v>
      </c>
      <c r="B132" t="s">
        <v>87</v>
      </c>
      <c r="C132">
        <v>0</v>
      </c>
      <c r="D132" t="s">
        <v>34</v>
      </c>
      <c r="E132" t="s">
        <v>247</v>
      </c>
      <c r="F132">
        <v>0</v>
      </c>
    </row>
    <row r="133" spans="1:6" x14ac:dyDescent="0.3">
      <c r="A133" t="s">
        <v>167</v>
      </c>
      <c r="B133" t="s">
        <v>244</v>
      </c>
      <c r="C133">
        <v>0</v>
      </c>
      <c r="D133" t="s">
        <v>34</v>
      </c>
      <c r="E133" t="s">
        <v>247</v>
      </c>
      <c r="F133">
        <v>0</v>
      </c>
    </row>
    <row r="134" spans="1:6" x14ac:dyDescent="0.3">
      <c r="A134" t="s">
        <v>61</v>
      </c>
      <c r="B134" t="s">
        <v>244</v>
      </c>
      <c r="C134">
        <v>0</v>
      </c>
      <c r="D134" t="s">
        <v>34</v>
      </c>
      <c r="E134" t="s">
        <v>247</v>
      </c>
      <c r="F134">
        <v>0</v>
      </c>
    </row>
    <row r="135" spans="1:6" x14ac:dyDescent="0.3">
      <c r="A135" t="s">
        <v>168</v>
      </c>
      <c r="B135" t="s">
        <v>244</v>
      </c>
      <c r="C135">
        <v>0</v>
      </c>
      <c r="D135" t="s">
        <v>34</v>
      </c>
      <c r="E135" t="s">
        <v>247</v>
      </c>
      <c r="F135">
        <v>0</v>
      </c>
    </row>
    <row r="136" spans="1:6" x14ac:dyDescent="0.3">
      <c r="A136" t="s">
        <v>169</v>
      </c>
      <c r="B136" t="s">
        <v>244</v>
      </c>
      <c r="C136">
        <v>0</v>
      </c>
      <c r="D136" t="s">
        <v>34</v>
      </c>
      <c r="E136" t="s">
        <v>247</v>
      </c>
      <c r="F136">
        <v>0</v>
      </c>
    </row>
    <row r="137" spans="1:6" x14ac:dyDescent="0.3">
      <c r="A137" t="s">
        <v>170</v>
      </c>
      <c r="B137" t="s">
        <v>244</v>
      </c>
      <c r="C137">
        <v>0</v>
      </c>
      <c r="D137" t="s">
        <v>34</v>
      </c>
      <c r="E137" t="s">
        <v>247</v>
      </c>
      <c r="F137">
        <v>0</v>
      </c>
    </row>
    <row r="138" spans="1:6" x14ac:dyDescent="0.3">
      <c r="A138" t="s">
        <v>171</v>
      </c>
      <c r="B138" t="s">
        <v>87</v>
      </c>
      <c r="C138">
        <v>0</v>
      </c>
      <c r="D138" t="s">
        <v>34</v>
      </c>
      <c r="E138" t="s">
        <v>247</v>
      </c>
      <c r="F138">
        <v>700</v>
      </c>
    </row>
    <row r="139" spans="1:6" x14ac:dyDescent="0.3">
      <c r="A139" t="s">
        <v>172</v>
      </c>
      <c r="B139" t="s">
        <v>87</v>
      </c>
      <c r="C139">
        <v>0</v>
      </c>
      <c r="D139" t="s">
        <v>34</v>
      </c>
      <c r="E139" t="s">
        <v>247</v>
      </c>
      <c r="F139">
        <v>500</v>
      </c>
    </row>
    <row r="140" spans="1:6" x14ac:dyDescent="0.3">
      <c r="A140" t="s">
        <v>173</v>
      </c>
      <c r="B140" t="s">
        <v>244</v>
      </c>
      <c r="C140">
        <v>0</v>
      </c>
      <c r="D140" t="s">
        <v>34</v>
      </c>
      <c r="E140" t="s">
        <v>247</v>
      </c>
      <c r="F140">
        <v>0</v>
      </c>
    </row>
    <row r="141" spans="1:6" x14ac:dyDescent="0.3">
      <c r="A141" t="s">
        <v>20</v>
      </c>
      <c r="B141" t="s">
        <v>87</v>
      </c>
      <c r="C141">
        <v>0</v>
      </c>
      <c r="D141" t="s">
        <v>34</v>
      </c>
      <c r="E141" t="s">
        <v>247</v>
      </c>
      <c r="F141">
        <v>100</v>
      </c>
    </row>
    <row r="142" spans="1:6" x14ac:dyDescent="0.3">
      <c r="A142" t="s">
        <v>62</v>
      </c>
      <c r="B142" t="s">
        <v>244</v>
      </c>
      <c r="C142">
        <v>0</v>
      </c>
      <c r="D142" t="s">
        <v>34</v>
      </c>
      <c r="E142" t="s">
        <v>247</v>
      </c>
      <c r="F142">
        <v>0</v>
      </c>
    </row>
    <row r="143" spans="1:6" x14ac:dyDescent="0.3">
      <c r="A143" t="s">
        <v>174</v>
      </c>
      <c r="B143" t="s">
        <v>245</v>
      </c>
      <c r="C143">
        <v>0</v>
      </c>
      <c r="D143" t="s">
        <v>34</v>
      </c>
      <c r="E143" t="s">
        <v>247</v>
      </c>
      <c r="F143">
        <v>0</v>
      </c>
    </row>
    <row r="144" spans="1:6" x14ac:dyDescent="0.3">
      <c r="A144" t="s">
        <v>175</v>
      </c>
      <c r="B144" t="s">
        <v>245</v>
      </c>
      <c r="C144">
        <v>0</v>
      </c>
      <c r="D144" t="s">
        <v>34</v>
      </c>
      <c r="E144" t="s">
        <v>247</v>
      </c>
      <c r="F144">
        <v>325</v>
      </c>
    </row>
    <row r="145" spans="1:6" x14ac:dyDescent="0.3">
      <c r="A145" t="s">
        <v>176</v>
      </c>
      <c r="B145" t="s">
        <v>245</v>
      </c>
      <c r="C145">
        <v>0</v>
      </c>
      <c r="D145" t="s">
        <v>34</v>
      </c>
      <c r="E145" t="s">
        <v>247</v>
      </c>
      <c r="F145">
        <v>0</v>
      </c>
    </row>
    <row r="146" spans="1:6" x14ac:dyDescent="0.3">
      <c r="A146" t="s">
        <v>177</v>
      </c>
      <c r="B146" t="s">
        <v>244</v>
      </c>
      <c r="C146">
        <v>0</v>
      </c>
      <c r="D146" t="s">
        <v>34</v>
      </c>
      <c r="E146" t="s">
        <v>247</v>
      </c>
      <c r="F146">
        <v>0</v>
      </c>
    </row>
    <row r="147" spans="1:6" x14ac:dyDescent="0.3">
      <c r="A147" t="s">
        <v>178</v>
      </c>
      <c r="B147" t="s">
        <v>244</v>
      </c>
      <c r="C147">
        <v>0</v>
      </c>
      <c r="D147" t="s">
        <v>34</v>
      </c>
      <c r="E147" t="s">
        <v>247</v>
      </c>
      <c r="F147">
        <v>0</v>
      </c>
    </row>
    <row r="148" spans="1:6" x14ac:dyDescent="0.3">
      <c r="A148" t="s">
        <v>179</v>
      </c>
      <c r="B148" t="s">
        <v>245</v>
      </c>
      <c r="C148">
        <v>0</v>
      </c>
      <c r="D148" t="s">
        <v>34</v>
      </c>
      <c r="E148" t="s">
        <v>247</v>
      </c>
      <c r="F148">
        <v>0</v>
      </c>
    </row>
    <row r="149" spans="1:6" x14ac:dyDescent="0.3">
      <c r="A149" t="s">
        <v>180</v>
      </c>
      <c r="B149" t="s">
        <v>245</v>
      </c>
      <c r="C149">
        <v>0</v>
      </c>
      <c r="D149" t="s">
        <v>34</v>
      </c>
      <c r="E149" t="s">
        <v>247</v>
      </c>
      <c r="F149">
        <v>0</v>
      </c>
    </row>
    <row r="150" spans="1:6" x14ac:dyDescent="0.3">
      <c r="A150" t="s">
        <v>181</v>
      </c>
      <c r="B150" t="s">
        <v>244</v>
      </c>
      <c r="C150">
        <v>0</v>
      </c>
      <c r="D150" t="s">
        <v>34</v>
      </c>
      <c r="E150" t="s">
        <v>247</v>
      </c>
      <c r="F150">
        <v>0</v>
      </c>
    </row>
    <row r="151" spans="1:6" x14ac:dyDescent="0.3">
      <c r="A151" t="s">
        <v>63</v>
      </c>
      <c r="B151" t="s">
        <v>244</v>
      </c>
      <c r="C151">
        <v>0</v>
      </c>
      <c r="D151" t="s">
        <v>34</v>
      </c>
      <c r="E151" t="s">
        <v>247</v>
      </c>
      <c r="F151">
        <v>0</v>
      </c>
    </row>
    <row r="152" spans="1:6" x14ac:dyDescent="0.3">
      <c r="A152" t="s">
        <v>182</v>
      </c>
      <c r="B152" t="s">
        <v>87</v>
      </c>
      <c r="C152">
        <v>0</v>
      </c>
      <c r="D152" t="s">
        <v>34</v>
      </c>
      <c r="E152" t="s">
        <v>247</v>
      </c>
      <c r="F152">
        <v>50</v>
      </c>
    </row>
    <row r="153" spans="1:6" x14ac:dyDescent="0.3">
      <c r="A153" t="s">
        <v>183</v>
      </c>
      <c r="B153" t="s">
        <v>244</v>
      </c>
      <c r="C153">
        <v>0</v>
      </c>
      <c r="D153" t="s">
        <v>34</v>
      </c>
      <c r="E153" t="s">
        <v>247</v>
      </c>
      <c r="F153">
        <v>0</v>
      </c>
    </row>
    <row r="154" spans="1:6" x14ac:dyDescent="0.3">
      <c r="A154" t="s">
        <v>184</v>
      </c>
      <c r="B154" t="s">
        <v>245</v>
      </c>
      <c r="C154">
        <v>0</v>
      </c>
      <c r="D154" t="s">
        <v>34</v>
      </c>
      <c r="E154" t="s">
        <v>247</v>
      </c>
      <c r="F154">
        <v>0</v>
      </c>
    </row>
    <row r="155" spans="1:6" x14ac:dyDescent="0.3">
      <c r="A155" t="s">
        <v>185</v>
      </c>
      <c r="B155" t="s">
        <v>244</v>
      </c>
      <c r="C155">
        <v>0</v>
      </c>
      <c r="D155" t="s">
        <v>34</v>
      </c>
      <c r="E155" t="s">
        <v>247</v>
      </c>
      <c r="F155">
        <v>0</v>
      </c>
    </row>
    <row r="156" spans="1:6" x14ac:dyDescent="0.3">
      <c r="A156" t="s">
        <v>186</v>
      </c>
      <c r="B156" t="s">
        <v>87</v>
      </c>
      <c r="C156">
        <v>0</v>
      </c>
      <c r="D156" t="s">
        <v>34</v>
      </c>
      <c r="E156" t="s">
        <v>247</v>
      </c>
      <c r="F156">
        <v>210</v>
      </c>
    </row>
    <row r="157" spans="1:6" x14ac:dyDescent="0.3">
      <c r="A157" t="s">
        <v>187</v>
      </c>
      <c r="B157" t="s">
        <v>245</v>
      </c>
      <c r="C157">
        <v>0</v>
      </c>
      <c r="D157" t="s">
        <v>34</v>
      </c>
      <c r="E157" t="s">
        <v>247</v>
      </c>
      <c r="F157">
        <v>0</v>
      </c>
    </row>
    <row r="158" spans="1:6" x14ac:dyDescent="0.3">
      <c r="A158" t="s">
        <v>188</v>
      </c>
      <c r="B158" t="s">
        <v>245</v>
      </c>
      <c r="C158">
        <v>0</v>
      </c>
      <c r="D158" t="s">
        <v>34</v>
      </c>
      <c r="E158" t="s">
        <v>247</v>
      </c>
      <c r="F158">
        <v>0</v>
      </c>
    </row>
    <row r="159" spans="1:6" x14ac:dyDescent="0.3">
      <c r="A159" t="s">
        <v>189</v>
      </c>
      <c r="B159" t="s">
        <v>87</v>
      </c>
      <c r="C159">
        <v>0</v>
      </c>
      <c r="D159" t="s">
        <v>34</v>
      </c>
      <c r="E159" t="s">
        <v>247</v>
      </c>
      <c r="F159">
        <v>3575</v>
      </c>
    </row>
    <row r="160" spans="1:6" x14ac:dyDescent="0.3">
      <c r="A160" t="s">
        <v>190</v>
      </c>
      <c r="B160" t="s">
        <v>244</v>
      </c>
      <c r="C160">
        <v>0</v>
      </c>
      <c r="D160" t="s">
        <v>34</v>
      </c>
      <c r="E160" t="s">
        <v>247</v>
      </c>
      <c r="F160">
        <v>0</v>
      </c>
    </row>
    <row r="161" spans="1:6" x14ac:dyDescent="0.3">
      <c r="A161" t="s">
        <v>191</v>
      </c>
      <c r="B161" t="s">
        <v>244</v>
      </c>
      <c r="C161">
        <v>0</v>
      </c>
      <c r="D161" t="s">
        <v>34</v>
      </c>
      <c r="E161" t="s">
        <v>247</v>
      </c>
      <c r="F161">
        <v>0</v>
      </c>
    </row>
    <row r="162" spans="1:6" x14ac:dyDescent="0.3">
      <c r="A162" t="s">
        <v>64</v>
      </c>
      <c r="B162" t="s">
        <v>244</v>
      </c>
      <c r="C162">
        <v>0</v>
      </c>
      <c r="D162" t="s">
        <v>34</v>
      </c>
      <c r="E162" t="s">
        <v>247</v>
      </c>
      <c r="F162">
        <v>0</v>
      </c>
    </row>
    <row r="163" spans="1:6" x14ac:dyDescent="0.3">
      <c r="A163" t="s">
        <v>8</v>
      </c>
      <c r="B163" t="s">
        <v>87</v>
      </c>
      <c r="C163">
        <v>0</v>
      </c>
      <c r="D163" t="s">
        <v>34</v>
      </c>
      <c r="E163" t="s">
        <v>247</v>
      </c>
      <c r="F163">
        <v>-150</v>
      </c>
    </row>
    <row r="164" spans="1:6" x14ac:dyDescent="0.3">
      <c r="A164" t="s">
        <v>91</v>
      </c>
      <c r="B164" t="s">
        <v>246</v>
      </c>
      <c r="C164">
        <v>0</v>
      </c>
      <c r="D164" t="s">
        <v>34</v>
      </c>
      <c r="E164" t="s">
        <v>247</v>
      </c>
      <c r="F164">
        <v>0</v>
      </c>
    </row>
    <row r="165" spans="1:6" x14ac:dyDescent="0.3">
      <c r="A165" t="s">
        <v>65</v>
      </c>
      <c r="B165" t="s">
        <v>246</v>
      </c>
      <c r="C165">
        <v>0</v>
      </c>
      <c r="D165" t="s">
        <v>34</v>
      </c>
      <c r="E165" t="s">
        <v>247</v>
      </c>
      <c r="F165">
        <v>0</v>
      </c>
    </row>
    <row r="166" spans="1:6" x14ac:dyDescent="0.3">
      <c r="A166" t="s">
        <v>66</v>
      </c>
      <c r="B166" t="s">
        <v>244</v>
      </c>
      <c r="C166">
        <v>0</v>
      </c>
      <c r="D166" t="s">
        <v>34</v>
      </c>
      <c r="E166" t="s">
        <v>247</v>
      </c>
      <c r="F166">
        <v>0</v>
      </c>
    </row>
    <row r="167" spans="1:6" x14ac:dyDescent="0.3">
      <c r="A167" t="s">
        <v>192</v>
      </c>
      <c r="B167" t="s">
        <v>244</v>
      </c>
      <c r="C167">
        <v>0</v>
      </c>
      <c r="D167" t="s">
        <v>34</v>
      </c>
      <c r="E167" t="s">
        <v>247</v>
      </c>
      <c r="F167">
        <v>0</v>
      </c>
    </row>
    <row r="168" spans="1:6" x14ac:dyDescent="0.3">
      <c r="A168" t="s">
        <v>193</v>
      </c>
      <c r="B168" t="s">
        <v>87</v>
      </c>
      <c r="C168">
        <v>0</v>
      </c>
      <c r="D168" t="s">
        <v>34</v>
      </c>
      <c r="E168" t="s">
        <v>247</v>
      </c>
      <c r="F168">
        <v>500</v>
      </c>
    </row>
    <row r="169" spans="1:6" x14ac:dyDescent="0.3">
      <c r="A169" t="s">
        <v>194</v>
      </c>
      <c r="B169" t="s">
        <v>244</v>
      </c>
      <c r="C169">
        <v>0</v>
      </c>
      <c r="D169" t="s">
        <v>34</v>
      </c>
      <c r="E169" t="s">
        <v>247</v>
      </c>
      <c r="F169">
        <v>0</v>
      </c>
    </row>
    <row r="170" spans="1:6" x14ac:dyDescent="0.3">
      <c r="A170" t="s">
        <v>195</v>
      </c>
      <c r="B170" t="s">
        <v>87</v>
      </c>
      <c r="C170">
        <v>0</v>
      </c>
      <c r="D170" t="s">
        <v>34</v>
      </c>
      <c r="E170" t="s">
        <v>247</v>
      </c>
      <c r="F170">
        <v>125</v>
      </c>
    </row>
    <row r="171" spans="1:6" x14ac:dyDescent="0.3">
      <c r="A171" t="s">
        <v>196</v>
      </c>
      <c r="B171" t="s">
        <v>244</v>
      </c>
      <c r="C171">
        <v>0</v>
      </c>
      <c r="D171" t="s">
        <v>34</v>
      </c>
      <c r="E171" t="s">
        <v>247</v>
      </c>
      <c r="F171">
        <v>0</v>
      </c>
    </row>
    <row r="172" spans="1:6" x14ac:dyDescent="0.3">
      <c r="A172" t="s">
        <v>197</v>
      </c>
      <c r="B172" t="s">
        <v>87</v>
      </c>
      <c r="C172">
        <v>0</v>
      </c>
      <c r="D172" t="s">
        <v>34</v>
      </c>
      <c r="E172" t="s">
        <v>247</v>
      </c>
      <c r="F172">
        <v>40</v>
      </c>
    </row>
    <row r="173" spans="1:6" x14ac:dyDescent="0.3">
      <c r="A173" t="s">
        <v>198</v>
      </c>
      <c r="B173" t="s">
        <v>87</v>
      </c>
      <c r="C173">
        <v>0</v>
      </c>
      <c r="D173" t="s">
        <v>34</v>
      </c>
      <c r="E173" t="s">
        <v>247</v>
      </c>
      <c r="F173">
        <v>1976</v>
      </c>
    </row>
    <row r="174" spans="1:6" x14ac:dyDescent="0.3">
      <c r="A174" t="s">
        <v>199</v>
      </c>
      <c r="B174" t="s">
        <v>87</v>
      </c>
      <c r="C174">
        <v>0</v>
      </c>
      <c r="D174" t="s">
        <v>34</v>
      </c>
      <c r="E174" t="s">
        <v>247</v>
      </c>
      <c r="F174">
        <v>65</v>
      </c>
    </row>
    <row r="175" spans="1:6" x14ac:dyDescent="0.3">
      <c r="A175" t="s">
        <v>200</v>
      </c>
      <c r="B175" t="s">
        <v>87</v>
      </c>
      <c r="C175">
        <v>0</v>
      </c>
      <c r="D175" t="s">
        <v>34</v>
      </c>
      <c r="E175" t="s">
        <v>247</v>
      </c>
      <c r="F175">
        <v>75</v>
      </c>
    </row>
    <row r="176" spans="1:6" x14ac:dyDescent="0.3">
      <c r="A176" t="s">
        <v>201</v>
      </c>
      <c r="B176" t="s">
        <v>244</v>
      </c>
      <c r="C176">
        <v>0</v>
      </c>
      <c r="D176" t="s">
        <v>34</v>
      </c>
      <c r="E176" t="s">
        <v>247</v>
      </c>
      <c r="F176">
        <v>0</v>
      </c>
    </row>
    <row r="177" spans="1:6" x14ac:dyDescent="0.3">
      <c r="A177" t="s">
        <v>67</v>
      </c>
      <c r="B177" t="s">
        <v>244</v>
      </c>
      <c r="C177">
        <v>0</v>
      </c>
      <c r="D177" t="s">
        <v>34</v>
      </c>
      <c r="E177" t="s">
        <v>247</v>
      </c>
      <c r="F177">
        <v>0</v>
      </c>
    </row>
    <row r="178" spans="1:6" x14ac:dyDescent="0.3">
      <c r="A178" t="s">
        <v>12</v>
      </c>
      <c r="B178" t="s">
        <v>87</v>
      </c>
      <c r="C178">
        <v>0</v>
      </c>
      <c r="D178" t="s">
        <v>34</v>
      </c>
      <c r="E178" t="s">
        <v>247</v>
      </c>
      <c r="F178">
        <v>-12500</v>
      </c>
    </row>
    <row r="179" spans="1:6" x14ac:dyDescent="0.3">
      <c r="A179" t="s">
        <v>37</v>
      </c>
      <c r="B179" t="s">
        <v>244</v>
      </c>
      <c r="C179">
        <v>0</v>
      </c>
      <c r="D179" t="s">
        <v>34</v>
      </c>
      <c r="E179" t="s">
        <v>247</v>
      </c>
      <c r="F179">
        <v>0</v>
      </c>
    </row>
    <row r="180" spans="1:6" x14ac:dyDescent="0.3">
      <c r="A180" t="s">
        <v>26</v>
      </c>
      <c r="B180" t="s">
        <v>246</v>
      </c>
      <c r="C180">
        <v>0</v>
      </c>
      <c r="D180" t="s">
        <v>34</v>
      </c>
      <c r="E180" t="s">
        <v>247</v>
      </c>
      <c r="F180">
        <v>0</v>
      </c>
    </row>
    <row r="181" spans="1:6" x14ac:dyDescent="0.3">
      <c r="A181" t="s">
        <v>68</v>
      </c>
      <c r="B181" t="s">
        <v>244</v>
      </c>
      <c r="C181">
        <v>0</v>
      </c>
      <c r="D181" t="s">
        <v>34</v>
      </c>
      <c r="E181" t="s">
        <v>247</v>
      </c>
      <c r="F181">
        <v>0</v>
      </c>
    </row>
    <row r="182" spans="1:6" x14ac:dyDescent="0.3">
      <c r="A182" t="s">
        <v>14</v>
      </c>
      <c r="B182" t="s">
        <v>87</v>
      </c>
      <c r="C182">
        <v>0</v>
      </c>
      <c r="D182" t="s">
        <v>34</v>
      </c>
      <c r="E182" t="s">
        <v>247</v>
      </c>
      <c r="F182">
        <v>-75</v>
      </c>
    </row>
    <row r="183" spans="1:6" x14ac:dyDescent="0.3">
      <c r="A183" t="s">
        <v>38</v>
      </c>
      <c r="B183" t="s">
        <v>246</v>
      </c>
      <c r="C183">
        <v>0</v>
      </c>
      <c r="D183" t="s">
        <v>34</v>
      </c>
      <c r="E183" t="s">
        <v>247</v>
      </c>
      <c r="F183">
        <v>0</v>
      </c>
    </row>
    <row r="184" spans="1:6" x14ac:dyDescent="0.3">
      <c r="A184" t="s">
        <v>69</v>
      </c>
      <c r="B184" t="s">
        <v>88</v>
      </c>
      <c r="C184">
        <v>0</v>
      </c>
      <c r="D184" t="s">
        <v>34</v>
      </c>
      <c r="E184" t="s">
        <v>247</v>
      </c>
      <c r="F184">
        <v>50</v>
      </c>
    </row>
    <row r="185" spans="1:6" x14ac:dyDescent="0.3">
      <c r="A185" t="s">
        <v>70</v>
      </c>
      <c r="B185" t="s">
        <v>245</v>
      </c>
      <c r="C185">
        <v>0</v>
      </c>
      <c r="D185" t="s">
        <v>34</v>
      </c>
      <c r="E185" t="s">
        <v>247</v>
      </c>
      <c r="F185">
        <v>0</v>
      </c>
    </row>
    <row r="186" spans="1:6" x14ac:dyDescent="0.3">
      <c r="A186" t="s">
        <v>202</v>
      </c>
      <c r="B186" t="s">
        <v>87</v>
      </c>
      <c r="C186">
        <v>0</v>
      </c>
      <c r="D186" t="s">
        <v>34</v>
      </c>
      <c r="E186" t="s">
        <v>247</v>
      </c>
      <c r="F186">
        <v>10</v>
      </c>
    </row>
    <row r="187" spans="1:6" x14ac:dyDescent="0.3">
      <c r="A187" t="s">
        <v>203</v>
      </c>
      <c r="B187" t="s">
        <v>87</v>
      </c>
      <c r="C187">
        <v>0</v>
      </c>
      <c r="D187" t="s">
        <v>34</v>
      </c>
      <c r="E187" t="s">
        <v>247</v>
      </c>
      <c r="F187">
        <v>100</v>
      </c>
    </row>
    <row r="188" spans="1:6" x14ac:dyDescent="0.3">
      <c r="A188" t="s">
        <v>204</v>
      </c>
      <c r="B188" t="s">
        <v>246</v>
      </c>
      <c r="C188">
        <v>0</v>
      </c>
      <c r="D188" t="s">
        <v>34</v>
      </c>
      <c r="E188" t="s">
        <v>247</v>
      </c>
      <c r="F188">
        <v>2</v>
      </c>
    </row>
    <row r="189" spans="1:6" x14ac:dyDescent="0.3">
      <c r="A189" t="s">
        <v>250</v>
      </c>
      <c r="B189" t="s">
        <v>245</v>
      </c>
      <c r="C189">
        <v>0</v>
      </c>
      <c r="D189" t="s">
        <v>34</v>
      </c>
      <c r="E189" t="s">
        <v>247</v>
      </c>
      <c r="F189">
        <v>2</v>
      </c>
    </row>
    <row r="190" spans="1:6" x14ac:dyDescent="0.3">
      <c r="A190" t="s">
        <v>205</v>
      </c>
      <c r="B190" t="s">
        <v>244</v>
      </c>
      <c r="C190">
        <v>0</v>
      </c>
      <c r="D190" t="s">
        <v>34</v>
      </c>
      <c r="E190" t="s">
        <v>247</v>
      </c>
      <c r="F190">
        <v>0</v>
      </c>
    </row>
    <row r="191" spans="1:6" x14ac:dyDescent="0.3">
      <c r="A191" t="s">
        <v>206</v>
      </c>
      <c r="B191" t="s">
        <v>244</v>
      </c>
      <c r="C191">
        <v>0</v>
      </c>
      <c r="D191" t="s">
        <v>34</v>
      </c>
      <c r="E191" t="s">
        <v>247</v>
      </c>
      <c r="F191">
        <v>0</v>
      </c>
    </row>
    <row r="192" spans="1:6" x14ac:dyDescent="0.3">
      <c r="A192" t="s">
        <v>71</v>
      </c>
      <c r="B192" t="s">
        <v>244</v>
      </c>
      <c r="C192">
        <v>0</v>
      </c>
      <c r="D192" t="s">
        <v>34</v>
      </c>
      <c r="E192" t="s">
        <v>247</v>
      </c>
      <c r="F192">
        <v>0</v>
      </c>
    </row>
    <row r="193" spans="1:6" x14ac:dyDescent="0.3">
      <c r="A193" t="s">
        <v>207</v>
      </c>
      <c r="B193" t="s">
        <v>244</v>
      </c>
      <c r="C193">
        <v>0</v>
      </c>
      <c r="D193" t="s">
        <v>34</v>
      </c>
      <c r="E193" t="s">
        <v>247</v>
      </c>
      <c r="F193">
        <v>0</v>
      </c>
    </row>
    <row r="194" spans="1:6" x14ac:dyDescent="0.3">
      <c r="A194" t="s">
        <v>208</v>
      </c>
      <c r="B194" t="s">
        <v>244</v>
      </c>
      <c r="C194">
        <v>0</v>
      </c>
      <c r="D194" t="s">
        <v>34</v>
      </c>
      <c r="E194" t="s">
        <v>247</v>
      </c>
      <c r="F194">
        <v>0</v>
      </c>
    </row>
    <row r="195" spans="1:6" x14ac:dyDescent="0.3">
      <c r="A195" t="s">
        <v>209</v>
      </c>
      <c r="B195" t="s">
        <v>244</v>
      </c>
      <c r="C195">
        <v>0</v>
      </c>
      <c r="D195" t="s">
        <v>34</v>
      </c>
      <c r="E195" t="s">
        <v>247</v>
      </c>
      <c r="F195">
        <v>0</v>
      </c>
    </row>
    <row r="196" spans="1:6" x14ac:dyDescent="0.3">
      <c r="A196" t="s">
        <v>210</v>
      </c>
      <c r="B196" t="s">
        <v>244</v>
      </c>
      <c r="C196">
        <v>0</v>
      </c>
      <c r="D196" t="s">
        <v>34</v>
      </c>
      <c r="E196" t="s">
        <v>247</v>
      </c>
      <c r="F196">
        <v>0</v>
      </c>
    </row>
    <row r="197" spans="1:6" x14ac:dyDescent="0.3">
      <c r="A197" t="s">
        <v>90</v>
      </c>
      <c r="B197" t="s">
        <v>246</v>
      </c>
      <c r="C197">
        <v>0</v>
      </c>
      <c r="D197" t="s">
        <v>34</v>
      </c>
      <c r="E197" t="s">
        <v>247</v>
      </c>
      <c r="F197">
        <v>625</v>
      </c>
    </row>
    <row r="198" spans="1:6" x14ac:dyDescent="0.3">
      <c r="A198" t="s">
        <v>211</v>
      </c>
      <c r="B198" t="s">
        <v>246</v>
      </c>
      <c r="C198">
        <v>0</v>
      </c>
      <c r="D198" t="s">
        <v>34</v>
      </c>
      <c r="E198" t="s">
        <v>247</v>
      </c>
      <c r="F198">
        <v>0</v>
      </c>
    </row>
    <row r="199" spans="1:6" x14ac:dyDescent="0.3">
      <c r="A199" t="s">
        <v>212</v>
      </c>
      <c r="B199" t="s">
        <v>246</v>
      </c>
      <c r="C199">
        <v>0</v>
      </c>
      <c r="D199" t="s">
        <v>34</v>
      </c>
      <c r="E199" t="s">
        <v>247</v>
      </c>
      <c r="F199">
        <v>0</v>
      </c>
    </row>
    <row r="200" spans="1:6" x14ac:dyDescent="0.3">
      <c r="A200" t="s">
        <v>213</v>
      </c>
      <c r="B200" t="s">
        <v>244</v>
      </c>
      <c r="C200">
        <v>0</v>
      </c>
      <c r="D200" t="s">
        <v>34</v>
      </c>
      <c r="E200" t="s">
        <v>247</v>
      </c>
      <c r="F200">
        <v>0</v>
      </c>
    </row>
    <row r="201" spans="1:6" x14ac:dyDescent="0.3">
      <c r="A201" t="s">
        <v>72</v>
      </c>
      <c r="B201" t="s">
        <v>244</v>
      </c>
      <c r="C201">
        <v>0</v>
      </c>
      <c r="D201" t="s">
        <v>34</v>
      </c>
      <c r="E201" t="s">
        <v>247</v>
      </c>
      <c r="F201">
        <v>0</v>
      </c>
    </row>
    <row r="202" spans="1:6" x14ac:dyDescent="0.3">
      <c r="A202" t="s">
        <v>214</v>
      </c>
      <c r="B202" t="s">
        <v>246</v>
      </c>
      <c r="C202">
        <v>0</v>
      </c>
      <c r="D202" t="s">
        <v>34</v>
      </c>
      <c r="E202" t="s">
        <v>247</v>
      </c>
      <c r="F202">
        <v>5</v>
      </c>
    </row>
    <row r="203" spans="1:6" x14ac:dyDescent="0.3">
      <c r="A203" t="s">
        <v>215</v>
      </c>
      <c r="B203" t="s">
        <v>88</v>
      </c>
      <c r="C203">
        <v>0</v>
      </c>
      <c r="D203" t="s">
        <v>34</v>
      </c>
      <c r="E203" t="s">
        <v>247</v>
      </c>
      <c r="F203">
        <v>150</v>
      </c>
    </row>
    <row r="204" spans="1:6" x14ac:dyDescent="0.3">
      <c r="A204" t="s">
        <v>216</v>
      </c>
      <c r="B204" t="s">
        <v>88</v>
      </c>
      <c r="C204">
        <v>0</v>
      </c>
      <c r="D204" t="s">
        <v>34</v>
      </c>
      <c r="E204" t="s">
        <v>247</v>
      </c>
      <c r="F204">
        <v>0</v>
      </c>
    </row>
    <row r="205" spans="1:6" x14ac:dyDescent="0.3">
      <c r="A205" t="s">
        <v>217</v>
      </c>
      <c r="B205" t="s">
        <v>244</v>
      </c>
      <c r="C205">
        <v>0</v>
      </c>
      <c r="D205" t="s">
        <v>34</v>
      </c>
      <c r="E205" t="s">
        <v>247</v>
      </c>
      <c r="F205">
        <v>0</v>
      </c>
    </row>
    <row r="206" spans="1:6" x14ac:dyDescent="0.3">
      <c r="A206" t="s">
        <v>218</v>
      </c>
      <c r="B206" t="s">
        <v>88</v>
      </c>
      <c r="C206">
        <v>0</v>
      </c>
      <c r="D206" t="s">
        <v>34</v>
      </c>
      <c r="E206" t="s">
        <v>247</v>
      </c>
      <c r="F206">
        <v>100</v>
      </c>
    </row>
    <row r="207" spans="1:6" x14ac:dyDescent="0.3">
      <c r="A207" t="s">
        <v>219</v>
      </c>
      <c r="B207" t="s">
        <v>88</v>
      </c>
      <c r="C207">
        <v>0</v>
      </c>
      <c r="D207" t="s">
        <v>34</v>
      </c>
      <c r="E207" t="s">
        <v>247</v>
      </c>
      <c r="F207">
        <v>0</v>
      </c>
    </row>
    <row r="208" spans="1:6" x14ac:dyDescent="0.3">
      <c r="A208" t="s">
        <v>220</v>
      </c>
      <c r="B208" t="s">
        <v>88</v>
      </c>
      <c r="C208">
        <v>0</v>
      </c>
      <c r="D208" t="s">
        <v>34</v>
      </c>
      <c r="E208" t="s">
        <v>247</v>
      </c>
      <c r="F208">
        <v>25</v>
      </c>
    </row>
    <row r="209" spans="1:6" x14ac:dyDescent="0.3">
      <c r="A209" t="s">
        <v>221</v>
      </c>
      <c r="B209" t="s">
        <v>244</v>
      </c>
      <c r="C209">
        <v>0</v>
      </c>
      <c r="D209" t="s">
        <v>34</v>
      </c>
      <c r="E209" t="s">
        <v>247</v>
      </c>
      <c r="F209">
        <v>0</v>
      </c>
    </row>
    <row r="210" spans="1:6" x14ac:dyDescent="0.3">
      <c r="A210" t="s">
        <v>222</v>
      </c>
      <c r="B210" t="s">
        <v>88</v>
      </c>
      <c r="C210">
        <v>0</v>
      </c>
      <c r="D210" t="s">
        <v>34</v>
      </c>
      <c r="E210" t="s">
        <v>247</v>
      </c>
      <c r="F210">
        <v>20</v>
      </c>
    </row>
    <row r="211" spans="1:6" x14ac:dyDescent="0.3">
      <c r="A211" t="s">
        <v>223</v>
      </c>
      <c r="B211" t="s">
        <v>244</v>
      </c>
      <c r="C211">
        <v>0</v>
      </c>
      <c r="D211" t="s">
        <v>34</v>
      </c>
      <c r="E211" t="s">
        <v>247</v>
      </c>
      <c r="F211">
        <v>0</v>
      </c>
    </row>
    <row r="212" spans="1:6" x14ac:dyDescent="0.3">
      <c r="A212" t="s">
        <v>73</v>
      </c>
      <c r="B212" t="s">
        <v>88</v>
      </c>
      <c r="C212">
        <v>0</v>
      </c>
      <c r="D212" t="s">
        <v>34</v>
      </c>
      <c r="E212" t="s">
        <v>247</v>
      </c>
      <c r="F212">
        <v>35</v>
      </c>
    </row>
    <row r="213" spans="1:6" x14ac:dyDescent="0.3">
      <c r="A213" t="s">
        <v>74</v>
      </c>
      <c r="B213" t="s">
        <v>244</v>
      </c>
      <c r="C213">
        <v>0</v>
      </c>
      <c r="D213" t="s">
        <v>34</v>
      </c>
      <c r="E213" t="s">
        <v>247</v>
      </c>
      <c r="F213">
        <v>0</v>
      </c>
    </row>
    <row r="214" spans="1:6" x14ac:dyDescent="0.3">
      <c r="A214" t="s">
        <v>224</v>
      </c>
      <c r="B214" t="s">
        <v>246</v>
      </c>
      <c r="C214">
        <v>0</v>
      </c>
      <c r="D214" t="s">
        <v>34</v>
      </c>
      <c r="E214" t="s">
        <v>247</v>
      </c>
      <c r="F214">
        <v>0</v>
      </c>
    </row>
    <row r="215" spans="1:6" x14ac:dyDescent="0.3">
      <c r="A215" t="s">
        <v>225</v>
      </c>
      <c r="B215" t="s">
        <v>246</v>
      </c>
      <c r="C215">
        <v>0</v>
      </c>
      <c r="D215" t="s">
        <v>34</v>
      </c>
      <c r="E215" t="s">
        <v>247</v>
      </c>
      <c r="F215">
        <v>0</v>
      </c>
    </row>
    <row r="216" spans="1:6" x14ac:dyDescent="0.3">
      <c r="A216" t="s">
        <v>226</v>
      </c>
      <c r="B216" t="s">
        <v>244</v>
      </c>
      <c r="C216">
        <v>0</v>
      </c>
      <c r="D216" t="s">
        <v>34</v>
      </c>
      <c r="E216" t="s">
        <v>247</v>
      </c>
      <c r="F216">
        <v>0</v>
      </c>
    </row>
    <row r="217" spans="1:6" x14ac:dyDescent="0.3">
      <c r="A217" t="s">
        <v>227</v>
      </c>
      <c r="B217" t="s">
        <v>244</v>
      </c>
      <c r="C217">
        <v>0</v>
      </c>
      <c r="D217" t="s">
        <v>34</v>
      </c>
      <c r="E217" t="s">
        <v>247</v>
      </c>
      <c r="F217">
        <v>0</v>
      </c>
    </row>
    <row r="218" spans="1:6" x14ac:dyDescent="0.3">
      <c r="A218" t="s">
        <v>75</v>
      </c>
      <c r="B218" t="s">
        <v>244</v>
      </c>
      <c r="C218">
        <v>0</v>
      </c>
      <c r="D218" t="s">
        <v>34</v>
      </c>
      <c r="E218" t="s">
        <v>247</v>
      </c>
      <c r="F218">
        <v>0</v>
      </c>
    </row>
    <row r="219" spans="1:6" x14ac:dyDescent="0.3">
      <c r="A219" t="s">
        <v>228</v>
      </c>
      <c r="B219" t="s">
        <v>245</v>
      </c>
      <c r="C219">
        <v>0</v>
      </c>
      <c r="D219" t="s">
        <v>34</v>
      </c>
      <c r="E219" t="s">
        <v>247</v>
      </c>
      <c r="F219">
        <v>0</v>
      </c>
    </row>
    <row r="220" spans="1:6" x14ac:dyDescent="0.3">
      <c r="A220" t="s">
        <v>229</v>
      </c>
      <c r="B220" t="s">
        <v>245</v>
      </c>
      <c r="C220">
        <v>0</v>
      </c>
      <c r="D220" t="s">
        <v>34</v>
      </c>
      <c r="E220" t="s">
        <v>247</v>
      </c>
      <c r="F220">
        <v>0</v>
      </c>
    </row>
    <row r="221" spans="1:6" x14ac:dyDescent="0.3">
      <c r="A221" t="s">
        <v>230</v>
      </c>
      <c r="B221" t="s">
        <v>245</v>
      </c>
      <c r="C221">
        <v>0</v>
      </c>
      <c r="D221" t="s">
        <v>34</v>
      </c>
      <c r="E221" t="s">
        <v>247</v>
      </c>
      <c r="F221">
        <v>0</v>
      </c>
    </row>
    <row r="222" spans="1:6" x14ac:dyDescent="0.3">
      <c r="A222" t="s">
        <v>231</v>
      </c>
      <c r="B222" t="s">
        <v>245</v>
      </c>
      <c r="C222">
        <v>0</v>
      </c>
      <c r="D222" t="s">
        <v>34</v>
      </c>
      <c r="E222" t="s">
        <v>247</v>
      </c>
      <c r="F222">
        <v>800</v>
      </c>
    </row>
    <row r="223" spans="1:6" x14ac:dyDescent="0.3">
      <c r="A223" t="s">
        <v>232</v>
      </c>
      <c r="B223" t="s">
        <v>245</v>
      </c>
      <c r="C223">
        <v>0</v>
      </c>
      <c r="D223" t="s">
        <v>34</v>
      </c>
      <c r="E223" t="s">
        <v>247</v>
      </c>
      <c r="F223">
        <v>0</v>
      </c>
    </row>
    <row r="224" spans="1:6" x14ac:dyDescent="0.3">
      <c r="A224" t="s">
        <v>233</v>
      </c>
      <c r="B224" t="s">
        <v>245</v>
      </c>
      <c r="C224">
        <v>0</v>
      </c>
      <c r="D224" t="s">
        <v>34</v>
      </c>
      <c r="E224" t="s">
        <v>247</v>
      </c>
      <c r="F224">
        <v>0</v>
      </c>
    </row>
    <row r="225" spans="1:6" x14ac:dyDescent="0.3">
      <c r="A225" t="s">
        <v>234</v>
      </c>
      <c r="B225" t="s">
        <v>245</v>
      </c>
      <c r="C225">
        <v>0</v>
      </c>
      <c r="D225" t="s">
        <v>34</v>
      </c>
      <c r="E225" t="s">
        <v>247</v>
      </c>
      <c r="F225">
        <v>0</v>
      </c>
    </row>
    <row r="226" spans="1:6" x14ac:dyDescent="0.3">
      <c r="A226" t="s">
        <v>235</v>
      </c>
      <c r="B226" t="s">
        <v>244</v>
      </c>
      <c r="C226">
        <v>0</v>
      </c>
      <c r="D226" t="s">
        <v>34</v>
      </c>
      <c r="E226" t="s">
        <v>247</v>
      </c>
      <c r="F226">
        <v>0</v>
      </c>
    </row>
    <row r="227" spans="1:6" x14ac:dyDescent="0.3">
      <c r="A227" t="s">
        <v>29</v>
      </c>
      <c r="B227" t="s">
        <v>245</v>
      </c>
      <c r="C227">
        <v>0</v>
      </c>
      <c r="D227" t="s">
        <v>34</v>
      </c>
      <c r="E227" t="s">
        <v>247</v>
      </c>
      <c r="F227">
        <v>0</v>
      </c>
    </row>
    <row r="228" spans="1:6" x14ac:dyDescent="0.3">
      <c r="A228" t="s">
        <v>236</v>
      </c>
      <c r="B228" t="s">
        <v>245</v>
      </c>
      <c r="C228">
        <v>0</v>
      </c>
      <c r="D228" t="s">
        <v>34</v>
      </c>
      <c r="E228" t="s">
        <v>247</v>
      </c>
      <c r="F228">
        <v>0</v>
      </c>
    </row>
    <row r="229" spans="1:6" x14ac:dyDescent="0.3">
      <c r="A229" t="s">
        <v>237</v>
      </c>
      <c r="B229" t="s">
        <v>245</v>
      </c>
      <c r="C229">
        <v>0</v>
      </c>
      <c r="D229" t="s">
        <v>34</v>
      </c>
      <c r="E229" t="s">
        <v>247</v>
      </c>
      <c r="F229">
        <v>0</v>
      </c>
    </row>
    <row r="230" spans="1:6" x14ac:dyDescent="0.3">
      <c r="A230" t="s">
        <v>238</v>
      </c>
      <c r="B230" t="s">
        <v>245</v>
      </c>
      <c r="C230">
        <v>0</v>
      </c>
      <c r="D230" t="s">
        <v>34</v>
      </c>
      <c r="E230" t="s">
        <v>247</v>
      </c>
      <c r="F230">
        <v>0</v>
      </c>
    </row>
    <row r="231" spans="1:6" x14ac:dyDescent="0.3">
      <c r="A231" t="s">
        <v>239</v>
      </c>
      <c r="B231" t="s">
        <v>245</v>
      </c>
      <c r="C231">
        <v>0</v>
      </c>
      <c r="D231" t="s">
        <v>34</v>
      </c>
      <c r="E231" t="s">
        <v>247</v>
      </c>
      <c r="F231">
        <v>0</v>
      </c>
    </row>
    <row r="232" spans="1:6" x14ac:dyDescent="0.3">
      <c r="A232" t="s">
        <v>240</v>
      </c>
      <c r="B232" t="s">
        <v>245</v>
      </c>
      <c r="C232">
        <v>0</v>
      </c>
      <c r="D232" t="s">
        <v>34</v>
      </c>
      <c r="E232" t="s">
        <v>247</v>
      </c>
      <c r="F232">
        <v>0</v>
      </c>
    </row>
    <row r="233" spans="1:6" x14ac:dyDescent="0.3">
      <c r="A233" t="s">
        <v>241</v>
      </c>
      <c r="B233" t="s">
        <v>245</v>
      </c>
      <c r="C233">
        <v>0</v>
      </c>
      <c r="D233" t="s">
        <v>34</v>
      </c>
      <c r="E233" t="s">
        <v>247</v>
      </c>
      <c r="F233">
        <v>0</v>
      </c>
    </row>
    <row r="234" spans="1:6" x14ac:dyDescent="0.3">
      <c r="A234" t="s">
        <v>242</v>
      </c>
      <c r="B234" t="s">
        <v>245</v>
      </c>
      <c r="C234">
        <v>0</v>
      </c>
      <c r="D234" t="s">
        <v>34</v>
      </c>
      <c r="E234" t="s">
        <v>247</v>
      </c>
      <c r="F234">
        <v>0</v>
      </c>
    </row>
    <row r="235" spans="1:6" x14ac:dyDescent="0.3">
      <c r="A235" t="s">
        <v>243</v>
      </c>
      <c r="B235" t="s">
        <v>244</v>
      </c>
      <c r="C235">
        <v>0</v>
      </c>
      <c r="D235" t="s">
        <v>34</v>
      </c>
      <c r="E235" t="s">
        <v>247</v>
      </c>
      <c r="F235">
        <v>0</v>
      </c>
    </row>
  </sheetData>
  <sortState ref="A2:F235">
    <sortCondition ref="A2:A235"/>
  </sortState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N6"/>
  <sheetViews>
    <sheetView workbookViewId="0">
      <selection activeCell="A20" sqref="A20"/>
    </sheetView>
  </sheetViews>
  <sheetFormatPr defaultRowHeight="14.4" x14ac:dyDescent="0.3"/>
  <cols>
    <col min="7" max="7" width="21" customWidth="1"/>
    <col min="9" max="9" width="11.5546875" bestFit="1" customWidth="1"/>
    <col min="13" max="13" width="17.33203125" bestFit="1" customWidth="1"/>
  </cols>
  <sheetData>
    <row r="1" spans="1:14" x14ac:dyDescent="0.3">
      <c r="B1" t="s">
        <v>256</v>
      </c>
      <c r="C1" t="s">
        <v>253</v>
      </c>
      <c r="D1" t="s">
        <v>257</v>
      </c>
      <c r="E1" t="s">
        <v>254</v>
      </c>
      <c r="H1" t="s">
        <v>260</v>
      </c>
      <c r="I1" t="s">
        <v>255</v>
      </c>
      <c r="M1" t="s">
        <v>261</v>
      </c>
      <c r="N1" s="3">
        <v>38.85</v>
      </c>
    </row>
    <row r="2" spans="1:14" x14ac:dyDescent="0.3">
      <c r="A2">
        <v>2009</v>
      </c>
      <c r="B2">
        <v>4351</v>
      </c>
      <c r="C2">
        <v>3480</v>
      </c>
      <c r="D2">
        <f>B2-C2</f>
        <v>871</v>
      </c>
      <c r="E2" s="2">
        <f>B2/5</f>
        <v>870.2</v>
      </c>
      <c r="G2" t="s">
        <v>258</v>
      </c>
      <c r="H2">
        <f>SUM(D:D)</f>
        <v>8979</v>
      </c>
      <c r="I2" s="3">
        <f>H2*$N$1</f>
        <v>348834.15</v>
      </c>
    </row>
    <row r="3" spans="1:14" x14ac:dyDescent="0.3">
      <c r="A3">
        <v>2010</v>
      </c>
      <c r="B3">
        <v>3868</v>
      </c>
      <c r="C3">
        <v>2320</v>
      </c>
      <c r="D3">
        <f t="shared" ref="D3:D6" si="0">B3-C3</f>
        <v>1548</v>
      </c>
      <c r="E3" s="2">
        <f t="shared" ref="E3:E6" si="1">B3/5</f>
        <v>773.6</v>
      </c>
      <c r="G3" t="s">
        <v>259</v>
      </c>
      <c r="H3" s="2">
        <f>SUM(E2:E6)</f>
        <v>3278.6000000000004</v>
      </c>
      <c r="I3" s="3">
        <f>H3*$N$1</f>
        <v>127373.61000000002</v>
      </c>
    </row>
    <row r="4" spans="1:14" x14ac:dyDescent="0.3">
      <c r="A4">
        <v>2011</v>
      </c>
      <c r="B4">
        <v>2820</v>
      </c>
      <c r="C4">
        <v>1128</v>
      </c>
      <c r="D4">
        <f t="shared" si="0"/>
        <v>1692</v>
      </c>
      <c r="E4" s="2">
        <f t="shared" si="1"/>
        <v>564</v>
      </c>
    </row>
    <row r="5" spans="1:14" x14ac:dyDescent="0.3">
      <c r="A5">
        <v>2012</v>
      </c>
      <c r="B5">
        <v>2434</v>
      </c>
      <c r="C5">
        <v>486</v>
      </c>
      <c r="D5">
        <f t="shared" si="0"/>
        <v>1948</v>
      </c>
      <c r="E5" s="2">
        <f t="shared" si="1"/>
        <v>486.8</v>
      </c>
    </row>
    <row r="6" spans="1:14" x14ac:dyDescent="0.3">
      <c r="A6">
        <v>2013</v>
      </c>
      <c r="B6">
        <v>2920</v>
      </c>
      <c r="C6">
        <v>0</v>
      </c>
      <c r="D6">
        <f t="shared" si="0"/>
        <v>2920</v>
      </c>
      <c r="E6" s="2">
        <f t="shared" si="1"/>
        <v>584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Accounts</vt:lpstr>
      <vt:lpstr>Transactions</vt:lpstr>
      <vt:lpstr>Categories</vt:lpstr>
      <vt:lpstr>Tags</vt:lpstr>
      <vt:lpstr>Security</vt:lpstr>
      <vt:lpstr>Memorized</vt:lpstr>
      <vt:lpstr>_Config</vt:lpstr>
      <vt:lpstr>_Categories (Master)</vt:lpstr>
      <vt:lpstr>Stock</vt:lpstr>
      <vt:lpstr>CFG_BudgetYear</vt:lpstr>
      <vt:lpstr>CFG_DataSheetName</vt:lpstr>
      <vt:lpstr>cfg_PremeraClaimsDest</vt:lpstr>
      <vt:lpstr>cfg_PremeraClaimsSrc</vt:lpstr>
      <vt:lpstr>CFG_SourceQIF</vt:lpstr>
      <vt:lpstr>TBL_Categories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Smith (WSC)</dc:creator>
  <cp:lastModifiedBy>Dave Smith (WSC)</cp:lastModifiedBy>
  <dcterms:created xsi:type="dcterms:W3CDTF">2013-11-19T02:14:36Z</dcterms:created>
  <dcterms:modified xsi:type="dcterms:W3CDTF">2014-03-19T16:37:35Z</dcterms:modified>
</cp:coreProperties>
</file>