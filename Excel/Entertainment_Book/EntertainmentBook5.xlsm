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360" yWindow="75" windowWidth="14235" windowHeight="8700"/>
  </bookViews>
  <sheets>
    <sheet name="Coupons" sheetId="202" r:id="rId1"/>
    <sheet name="Configuration" sheetId="1" r:id="rId2"/>
    <sheet name="20080302_070819" sheetId="164" state="hidden" r:id="rId3"/>
  </sheets>
  <functionGroups builtInGroupCount="17"/>
  <definedNames>
    <definedName name="_xlnm._FilterDatabase" localSheetId="2" hidden="1">'20080302_070819'!$A$1:$BK$548</definedName>
    <definedName name="cfgFilePath">Configuration!$B$1</definedName>
    <definedName name="cfgFileSpec">Configuration!$B$2</definedName>
    <definedName name="cfgQueryList">Configuration!$E$1</definedName>
    <definedName name="cfgWorksheetName">Configuration!$B$3</definedName>
    <definedName name="tmpHouseResults">#REF!</definedName>
    <definedName name="tmpStockResults">Coupons!$A$1639:$BH$2818</definedName>
    <definedName name="tmpTrackingResults" localSheetId="2">'20080302_070819'!$A$1:$BF$548</definedName>
    <definedName name="tmpTrackingResults">#REF!</definedName>
  </definedNames>
  <calcPr calcId="144525"/>
</workbook>
</file>

<file path=xl/calcChain.xml><?xml version="1.0" encoding="utf-8"?>
<calcChain xmlns="http://schemas.openxmlformats.org/spreadsheetml/2006/main">
  <c r="O548" i="164" l="1"/>
  <c r="M548" i="164"/>
  <c r="B548" i="164"/>
  <c r="O547" i="164"/>
  <c r="M547" i="164"/>
  <c r="B547" i="164"/>
  <c r="O546" i="164"/>
  <c r="M546" i="164"/>
  <c r="B546" i="164"/>
  <c r="O545" i="164"/>
  <c r="M545" i="164"/>
  <c r="B545" i="164"/>
  <c r="O544" i="164"/>
  <c r="M544" i="164"/>
  <c r="B544" i="164"/>
  <c r="O543" i="164"/>
  <c r="M543" i="164"/>
  <c r="B543" i="164"/>
  <c r="O542" i="164"/>
  <c r="M542" i="164"/>
  <c r="B542" i="164"/>
  <c r="O541" i="164"/>
  <c r="M541" i="164"/>
  <c r="B541" i="164"/>
  <c r="O540" i="164"/>
  <c r="M540" i="164"/>
  <c r="B540" i="164"/>
  <c r="O539" i="164"/>
  <c r="M539" i="164"/>
  <c r="B539" i="164"/>
  <c r="O538" i="164"/>
  <c r="M538" i="164"/>
  <c r="B538" i="164"/>
  <c r="O537" i="164"/>
  <c r="M537" i="164"/>
  <c r="B537" i="164"/>
  <c r="M536" i="164"/>
  <c r="B536" i="164"/>
  <c r="O535" i="164"/>
  <c r="M535" i="164"/>
  <c r="B535" i="164"/>
  <c r="O534" i="164"/>
  <c r="M534" i="164"/>
  <c r="B534" i="164"/>
  <c r="O533" i="164"/>
  <c r="M533" i="164"/>
  <c r="B533" i="164"/>
  <c r="O532" i="164"/>
  <c r="M532" i="164"/>
  <c r="B532" i="164"/>
  <c r="M531" i="164"/>
  <c r="B531" i="164"/>
  <c r="O530" i="164"/>
  <c r="M530" i="164"/>
  <c r="B530" i="164"/>
  <c r="O529" i="164"/>
  <c r="M529" i="164"/>
  <c r="B529" i="164"/>
  <c r="O528" i="164"/>
  <c r="M528" i="164"/>
  <c r="B528" i="164"/>
  <c r="O527" i="164"/>
  <c r="M527" i="164"/>
  <c r="B527" i="164"/>
  <c r="O526" i="164"/>
  <c r="M526" i="164"/>
  <c r="B526" i="164"/>
  <c r="O525" i="164"/>
  <c r="M525" i="164"/>
  <c r="B525" i="164"/>
  <c r="O524" i="164"/>
  <c r="M524" i="164"/>
  <c r="B524" i="164"/>
  <c r="O523" i="164"/>
  <c r="M523" i="164"/>
  <c r="B523" i="164"/>
  <c r="M522" i="164"/>
  <c r="B522" i="164"/>
  <c r="O521" i="164"/>
  <c r="M521" i="164"/>
  <c r="B521" i="164"/>
  <c r="O520" i="164"/>
  <c r="M520" i="164"/>
  <c r="B520" i="164"/>
  <c r="M519" i="164"/>
  <c r="B519" i="164"/>
  <c r="O518" i="164"/>
  <c r="M518" i="164"/>
  <c r="B518" i="164"/>
  <c r="O517" i="164"/>
  <c r="M517" i="164"/>
  <c r="B517" i="164"/>
  <c r="O516" i="164"/>
  <c r="M516" i="164"/>
  <c r="B516" i="164"/>
  <c r="O515" i="164"/>
  <c r="M515" i="164"/>
  <c r="B515" i="164"/>
  <c r="O514" i="164"/>
  <c r="M514" i="164"/>
  <c r="B514" i="164"/>
  <c r="O513" i="164"/>
  <c r="M513" i="164"/>
  <c r="B513" i="164"/>
  <c r="O512" i="164"/>
  <c r="M512" i="164"/>
  <c r="B512" i="164"/>
  <c r="O511" i="164"/>
  <c r="M511" i="164"/>
  <c r="B511" i="164"/>
  <c r="M510" i="164"/>
  <c r="B510" i="164"/>
  <c r="O509" i="164"/>
  <c r="M509" i="164"/>
  <c r="B509" i="164"/>
  <c r="O508" i="164"/>
  <c r="M508" i="164"/>
  <c r="B508" i="164"/>
  <c r="O507" i="164"/>
  <c r="M507" i="164"/>
  <c r="B507" i="164"/>
  <c r="O506" i="164"/>
  <c r="M506" i="164"/>
  <c r="B506" i="164"/>
  <c r="O505" i="164"/>
  <c r="M505" i="164"/>
  <c r="B505" i="164"/>
  <c r="O504" i="164"/>
  <c r="M504" i="164"/>
  <c r="B504" i="164"/>
  <c r="O503" i="164"/>
  <c r="M503" i="164"/>
  <c r="B503" i="164"/>
  <c r="O502" i="164"/>
  <c r="M502" i="164"/>
  <c r="B502" i="164"/>
  <c r="O501" i="164"/>
  <c r="M501" i="164"/>
  <c r="B501" i="164"/>
  <c r="O500" i="164"/>
  <c r="M500" i="164"/>
  <c r="B500" i="164"/>
  <c r="O499" i="164"/>
  <c r="M499" i="164"/>
  <c r="B499" i="164"/>
  <c r="O498" i="164"/>
  <c r="M498" i="164"/>
  <c r="B498" i="164"/>
  <c r="O497" i="164"/>
  <c r="M497" i="164"/>
  <c r="B497" i="164"/>
  <c r="O496" i="164"/>
  <c r="M496" i="164"/>
  <c r="B496" i="164"/>
  <c r="O495" i="164"/>
  <c r="M495" i="164"/>
  <c r="B495" i="164"/>
  <c r="O494" i="164"/>
  <c r="M494" i="164"/>
  <c r="B494" i="164"/>
  <c r="M493" i="164"/>
  <c r="B493" i="164"/>
  <c r="O492" i="164"/>
  <c r="M492" i="164"/>
  <c r="B492" i="164"/>
  <c r="O491" i="164"/>
  <c r="M491" i="164"/>
  <c r="B491" i="164"/>
  <c r="O490" i="164"/>
  <c r="M490" i="164"/>
  <c r="B490" i="164"/>
  <c r="O489" i="164"/>
  <c r="M489" i="164"/>
  <c r="B489" i="164"/>
  <c r="O488" i="164"/>
  <c r="M488" i="164"/>
  <c r="B488" i="164"/>
  <c r="O487" i="164"/>
  <c r="M487" i="164"/>
  <c r="B487" i="164"/>
  <c r="O486" i="164"/>
  <c r="M486" i="164"/>
  <c r="B486" i="164"/>
  <c r="O485" i="164"/>
  <c r="M485" i="164"/>
  <c r="B485" i="164"/>
  <c r="O484" i="164"/>
  <c r="M484" i="164"/>
  <c r="B484" i="164"/>
  <c r="O483" i="164"/>
  <c r="M483" i="164"/>
  <c r="B483" i="164"/>
  <c r="O482" i="164"/>
  <c r="M482" i="164"/>
  <c r="B482" i="164"/>
  <c r="O481" i="164"/>
  <c r="M481" i="164"/>
  <c r="B481" i="164"/>
  <c r="O480" i="164"/>
  <c r="M480" i="164"/>
  <c r="B480" i="164"/>
  <c r="O479" i="164"/>
  <c r="M479" i="164"/>
  <c r="B479" i="164"/>
  <c r="O478" i="164"/>
  <c r="M478" i="164"/>
  <c r="B478" i="164"/>
  <c r="O477" i="164"/>
  <c r="M477" i="164"/>
  <c r="B477" i="164"/>
  <c r="O476" i="164"/>
  <c r="M476" i="164"/>
  <c r="B476" i="164"/>
  <c r="O475" i="164"/>
  <c r="M475" i="164"/>
  <c r="B475" i="164"/>
  <c r="M474" i="164"/>
  <c r="B474" i="164"/>
  <c r="O473" i="164"/>
  <c r="M473" i="164"/>
  <c r="B473" i="164"/>
  <c r="O472" i="164"/>
  <c r="M472" i="164"/>
  <c r="B472" i="164"/>
  <c r="O471" i="164"/>
  <c r="M471" i="164"/>
  <c r="B471" i="164"/>
  <c r="O470" i="164"/>
  <c r="M470" i="164"/>
  <c r="B470" i="164"/>
  <c r="O469" i="164"/>
  <c r="M469" i="164"/>
  <c r="B469" i="164"/>
  <c r="O468" i="164"/>
  <c r="M468" i="164"/>
  <c r="B468" i="164"/>
  <c r="O467" i="164"/>
  <c r="M467" i="164"/>
  <c r="B467" i="164"/>
  <c r="M466" i="164"/>
  <c r="B466" i="164"/>
  <c r="O465" i="164"/>
  <c r="M465" i="164"/>
  <c r="B465" i="164"/>
  <c r="M464" i="164"/>
  <c r="B464" i="164"/>
  <c r="M463" i="164"/>
  <c r="B463" i="164"/>
  <c r="O462" i="164"/>
  <c r="M462" i="164"/>
  <c r="B462" i="164"/>
  <c r="O461" i="164"/>
  <c r="M461" i="164"/>
  <c r="B461" i="164"/>
  <c r="O460" i="164"/>
  <c r="M460" i="164"/>
  <c r="B460" i="164"/>
  <c r="O459" i="164"/>
  <c r="M459" i="164"/>
  <c r="B459" i="164"/>
  <c r="O458" i="164"/>
  <c r="M458" i="164"/>
  <c r="B458" i="164"/>
  <c r="O457" i="164"/>
  <c r="M457" i="164"/>
  <c r="B457" i="164"/>
  <c r="O456" i="164"/>
  <c r="M456" i="164"/>
  <c r="B456" i="164"/>
  <c r="O455" i="164"/>
  <c r="M455" i="164"/>
  <c r="B455" i="164"/>
  <c r="O454" i="164"/>
  <c r="M454" i="164"/>
  <c r="B454" i="164"/>
  <c r="O453" i="164"/>
  <c r="M453" i="164"/>
  <c r="B453" i="164"/>
  <c r="O452" i="164"/>
  <c r="M452" i="164"/>
  <c r="B452" i="164"/>
  <c r="O451" i="164"/>
  <c r="M451" i="164"/>
  <c r="B451" i="164"/>
  <c r="O450" i="164"/>
  <c r="M450" i="164"/>
  <c r="B450" i="164"/>
  <c r="O449" i="164"/>
  <c r="M449" i="164"/>
  <c r="B449" i="164"/>
  <c r="O448" i="164"/>
  <c r="M448" i="164"/>
  <c r="B448" i="164"/>
  <c r="O447" i="164"/>
  <c r="M447" i="164"/>
  <c r="B447" i="164"/>
  <c r="O446" i="164"/>
  <c r="M446" i="164"/>
  <c r="B446" i="164"/>
  <c r="O445" i="164"/>
  <c r="M445" i="164"/>
  <c r="B445" i="164"/>
  <c r="M444" i="164"/>
  <c r="B444" i="164"/>
  <c r="O443" i="164"/>
  <c r="M443" i="164"/>
  <c r="B443" i="164"/>
  <c r="BH442" i="164"/>
  <c r="O442" i="164"/>
  <c r="M442" i="164"/>
  <c r="B442" i="164"/>
  <c r="BH441" i="164"/>
  <c r="O441" i="164"/>
  <c r="M441" i="164"/>
  <c r="B441" i="164"/>
  <c r="BH440" i="164"/>
  <c r="O440" i="164"/>
  <c r="M440" i="164"/>
  <c r="B440" i="164"/>
  <c r="BH439" i="164"/>
  <c r="O439" i="164"/>
  <c r="M439" i="164"/>
  <c r="B439" i="164"/>
  <c r="BH438" i="164"/>
  <c r="O438" i="164"/>
  <c r="M438" i="164"/>
  <c r="B438" i="164"/>
  <c r="BH437" i="164"/>
  <c r="O437" i="164"/>
  <c r="M437" i="164"/>
  <c r="B437" i="164"/>
  <c r="BH436" i="164"/>
  <c r="O436" i="164"/>
  <c r="M436" i="164"/>
  <c r="B436" i="164"/>
  <c r="BH435" i="164"/>
  <c r="O435" i="164"/>
  <c r="M435" i="164"/>
  <c r="B435" i="164"/>
  <c r="BH434" i="164"/>
  <c r="O434" i="164"/>
  <c r="M434" i="164"/>
  <c r="B434" i="164"/>
  <c r="BH433" i="164"/>
  <c r="O433" i="164"/>
  <c r="M433" i="164"/>
  <c r="B433" i="164"/>
  <c r="BH432" i="164"/>
  <c r="O432" i="164"/>
  <c r="M432" i="164"/>
  <c r="B432" i="164"/>
  <c r="BH431" i="164"/>
  <c r="O431" i="164"/>
  <c r="M431" i="164"/>
  <c r="B431" i="164"/>
  <c r="BH430" i="164"/>
  <c r="O430" i="164"/>
  <c r="M430" i="164"/>
  <c r="B430" i="164"/>
  <c r="BH429" i="164"/>
  <c r="O429" i="164"/>
  <c r="M429" i="164"/>
  <c r="B429" i="164"/>
  <c r="BH428" i="164"/>
  <c r="O428" i="164"/>
  <c r="M428" i="164"/>
  <c r="B428" i="164"/>
  <c r="BH427" i="164"/>
  <c r="O427" i="164"/>
  <c r="M427" i="164"/>
  <c r="B427" i="164"/>
  <c r="BH426" i="164"/>
  <c r="O426" i="164"/>
  <c r="M426" i="164"/>
  <c r="B426" i="164"/>
  <c r="BH425" i="164"/>
  <c r="O425" i="164"/>
  <c r="M425" i="164"/>
  <c r="B425" i="164"/>
  <c r="BH424" i="164"/>
  <c r="O424" i="164"/>
  <c r="M424" i="164"/>
  <c r="B424" i="164"/>
  <c r="BH423" i="164"/>
  <c r="O423" i="164"/>
  <c r="M423" i="164"/>
  <c r="B423" i="164"/>
  <c r="BH422" i="164"/>
  <c r="O422" i="164"/>
  <c r="M422" i="164"/>
  <c r="B422" i="164"/>
  <c r="BH421" i="164"/>
  <c r="O421" i="164"/>
  <c r="M421" i="164"/>
  <c r="B421" i="164"/>
  <c r="BH420" i="164"/>
  <c r="O420" i="164"/>
  <c r="M420" i="164"/>
  <c r="B420" i="164"/>
  <c r="BH419" i="164"/>
  <c r="O419" i="164"/>
  <c r="M419" i="164"/>
  <c r="B419" i="164"/>
  <c r="BH418" i="164"/>
  <c r="O418" i="164"/>
  <c r="M418" i="164"/>
  <c r="B418" i="164"/>
  <c r="BH417" i="164"/>
  <c r="O417" i="164"/>
  <c r="M417" i="164"/>
  <c r="B417" i="164"/>
  <c r="BH416" i="164"/>
  <c r="O416" i="164"/>
  <c r="M416" i="164"/>
  <c r="B416" i="164"/>
  <c r="BH415" i="164"/>
  <c r="O415" i="164"/>
  <c r="M415" i="164"/>
  <c r="B415" i="164"/>
  <c r="BH414" i="164"/>
  <c r="O414" i="164"/>
  <c r="M414" i="164"/>
  <c r="B414" i="164"/>
  <c r="BH413" i="164"/>
  <c r="O413" i="164"/>
  <c r="M413" i="164"/>
  <c r="B413" i="164"/>
  <c r="BH412" i="164"/>
  <c r="O412" i="164"/>
  <c r="M412" i="164"/>
  <c r="B412" i="164"/>
  <c r="BH411" i="164"/>
  <c r="O411" i="164"/>
  <c r="M411" i="164"/>
  <c r="B411" i="164"/>
  <c r="BH410" i="164"/>
  <c r="O410" i="164"/>
  <c r="M410" i="164"/>
  <c r="B410" i="164"/>
  <c r="BH409" i="164"/>
  <c r="O409" i="164"/>
  <c r="M409" i="164"/>
  <c r="B409" i="164"/>
  <c r="BH408" i="164"/>
  <c r="O408" i="164"/>
  <c r="M408" i="164"/>
  <c r="B408" i="164"/>
  <c r="BH407" i="164"/>
  <c r="O407" i="164"/>
  <c r="M407" i="164"/>
  <c r="B407" i="164"/>
  <c r="BH406" i="164"/>
  <c r="O406" i="164"/>
  <c r="M406" i="164"/>
  <c r="B406" i="164"/>
  <c r="BK406" i="164" s="1"/>
  <c r="BH405" i="164"/>
  <c r="O405" i="164"/>
  <c r="M405" i="164"/>
  <c r="B405" i="164"/>
  <c r="BH404" i="164"/>
  <c r="O404" i="164"/>
  <c r="M404" i="164"/>
  <c r="B404" i="164"/>
  <c r="BH403" i="164"/>
  <c r="O403" i="164"/>
  <c r="M403" i="164"/>
  <c r="B403" i="164"/>
  <c r="BH402" i="164"/>
  <c r="O402" i="164"/>
  <c r="M402" i="164"/>
  <c r="B402" i="164"/>
  <c r="BH401" i="164"/>
  <c r="O401" i="164"/>
  <c r="M401" i="164"/>
  <c r="B401" i="164"/>
  <c r="BH400" i="164"/>
  <c r="O400" i="164"/>
  <c r="M400" i="164"/>
  <c r="B400" i="164"/>
  <c r="BK400" i="164" s="1"/>
  <c r="BH399" i="164"/>
  <c r="O399" i="164"/>
  <c r="M399" i="164"/>
  <c r="B399" i="164"/>
  <c r="BH398" i="164"/>
  <c r="O398" i="164"/>
  <c r="M398" i="164"/>
  <c r="B398" i="164"/>
  <c r="BH397" i="164"/>
  <c r="O397" i="164"/>
  <c r="M397" i="164"/>
  <c r="B397" i="164"/>
  <c r="BH396" i="164"/>
  <c r="O396" i="164"/>
  <c r="M396" i="164"/>
  <c r="B396" i="164"/>
  <c r="BH395" i="164"/>
  <c r="O395" i="164"/>
  <c r="M395" i="164"/>
  <c r="B395" i="164"/>
  <c r="BH394" i="164"/>
  <c r="O394" i="164"/>
  <c r="M394" i="164"/>
  <c r="B394" i="164"/>
  <c r="BK394" i="164" s="1"/>
  <c r="BH393" i="164"/>
  <c r="O393" i="164"/>
  <c r="M393" i="164"/>
  <c r="B393" i="164"/>
  <c r="BH392" i="164"/>
  <c r="O392" i="164"/>
  <c r="M392" i="164"/>
  <c r="B392" i="164"/>
  <c r="BK392" i="164" s="1"/>
  <c r="BH391" i="164"/>
  <c r="O391" i="164"/>
  <c r="M391" i="164"/>
  <c r="B391" i="164"/>
  <c r="BH390" i="164"/>
  <c r="O390" i="164"/>
  <c r="M390" i="164"/>
  <c r="B390" i="164"/>
  <c r="BH389" i="164"/>
  <c r="O389" i="164"/>
  <c r="M389" i="164"/>
  <c r="B389" i="164"/>
  <c r="BH388" i="164"/>
  <c r="O388" i="164"/>
  <c r="M388" i="164"/>
  <c r="B388" i="164"/>
  <c r="BH387" i="164"/>
  <c r="O387" i="164"/>
  <c r="M387" i="164"/>
  <c r="B387" i="164"/>
  <c r="BK387" i="164" s="1"/>
  <c r="BH386" i="164"/>
  <c r="O386" i="164"/>
  <c r="M386" i="164"/>
  <c r="B386" i="164"/>
  <c r="BH385" i="164"/>
  <c r="O385" i="164"/>
  <c r="M385" i="164"/>
  <c r="B385" i="164"/>
  <c r="BH384" i="164"/>
  <c r="O384" i="164"/>
  <c r="M384" i="164"/>
  <c r="B384" i="164"/>
  <c r="BH383" i="164"/>
  <c r="O383" i="164"/>
  <c r="M383" i="164"/>
  <c r="B383" i="164"/>
  <c r="BH382" i="164"/>
  <c r="O382" i="164"/>
  <c r="M382" i="164"/>
  <c r="B382" i="164"/>
  <c r="BH381" i="164"/>
  <c r="O381" i="164"/>
  <c r="M381" i="164"/>
  <c r="B381" i="164"/>
  <c r="BH380" i="164"/>
  <c r="O380" i="164"/>
  <c r="M380" i="164"/>
  <c r="B380" i="164"/>
  <c r="BH379" i="164"/>
  <c r="O379" i="164"/>
  <c r="M379" i="164"/>
  <c r="B379" i="164"/>
  <c r="BK379" i="164" s="1"/>
  <c r="BH378" i="164"/>
  <c r="O378" i="164"/>
  <c r="M378" i="164"/>
  <c r="B378" i="164"/>
  <c r="BH377" i="164"/>
  <c r="O377" i="164"/>
  <c r="M377" i="164"/>
  <c r="B377" i="164"/>
  <c r="BH376" i="164"/>
  <c r="O376" i="164"/>
  <c r="M376" i="164"/>
  <c r="B376" i="164"/>
  <c r="BH375" i="164"/>
  <c r="O375" i="164"/>
  <c r="M375" i="164"/>
  <c r="B375" i="164"/>
  <c r="BH374" i="164"/>
  <c r="O374" i="164"/>
  <c r="M374" i="164"/>
  <c r="B374" i="164"/>
  <c r="BK374" i="164" s="1"/>
  <c r="BH373" i="164"/>
  <c r="M373" i="164"/>
  <c r="B373" i="164"/>
  <c r="BH372" i="164"/>
  <c r="O372" i="164"/>
  <c r="M372" i="164"/>
  <c r="B372" i="164"/>
  <c r="BH371" i="164"/>
  <c r="O371" i="164"/>
  <c r="M371" i="164"/>
  <c r="B371" i="164"/>
  <c r="BH370" i="164"/>
  <c r="O370" i="164"/>
  <c r="M370" i="164"/>
  <c r="B370" i="164"/>
  <c r="BH369" i="164"/>
  <c r="O369" i="164"/>
  <c r="M369" i="164"/>
  <c r="B369" i="164"/>
  <c r="BH368" i="164"/>
  <c r="O368" i="164"/>
  <c r="M368" i="164"/>
  <c r="B368" i="164"/>
  <c r="BH367" i="164"/>
  <c r="O367" i="164"/>
  <c r="M367" i="164"/>
  <c r="B367" i="164"/>
  <c r="BH366" i="164"/>
  <c r="O366" i="164"/>
  <c r="M366" i="164"/>
  <c r="B366" i="164"/>
  <c r="BH365" i="164"/>
  <c r="O365" i="164"/>
  <c r="M365" i="164"/>
  <c r="B365" i="164"/>
  <c r="BH364" i="164"/>
  <c r="O364" i="164"/>
  <c r="M364" i="164"/>
  <c r="B364" i="164"/>
  <c r="BH363" i="164"/>
  <c r="O363" i="164"/>
  <c r="M363" i="164"/>
  <c r="B363" i="164"/>
  <c r="BH362" i="164"/>
  <c r="O362" i="164"/>
  <c r="M362" i="164"/>
  <c r="B362" i="164"/>
  <c r="BH361" i="164"/>
  <c r="O361" i="164"/>
  <c r="M361" i="164"/>
  <c r="B361" i="164"/>
  <c r="BH360" i="164"/>
  <c r="O360" i="164"/>
  <c r="M360" i="164"/>
  <c r="B360" i="164"/>
  <c r="BH359" i="164"/>
  <c r="O359" i="164"/>
  <c r="M359" i="164"/>
  <c r="B359" i="164"/>
  <c r="BH358" i="164"/>
  <c r="O358" i="164"/>
  <c r="M358" i="164"/>
  <c r="B358" i="164"/>
  <c r="BH357" i="164"/>
  <c r="O357" i="164"/>
  <c r="M357" i="164"/>
  <c r="B357" i="164"/>
  <c r="BH356" i="164"/>
  <c r="O356" i="164"/>
  <c r="M356" i="164"/>
  <c r="B356" i="164"/>
  <c r="BH355" i="164"/>
  <c r="O355" i="164"/>
  <c r="M355" i="164"/>
  <c r="B355" i="164"/>
  <c r="BH354" i="164"/>
  <c r="O354" i="164"/>
  <c r="M354" i="164"/>
  <c r="B354" i="164"/>
  <c r="BH353" i="164"/>
  <c r="O353" i="164"/>
  <c r="M353" i="164"/>
  <c r="B353" i="164"/>
  <c r="BH352" i="164"/>
  <c r="O352" i="164"/>
  <c r="M352" i="164"/>
  <c r="B352" i="164"/>
  <c r="BH351" i="164"/>
  <c r="O351" i="164"/>
  <c r="M351" i="164"/>
  <c r="B351" i="164"/>
  <c r="BH350" i="164"/>
  <c r="O350" i="164"/>
  <c r="M350" i="164"/>
  <c r="B350" i="164"/>
  <c r="BH349" i="164"/>
  <c r="O349" i="164"/>
  <c r="M349" i="164"/>
  <c r="B349" i="164"/>
  <c r="BH348" i="164"/>
  <c r="O348" i="164"/>
  <c r="M348" i="164"/>
  <c r="B348" i="164"/>
  <c r="BH347" i="164"/>
  <c r="O347" i="164"/>
  <c r="M347" i="164"/>
  <c r="B347" i="164"/>
  <c r="BH346" i="164"/>
  <c r="O346" i="164"/>
  <c r="M346" i="164"/>
  <c r="B346" i="164"/>
  <c r="BH345" i="164"/>
  <c r="M345" i="164"/>
  <c r="B345" i="164"/>
  <c r="BH344" i="164"/>
  <c r="O344" i="164"/>
  <c r="M344" i="164"/>
  <c r="B344" i="164"/>
  <c r="BH343" i="164"/>
  <c r="O343" i="164"/>
  <c r="M343" i="164"/>
  <c r="B343" i="164"/>
  <c r="BK343" i="164" s="1"/>
  <c r="BH342" i="164"/>
  <c r="O342" i="164"/>
  <c r="M342" i="164"/>
  <c r="B342" i="164"/>
  <c r="BH341" i="164"/>
  <c r="O341" i="164"/>
  <c r="M341" i="164"/>
  <c r="B341" i="164"/>
  <c r="BK341" i="164" s="1"/>
  <c r="BH340" i="164"/>
  <c r="O340" i="164"/>
  <c r="M340" i="164"/>
  <c r="B340" i="164"/>
  <c r="BH339" i="164"/>
  <c r="O339" i="164"/>
  <c r="M339" i="164"/>
  <c r="B339" i="164"/>
  <c r="BK339" i="164" s="1"/>
  <c r="BH338" i="164"/>
  <c r="O338" i="164"/>
  <c r="N338" i="164"/>
  <c r="M338" i="164"/>
  <c r="B338" i="164"/>
  <c r="BH337" i="164"/>
  <c r="O337" i="164"/>
  <c r="M337" i="164"/>
  <c r="B337" i="164"/>
  <c r="BH336" i="164"/>
  <c r="O336" i="164"/>
  <c r="N336" i="164"/>
  <c r="M336" i="164"/>
  <c r="B336" i="164"/>
  <c r="BH335" i="164"/>
  <c r="O335" i="164"/>
  <c r="M335" i="164"/>
  <c r="B335" i="164"/>
  <c r="BH334" i="164"/>
  <c r="O334" i="164"/>
  <c r="M334" i="164"/>
  <c r="B334" i="164"/>
  <c r="BH333" i="164"/>
  <c r="O333" i="164"/>
  <c r="M333" i="164"/>
  <c r="B333" i="164"/>
  <c r="BH332" i="164"/>
  <c r="O332" i="164"/>
  <c r="M332" i="164"/>
  <c r="B332" i="164"/>
  <c r="BH331" i="164"/>
  <c r="O331" i="164"/>
  <c r="M331" i="164"/>
  <c r="B331" i="164"/>
  <c r="BK331" i="164" s="1"/>
  <c r="BH330" i="164"/>
  <c r="O330" i="164"/>
  <c r="M330" i="164"/>
  <c r="B330" i="164"/>
  <c r="BH329" i="164"/>
  <c r="O329" i="164"/>
  <c r="M329" i="164"/>
  <c r="B329" i="164"/>
  <c r="BH328" i="164"/>
  <c r="O328" i="164"/>
  <c r="M328" i="164"/>
  <c r="B328" i="164"/>
  <c r="BK328" i="164" s="1"/>
  <c r="BH327" i="164"/>
  <c r="O327" i="164"/>
  <c r="M327" i="164"/>
  <c r="B327" i="164"/>
  <c r="BH326" i="164"/>
  <c r="O326" i="164"/>
  <c r="M326" i="164"/>
  <c r="B326" i="164"/>
  <c r="BH325" i="164"/>
  <c r="O325" i="164"/>
  <c r="M325" i="164"/>
  <c r="B325" i="164"/>
  <c r="BH324" i="164"/>
  <c r="O324" i="164"/>
  <c r="M324" i="164"/>
  <c r="B324" i="164"/>
  <c r="BH323" i="164"/>
  <c r="O323" i="164"/>
  <c r="M323" i="164"/>
  <c r="B323" i="164"/>
  <c r="BK323" i="164" s="1"/>
  <c r="BH322" i="164"/>
  <c r="O322" i="164"/>
  <c r="M322" i="164"/>
  <c r="B322" i="164"/>
  <c r="BH321" i="164"/>
  <c r="O321" i="164"/>
  <c r="M321" i="164"/>
  <c r="B321" i="164"/>
  <c r="BH320" i="164"/>
  <c r="O320" i="164"/>
  <c r="M320" i="164"/>
  <c r="B320" i="164"/>
  <c r="BH319" i="164"/>
  <c r="O319" i="164"/>
  <c r="M319" i="164"/>
  <c r="B319" i="164"/>
  <c r="BK319" i="164" s="1"/>
  <c r="BH318" i="164"/>
  <c r="O318" i="164"/>
  <c r="M318" i="164"/>
  <c r="B318" i="164"/>
  <c r="BH317" i="164"/>
  <c r="M317" i="164"/>
  <c r="B317" i="164"/>
  <c r="BH316" i="164"/>
  <c r="M316" i="164"/>
  <c r="B316" i="164"/>
  <c r="BH315" i="164"/>
  <c r="O315" i="164"/>
  <c r="M315" i="164"/>
  <c r="B315" i="164"/>
  <c r="BH314" i="164"/>
  <c r="O314" i="164"/>
  <c r="M314" i="164"/>
  <c r="B314" i="164"/>
  <c r="BH313" i="164"/>
  <c r="O313" i="164"/>
  <c r="M313" i="164"/>
  <c r="B313" i="164"/>
  <c r="BH312" i="164"/>
  <c r="O312" i="164"/>
  <c r="M312" i="164"/>
  <c r="B312" i="164"/>
  <c r="BH311" i="164"/>
  <c r="O311" i="164"/>
  <c r="M311" i="164"/>
  <c r="B311" i="164"/>
  <c r="BK311" i="164" s="1"/>
  <c r="BH310" i="164"/>
  <c r="O310" i="164"/>
  <c r="M310" i="164"/>
  <c r="B310" i="164"/>
  <c r="BH309" i="164"/>
  <c r="O309" i="164"/>
  <c r="M309" i="164"/>
  <c r="B309" i="164"/>
  <c r="BH308" i="164"/>
  <c r="O308" i="164"/>
  <c r="M308" i="164"/>
  <c r="B308" i="164"/>
  <c r="BH307" i="164"/>
  <c r="O307" i="164"/>
  <c r="M307" i="164"/>
  <c r="B307" i="164"/>
  <c r="BH306" i="164"/>
  <c r="O306" i="164"/>
  <c r="M306" i="164"/>
  <c r="B306" i="164"/>
  <c r="BH305" i="164"/>
  <c r="O305" i="164"/>
  <c r="M305" i="164"/>
  <c r="B305" i="164"/>
  <c r="BH304" i="164"/>
  <c r="O304" i="164"/>
  <c r="M304" i="164"/>
  <c r="B304" i="164"/>
  <c r="BH303" i="164"/>
  <c r="O303" i="164"/>
  <c r="M303" i="164"/>
  <c r="B303" i="164"/>
  <c r="BH302" i="164"/>
  <c r="O302" i="164"/>
  <c r="N302" i="164"/>
  <c r="M302" i="164"/>
  <c r="B302" i="164"/>
  <c r="BK302" i="164" s="1"/>
  <c r="BH301" i="164"/>
  <c r="M301" i="164"/>
  <c r="B301" i="164"/>
  <c r="BH300" i="164"/>
  <c r="O300" i="164"/>
  <c r="M300" i="164"/>
  <c r="B300" i="164"/>
  <c r="BH299" i="164"/>
  <c r="O299" i="164"/>
  <c r="M299" i="164"/>
  <c r="B299" i="164"/>
  <c r="BH298" i="164"/>
  <c r="O298" i="164"/>
  <c r="M298" i="164"/>
  <c r="B298" i="164"/>
  <c r="BH297" i="164"/>
  <c r="O297" i="164"/>
  <c r="M297" i="164"/>
  <c r="B297" i="164"/>
  <c r="BH296" i="164"/>
  <c r="O296" i="164"/>
  <c r="M296" i="164"/>
  <c r="B296" i="164"/>
  <c r="BH295" i="164"/>
  <c r="O295" i="164"/>
  <c r="M295" i="164"/>
  <c r="B295" i="164"/>
  <c r="BH294" i="164"/>
  <c r="O294" i="164"/>
  <c r="M294" i="164"/>
  <c r="B294" i="164"/>
  <c r="BH293" i="164"/>
  <c r="O293" i="164"/>
  <c r="M293" i="164"/>
  <c r="B293" i="164"/>
  <c r="BH292" i="164"/>
  <c r="O292" i="164"/>
  <c r="M292" i="164"/>
  <c r="B292" i="164"/>
  <c r="BH291" i="164"/>
  <c r="O291" i="164"/>
  <c r="M291" i="164"/>
  <c r="B291" i="164"/>
  <c r="BH290" i="164"/>
  <c r="O290" i="164"/>
  <c r="M290" i="164"/>
  <c r="B290" i="164"/>
  <c r="BH289" i="164"/>
  <c r="O289" i="164"/>
  <c r="M289" i="164"/>
  <c r="B289" i="164"/>
  <c r="BH288" i="164"/>
  <c r="O288" i="164"/>
  <c r="M288" i="164"/>
  <c r="B288" i="164"/>
  <c r="BH287" i="164"/>
  <c r="O287" i="164"/>
  <c r="M287" i="164"/>
  <c r="B287" i="164"/>
  <c r="BH286" i="164"/>
  <c r="O286" i="164"/>
  <c r="M286" i="164"/>
  <c r="B286" i="164"/>
  <c r="BH285" i="164"/>
  <c r="O285" i="164"/>
  <c r="M285" i="164"/>
  <c r="B285" i="164"/>
  <c r="BH284" i="164"/>
  <c r="O284" i="164"/>
  <c r="M284" i="164"/>
  <c r="B284" i="164"/>
  <c r="BH283" i="164"/>
  <c r="O283" i="164"/>
  <c r="M283" i="164"/>
  <c r="B283" i="164"/>
  <c r="BK283" i="164" s="1"/>
  <c r="BH282" i="164"/>
  <c r="O282" i="164"/>
  <c r="M282" i="164"/>
  <c r="B282" i="164"/>
  <c r="BK282" i="164" s="1"/>
  <c r="BH281" i="164"/>
  <c r="O281" i="164"/>
  <c r="M281" i="164"/>
  <c r="B281" i="164"/>
  <c r="BH280" i="164"/>
  <c r="O280" i="164"/>
  <c r="M280" i="164"/>
  <c r="B280" i="164"/>
  <c r="BH279" i="164"/>
  <c r="O279" i="164"/>
  <c r="M279" i="164"/>
  <c r="B279" i="164"/>
  <c r="BH278" i="164"/>
  <c r="O278" i="164"/>
  <c r="M278" i="164"/>
  <c r="B278" i="164"/>
  <c r="BH277" i="164"/>
  <c r="O277" i="164"/>
  <c r="M277" i="164"/>
  <c r="B277" i="164"/>
  <c r="BH276" i="164"/>
  <c r="O276" i="164"/>
  <c r="M276" i="164"/>
  <c r="B276" i="164"/>
  <c r="BH275" i="164"/>
  <c r="O275" i="164"/>
  <c r="M275" i="164"/>
  <c r="B275" i="164"/>
  <c r="BH274" i="164"/>
  <c r="O274" i="164"/>
  <c r="M274" i="164"/>
  <c r="B274" i="164"/>
  <c r="BH273" i="164"/>
  <c r="O273" i="164"/>
  <c r="M273" i="164"/>
  <c r="B273" i="164"/>
  <c r="BH272" i="164"/>
  <c r="O272" i="164"/>
  <c r="M272" i="164"/>
  <c r="B272" i="164"/>
  <c r="BH271" i="164"/>
  <c r="O271" i="164"/>
  <c r="M271" i="164"/>
  <c r="B271" i="164"/>
  <c r="BH270" i="164"/>
  <c r="O270" i="164"/>
  <c r="M270" i="164"/>
  <c r="B270" i="164"/>
  <c r="BK270" i="164" s="1"/>
  <c r="BH269" i="164"/>
  <c r="O269" i="164"/>
  <c r="M269" i="164"/>
  <c r="B269" i="164"/>
  <c r="BH268" i="164"/>
  <c r="O268" i="164"/>
  <c r="M268" i="164"/>
  <c r="B268" i="164"/>
  <c r="BH267" i="164"/>
  <c r="O267" i="164"/>
  <c r="M267" i="164"/>
  <c r="B267" i="164"/>
  <c r="BH266" i="164"/>
  <c r="O266" i="164"/>
  <c r="M266" i="164"/>
  <c r="B266" i="164"/>
  <c r="BH265" i="164"/>
  <c r="O265" i="164"/>
  <c r="M265" i="164"/>
  <c r="B265" i="164"/>
  <c r="BH264" i="164"/>
  <c r="O264" i="164"/>
  <c r="M264" i="164"/>
  <c r="B264" i="164"/>
  <c r="BH263" i="164"/>
  <c r="O263" i="164"/>
  <c r="N263" i="164"/>
  <c r="M263" i="164"/>
  <c r="B263" i="164"/>
  <c r="BK263" i="164" s="1"/>
  <c r="BH262" i="164"/>
  <c r="O262" i="164"/>
  <c r="M262" i="164"/>
  <c r="B262" i="164"/>
  <c r="BH261" i="164"/>
  <c r="O261" i="164"/>
  <c r="M261" i="164"/>
  <c r="B261" i="164"/>
  <c r="BH260" i="164"/>
  <c r="O260" i="164"/>
  <c r="M260" i="164"/>
  <c r="B260" i="164"/>
  <c r="BH259" i="164"/>
  <c r="O259" i="164"/>
  <c r="M259" i="164"/>
  <c r="B259" i="164"/>
  <c r="BH258" i="164"/>
  <c r="O258" i="164"/>
  <c r="M258" i="164"/>
  <c r="B258" i="164"/>
  <c r="BH257" i="164"/>
  <c r="O257" i="164"/>
  <c r="M257" i="164"/>
  <c r="B257" i="164"/>
  <c r="BH256" i="164"/>
  <c r="O256" i="164"/>
  <c r="M256" i="164"/>
  <c r="B256" i="164"/>
  <c r="BH255" i="164"/>
  <c r="O255" i="164"/>
  <c r="M255" i="164"/>
  <c r="B255" i="164"/>
  <c r="BH254" i="164"/>
  <c r="M254" i="164"/>
  <c r="B254" i="164"/>
  <c r="BH253" i="164"/>
  <c r="O253" i="164"/>
  <c r="M253" i="164"/>
  <c r="B253" i="164"/>
  <c r="BK253" i="164" s="1"/>
  <c r="BH252" i="164"/>
  <c r="O252" i="164"/>
  <c r="M252" i="164"/>
  <c r="B252" i="164"/>
  <c r="BH251" i="164"/>
  <c r="O251" i="164"/>
  <c r="M251" i="164"/>
  <c r="B251" i="164"/>
  <c r="BH250" i="164"/>
  <c r="O250" i="164"/>
  <c r="M250" i="164"/>
  <c r="B250" i="164"/>
  <c r="BK250" i="164" s="1"/>
  <c r="BH249" i="164"/>
  <c r="O249" i="164"/>
  <c r="M249" i="164"/>
  <c r="B249" i="164"/>
  <c r="BK249" i="164" s="1"/>
  <c r="BH248" i="164"/>
  <c r="O248" i="164"/>
  <c r="M248" i="164"/>
  <c r="B248" i="164"/>
  <c r="BK248" i="164" s="1"/>
  <c r="BH247" i="164"/>
  <c r="O247" i="164"/>
  <c r="N247" i="164"/>
  <c r="M247" i="164"/>
  <c r="B247" i="164"/>
  <c r="BH246" i="164"/>
  <c r="O246" i="164"/>
  <c r="M246" i="164"/>
  <c r="B246" i="164"/>
  <c r="BK246" i="164" s="1"/>
  <c r="BH245" i="164"/>
  <c r="O245" i="164"/>
  <c r="M245" i="164"/>
  <c r="B245" i="164"/>
  <c r="BK245" i="164" s="1"/>
  <c r="BH244" i="164"/>
  <c r="O244" i="164"/>
  <c r="N244" i="164"/>
  <c r="M244" i="164"/>
  <c r="B244" i="164"/>
  <c r="BH243" i="164"/>
  <c r="O243" i="164"/>
  <c r="M243" i="164"/>
  <c r="B243" i="164"/>
  <c r="BH242" i="164"/>
  <c r="O242" i="164"/>
  <c r="M242" i="164"/>
  <c r="B242" i="164"/>
  <c r="BH241" i="164"/>
  <c r="M241" i="164"/>
  <c r="B241" i="164"/>
  <c r="BK241" i="164" s="1"/>
  <c r="BH240" i="164"/>
  <c r="O240" i="164"/>
  <c r="M240" i="164"/>
  <c r="B240" i="164"/>
  <c r="BH239" i="164"/>
  <c r="O239" i="164"/>
  <c r="M239" i="164"/>
  <c r="B239" i="164"/>
  <c r="BH238" i="164"/>
  <c r="O238" i="164"/>
  <c r="M238" i="164"/>
  <c r="B238" i="164"/>
  <c r="BH237" i="164"/>
  <c r="O237" i="164"/>
  <c r="M237" i="164"/>
  <c r="B237" i="164"/>
  <c r="BH236" i="164"/>
  <c r="O236" i="164"/>
  <c r="M236" i="164"/>
  <c r="B236" i="164"/>
  <c r="BH235" i="164"/>
  <c r="O235" i="164"/>
  <c r="N235" i="164"/>
  <c r="M235" i="164"/>
  <c r="B235" i="164"/>
  <c r="BH234" i="164"/>
  <c r="O234" i="164"/>
  <c r="M234" i="164"/>
  <c r="B234" i="164"/>
  <c r="BH233" i="164"/>
  <c r="O233" i="164"/>
  <c r="M233" i="164"/>
  <c r="B233" i="164"/>
  <c r="BH232" i="164"/>
  <c r="O232" i="164"/>
  <c r="M232" i="164"/>
  <c r="B232" i="164"/>
  <c r="BH231" i="164"/>
  <c r="O231" i="164"/>
  <c r="N231" i="164"/>
  <c r="M231" i="164"/>
  <c r="B231" i="164"/>
  <c r="BH230" i="164"/>
  <c r="O230" i="164"/>
  <c r="N230" i="164"/>
  <c r="M230" i="164"/>
  <c r="B230" i="164"/>
  <c r="BH229" i="164"/>
  <c r="O229" i="164"/>
  <c r="M229" i="164"/>
  <c r="B229" i="164"/>
  <c r="BH228" i="164"/>
  <c r="O228" i="164"/>
  <c r="M228" i="164"/>
  <c r="B228" i="164"/>
  <c r="BH227" i="164"/>
  <c r="O227" i="164"/>
  <c r="M227" i="164"/>
  <c r="B227" i="164"/>
  <c r="BH226" i="164"/>
  <c r="O226" i="164"/>
  <c r="M226" i="164"/>
  <c r="B226" i="164"/>
  <c r="BH225" i="164"/>
  <c r="M225" i="164"/>
  <c r="B225" i="164"/>
  <c r="BH224" i="164"/>
  <c r="O224" i="164"/>
  <c r="M224" i="164"/>
  <c r="B224" i="164"/>
  <c r="BH223" i="164"/>
  <c r="O223" i="164"/>
  <c r="M223" i="164"/>
  <c r="B223" i="164"/>
  <c r="BH222" i="164"/>
  <c r="O222" i="164"/>
  <c r="N222" i="164"/>
  <c r="M222" i="164"/>
  <c r="B222" i="164"/>
  <c r="BH221" i="164"/>
  <c r="O221" i="164"/>
  <c r="M221" i="164"/>
  <c r="B221" i="164"/>
  <c r="BH220" i="164"/>
  <c r="O220" i="164"/>
  <c r="N220" i="164"/>
  <c r="M220" i="164"/>
  <c r="B220" i="164"/>
  <c r="BH219" i="164"/>
  <c r="O219" i="164"/>
  <c r="N219" i="164"/>
  <c r="M219" i="164"/>
  <c r="B219" i="164"/>
  <c r="BH218" i="164"/>
  <c r="O218" i="164"/>
  <c r="M218" i="164"/>
  <c r="B218" i="164"/>
  <c r="BH217" i="164"/>
  <c r="O217" i="164"/>
  <c r="M217" i="164"/>
  <c r="B217" i="164"/>
  <c r="BH216" i="164"/>
  <c r="O216" i="164"/>
  <c r="M216" i="164"/>
  <c r="B216" i="164"/>
  <c r="BH215" i="164"/>
  <c r="O215" i="164"/>
  <c r="M215" i="164"/>
  <c r="B215" i="164"/>
  <c r="BH214" i="164"/>
  <c r="O214" i="164"/>
  <c r="M214" i="164"/>
  <c r="B214" i="164"/>
  <c r="BH213" i="164"/>
  <c r="O213" i="164"/>
  <c r="N213" i="164"/>
  <c r="M213" i="164"/>
  <c r="B213" i="164"/>
  <c r="BH212" i="164"/>
  <c r="O212" i="164"/>
  <c r="M212" i="164"/>
  <c r="B212" i="164"/>
  <c r="BK212" i="164" s="1"/>
  <c r="BH211" i="164"/>
  <c r="O211" i="164"/>
  <c r="M211" i="164"/>
  <c r="B211" i="164"/>
  <c r="BH210" i="164"/>
  <c r="O210" i="164"/>
  <c r="M210" i="164"/>
  <c r="B210" i="164"/>
  <c r="BH209" i="164"/>
  <c r="O209" i="164"/>
  <c r="M209" i="164"/>
  <c r="B209" i="164"/>
  <c r="BH208" i="164"/>
  <c r="O208" i="164"/>
  <c r="M208" i="164"/>
  <c r="B208" i="164"/>
  <c r="BH207" i="164"/>
  <c r="O207" i="164"/>
  <c r="M207" i="164"/>
  <c r="B207" i="164"/>
  <c r="BH206" i="164"/>
  <c r="O206" i="164"/>
  <c r="M206" i="164"/>
  <c r="B206" i="164"/>
  <c r="BH205" i="164"/>
  <c r="O205" i="164"/>
  <c r="M205" i="164"/>
  <c r="B205" i="164"/>
  <c r="BH204" i="164"/>
  <c r="O204" i="164"/>
  <c r="M204" i="164"/>
  <c r="B204" i="164"/>
  <c r="BH203" i="164"/>
  <c r="O203" i="164"/>
  <c r="M203" i="164"/>
  <c r="B203" i="164"/>
  <c r="BH202" i="164"/>
  <c r="O202" i="164"/>
  <c r="M202" i="164"/>
  <c r="B202" i="164"/>
  <c r="BH201" i="164"/>
  <c r="O201" i="164"/>
  <c r="M201" i="164"/>
  <c r="B201" i="164"/>
  <c r="BH200" i="164"/>
  <c r="O200" i="164"/>
  <c r="M200" i="164"/>
  <c r="B200" i="164"/>
  <c r="BH199" i="164"/>
  <c r="O199" i="164"/>
  <c r="M199" i="164"/>
  <c r="B199" i="164"/>
  <c r="BH198" i="164"/>
  <c r="O198" i="164"/>
  <c r="M198" i="164"/>
  <c r="B198" i="164"/>
  <c r="BH197" i="164"/>
  <c r="O197" i="164"/>
  <c r="M197" i="164"/>
  <c r="B197" i="164"/>
  <c r="BH196" i="164"/>
  <c r="O196" i="164"/>
  <c r="M196" i="164"/>
  <c r="B196" i="164"/>
  <c r="BH195" i="164"/>
  <c r="O195" i="164"/>
  <c r="M195" i="164"/>
  <c r="B195" i="164"/>
  <c r="BH194" i="164"/>
  <c r="M194" i="164"/>
  <c r="B194" i="164"/>
  <c r="BH193" i="164"/>
  <c r="M193" i="164"/>
  <c r="B193" i="164"/>
  <c r="BH192" i="164"/>
  <c r="O192" i="164"/>
  <c r="N192" i="164"/>
  <c r="M192" i="164"/>
  <c r="B192" i="164"/>
  <c r="BH191" i="164"/>
  <c r="O191" i="164"/>
  <c r="N191" i="164"/>
  <c r="M191" i="164"/>
  <c r="B191" i="164"/>
  <c r="BH190" i="164"/>
  <c r="O190" i="164"/>
  <c r="N190" i="164"/>
  <c r="M190" i="164"/>
  <c r="B190" i="164"/>
  <c r="BH189" i="164"/>
  <c r="O189" i="164"/>
  <c r="M189" i="164"/>
  <c r="B189" i="164"/>
  <c r="BH188" i="164"/>
  <c r="O188" i="164"/>
  <c r="M188" i="164"/>
  <c r="B188" i="164"/>
  <c r="BK188" i="164" s="1"/>
  <c r="BH187" i="164"/>
  <c r="O187" i="164"/>
  <c r="M187" i="164"/>
  <c r="B187" i="164"/>
  <c r="BK187" i="164" s="1"/>
  <c r="BH186" i="164"/>
  <c r="O186" i="164"/>
  <c r="M186" i="164"/>
  <c r="B186" i="164"/>
  <c r="BH185" i="164"/>
  <c r="O185" i="164"/>
  <c r="M185" i="164"/>
  <c r="B185" i="164"/>
  <c r="BK184" i="164"/>
  <c r="BH184" i="164"/>
  <c r="M184" i="164"/>
  <c r="B184" i="164"/>
  <c r="BH183" i="164"/>
  <c r="O183" i="164"/>
  <c r="M183" i="164"/>
  <c r="B183" i="164"/>
  <c r="BH182" i="164"/>
  <c r="O182" i="164"/>
  <c r="M182" i="164"/>
  <c r="B182" i="164"/>
  <c r="BK182" i="164" s="1"/>
  <c r="BH181" i="164"/>
  <c r="O181" i="164"/>
  <c r="M181" i="164"/>
  <c r="B181" i="164"/>
  <c r="BK181" i="164" s="1"/>
  <c r="BH180" i="164"/>
  <c r="O180" i="164"/>
  <c r="M180" i="164"/>
  <c r="B180" i="164"/>
  <c r="BH179" i="164"/>
  <c r="O179" i="164"/>
  <c r="M179" i="164"/>
  <c r="B179" i="164"/>
  <c r="BH178" i="164"/>
  <c r="O178" i="164"/>
  <c r="M178" i="164"/>
  <c r="B178" i="164"/>
  <c r="BH177" i="164"/>
  <c r="O177" i="164"/>
  <c r="M177" i="164"/>
  <c r="B177" i="164"/>
  <c r="BH176" i="164"/>
  <c r="O176" i="164"/>
  <c r="M176" i="164"/>
  <c r="B176" i="164"/>
  <c r="BH175" i="164"/>
  <c r="O175" i="164"/>
  <c r="M175" i="164"/>
  <c r="B175" i="164"/>
  <c r="BH174" i="164"/>
  <c r="O174" i="164"/>
  <c r="M174" i="164"/>
  <c r="B174" i="164"/>
  <c r="BK174" i="164" s="1"/>
  <c r="BH173" i="164"/>
  <c r="O173" i="164"/>
  <c r="M173" i="164"/>
  <c r="B173" i="164"/>
  <c r="BK173" i="164" s="1"/>
  <c r="BH172" i="164"/>
  <c r="O172" i="164"/>
  <c r="M172" i="164"/>
  <c r="B172" i="164"/>
  <c r="BH171" i="164"/>
  <c r="O171" i="164"/>
  <c r="M171" i="164"/>
  <c r="B171" i="164"/>
  <c r="BK171" i="164" s="1"/>
  <c r="BH170" i="164"/>
  <c r="O170" i="164"/>
  <c r="M170" i="164"/>
  <c r="B170" i="164"/>
  <c r="BH169" i="164"/>
  <c r="O169" i="164"/>
  <c r="M169" i="164"/>
  <c r="B169" i="164"/>
  <c r="BK169" i="164" s="1"/>
  <c r="BH168" i="164"/>
  <c r="O168" i="164"/>
  <c r="M168" i="164"/>
  <c r="B168" i="164"/>
  <c r="BH167" i="164"/>
  <c r="O167" i="164"/>
  <c r="M167" i="164"/>
  <c r="B167" i="164"/>
  <c r="BH166" i="164"/>
  <c r="O166" i="164"/>
  <c r="M166" i="164"/>
  <c r="B166" i="164"/>
  <c r="BH165" i="164"/>
  <c r="O165" i="164"/>
  <c r="M165" i="164"/>
  <c r="B165" i="164"/>
  <c r="BH164" i="164"/>
  <c r="O164" i="164"/>
  <c r="N164" i="164"/>
  <c r="M164" i="164"/>
  <c r="B164" i="164"/>
  <c r="BH163" i="164"/>
  <c r="O163" i="164"/>
  <c r="M163" i="164"/>
  <c r="B163" i="164"/>
  <c r="BH162" i="164"/>
  <c r="O162" i="164"/>
  <c r="M162" i="164"/>
  <c r="B162" i="164"/>
  <c r="BH161" i="164"/>
  <c r="O161" i="164"/>
  <c r="M161" i="164"/>
  <c r="B161" i="164"/>
  <c r="BK161" i="164" s="1"/>
  <c r="BH160" i="164"/>
  <c r="O160" i="164"/>
  <c r="M160" i="164"/>
  <c r="B160" i="164"/>
  <c r="BH159" i="164"/>
  <c r="O159" i="164"/>
  <c r="M159" i="164"/>
  <c r="B159" i="164"/>
  <c r="BH158" i="164"/>
  <c r="O158" i="164"/>
  <c r="N158" i="164"/>
  <c r="M158" i="164"/>
  <c r="B158" i="164"/>
  <c r="BH157" i="164"/>
  <c r="O157" i="164"/>
  <c r="M157" i="164"/>
  <c r="B157" i="164"/>
  <c r="BH156" i="164"/>
  <c r="O156" i="164"/>
  <c r="M156" i="164"/>
  <c r="B156" i="164"/>
  <c r="BH155" i="164"/>
  <c r="O155" i="164"/>
  <c r="M155" i="164"/>
  <c r="B155" i="164"/>
  <c r="BH154" i="164"/>
  <c r="O154" i="164"/>
  <c r="N154" i="164"/>
  <c r="M154" i="164"/>
  <c r="B154" i="164"/>
  <c r="BH153" i="164"/>
  <c r="O153" i="164"/>
  <c r="M153" i="164"/>
  <c r="B153" i="164"/>
  <c r="BH152" i="164"/>
  <c r="O152" i="164"/>
  <c r="M152" i="164"/>
  <c r="B152" i="164"/>
  <c r="BH151" i="164"/>
  <c r="O151" i="164"/>
  <c r="M151" i="164"/>
  <c r="B151" i="164"/>
  <c r="BH150" i="164"/>
  <c r="O150" i="164"/>
  <c r="M150" i="164"/>
  <c r="B150" i="164"/>
  <c r="BH149" i="164"/>
  <c r="O149" i="164"/>
  <c r="M149" i="164"/>
  <c r="B149" i="164"/>
  <c r="BH148" i="164"/>
  <c r="O148" i="164"/>
  <c r="M148" i="164"/>
  <c r="B148" i="164"/>
  <c r="BH147" i="164"/>
  <c r="O147" i="164"/>
  <c r="M147" i="164"/>
  <c r="B147" i="164"/>
  <c r="BH146" i="164"/>
  <c r="O146" i="164"/>
  <c r="M146" i="164"/>
  <c r="B146" i="164"/>
  <c r="BH145" i="164"/>
  <c r="M145" i="164"/>
  <c r="B145" i="164"/>
  <c r="BK145" i="164" s="1"/>
  <c r="BH144" i="164"/>
  <c r="M144" i="164"/>
  <c r="B144" i="164"/>
  <c r="BK144" i="164" s="1"/>
  <c r="BH143" i="164"/>
  <c r="O143" i="164"/>
  <c r="M143" i="164"/>
  <c r="B143" i="164"/>
  <c r="BK143" i="164" s="1"/>
  <c r="BH142" i="164"/>
  <c r="O142" i="164"/>
  <c r="M142" i="164"/>
  <c r="B142" i="164"/>
  <c r="BH141" i="164"/>
  <c r="O141" i="164"/>
  <c r="M141" i="164"/>
  <c r="B141" i="164"/>
  <c r="BH140" i="164"/>
  <c r="M140" i="164"/>
  <c r="B140" i="164"/>
  <c r="BH139" i="164"/>
  <c r="O139" i="164"/>
  <c r="M139" i="164"/>
  <c r="B139" i="164"/>
  <c r="BK139" i="164" s="1"/>
  <c r="BH138" i="164"/>
  <c r="O138" i="164"/>
  <c r="M138" i="164"/>
  <c r="B138" i="164"/>
  <c r="BK138" i="164" s="1"/>
  <c r="BH137" i="164"/>
  <c r="O137" i="164"/>
  <c r="M137" i="164"/>
  <c r="B137" i="164"/>
  <c r="BH136" i="164"/>
  <c r="M136" i="164"/>
  <c r="B136" i="164"/>
  <c r="BH135" i="164"/>
  <c r="O135" i="164"/>
  <c r="M135" i="164"/>
  <c r="B135" i="164"/>
  <c r="BH134" i="164"/>
  <c r="O134" i="164"/>
  <c r="N134" i="164"/>
  <c r="M134" i="164"/>
  <c r="B134" i="164"/>
  <c r="BH133" i="164"/>
  <c r="O133" i="164"/>
  <c r="M133" i="164"/>
  <c r="B133" i="164"/>
  <c r="BK133" i="164" s="1"/>
  <c r="BH132" i="164"/>
  <c r="O132" i="164"/>
  <c r="M132" i="164"/>
  <c r="B132" i="164"/>
  <c r="BH131" i="164"/>
  <c r="O131" i="164"/>
  <c r="M131" i="164"/>
  <c r="B131" i="164"/>
  <c r="BH130" i="164"/>
  <c r="O130" i="164"/>
  <c r="N130" i="164"/>
  <c r="M130" i="164"/>
  <c r="B130" i="164"/>
  <c r="BK130" i="164" s="1"/>
  <c r="BH129" i="164"/>
  <c r="O129" i="164"/>
  <c r="M129" i="164"/>
  <c r="B129" i="164"/>
  <c r="BH128" i="164"/>
  <c r="O128" i="164"/>
  <c r="M128" i="164"/>
  <c r="B128" i="164"/>
  <c r="BH127" i="164"/>
  <c r="O127" i="164"/>
  <c r="M127" i="164"/>
  <c r="B127" i="164"/>
  <c r="BH126" i="164"/>
  <c r="O126" i="164"/>
  <c r="M126" i="164"/>
  <c r="B126" i="164"/>
  <c r="BH125" i="164"/>
  <c r="O125" i="164"/>
  <c r="N125" i="164"/>
  <c r="M125" i="164"/>
  <c r="B125" i="164"/>
  <c r="BH124" i="164"/>
  <c r="O124" i="164"/>
  <c r="M124" i="164"/>
  <c r="B124" i="164"/>
  <c r="BH123" i="164"/>
  <c r="M123" i="164"/>
  <c r="B123" i="164"/>
  <c r="BH122" i="164"/>
  <c r="O122" i="164"/>
  <c r="M122" i="164"/>
  <c r="B122" i="164"/>
  <c r="BH121" i="164"/>
  <c r="O121" i="164"/>
  <c r="M121" i="164"/>
  <c r="B121" i="164"/>
  <c r="BH120" i="164"/>
  <c r="O120" i="164"/>
  <c r="M120" i="164"/>
  <c r="B120" i="164"/>
  <c r="BH119" i="164"/>
  <c r="O119" i="164"/>
  <c r="M119" i="164"/>
  <c r="B119" i="164"/>
  <c r="BH118" i="164"/>
  <c r="O118" i="164"/>
  <c r="M118" i="164"/>
  <c r="B118" i="164"/>
  <c r="BH117" i="164"/>
  <c r="O117" i="164"/>
  <c r="M117" i="164"/>
  <c r="B117" i="164"/>
  <c r="BH116" i="164"/>
  <c r="O116" i="164"/>
  <c r="M116" i="164"/>
  <c r="B116" i="164"/>
  <c r="BH115" i="164"/>
  <c r="O115" i="164"/>
  <c r="M115" i="164"/>
  <c r="B115" i="164"/>
  <c r="BK115" i="164" s="1"/>
  <c r="BH114" i="164"/>
  <c r="O114" i="164"/>
  <c r="M114" i="164"/>
  <c r="B114" i="164"/>
  <c r="BH113" i="164"/>
  <c r="O113" i="164"/>
  <c r="M113" i="164"/>
  <c r="B113" i="164"/>
  <c r="BH112" i="164"/>
  <c r="O112" i="164"/>
  <c r="M112" i="164"/>
  <c r="B112" i="164"/>
  <c r="BH111" i="164"/>
  <c r="O111" i="164"/>
  <c r="M111" i="164"/>
  <c r="B111" i="164"/>
  <c r="BH110" i="164"/>
  <c r="O110" i="164"/>
  <c r="N110" i="164"/>
  <c r="M110" i="164"/>
  <c r="B110" i="164"/>
  <c r="BH109" i="164"/>
  <c r="O109" i="164"/>
  <c r="M109" i="164"/>
  <c r="B109" i="164"/>
  <c r="BH108" i="164"/>
  <c r="O108" i="164"/>
  <c r="M108" i="164"/>
  <c r="B108" i="164"/>
  <c r="BH107" i="164"/>
  <c r="O107" i="164"/>
  <c r="M107" i="164"/>
  <c r="B107" i="164"/>
  <c r="BH106" i="164"/>
  <c r="O106" i="164"/>
  <c r="M106" i="164"/>
  <c r="B106" i="164"/>
  <c r="BH105" i="164"/>
  <c r="O105" i="164"/>
  <c r="N105" i="164"/>
  <c r="M105" i="164"/>
  <c r="B105" i="164"/>
  <c r="BK105" i="164" s="1"/>
  <c r="BH104" i="164"/>
  <c r="O104" i="164"/>
  <c r="M104" i="164"/>
  <c r="B104" i="164"/>
  <c r="BH103" i="164"/>
  <c r="O103" i="164"/>
  <c r="M103" i="164"/>
  <c r="B103" i="164"/>
  <c r="BK103" i="164" s="1"/>
  <c r="BH102" i="164"/>
  <c r="M102" i="164"/>
  <c r="B102" i="164"/>
  <c r="BH101" i="164"/>
  <c r="O101" i="164"/>
  <c r="M101" i="164"/>
  <c r="B101" i="164"/>
  <c r="BH100" i="164"/>
  <c r="O100" i="164"/>
  <c r="M100" i="164"/>
  <c r="B100" i="164"/>
  <c r="BH99" i="164"/>
  <c r="O99" i="164"/>
  <c r="M99" i="164"/>
  <c r="B99" i="164"/>
  <c r="BH98" i="164"/>
  <c r="O98" i="164"/>
  <c r="M98" i="164"/>
  <c r="B98" i="164"/>
  <c r="BH97" i="164"/>
  <c r="O97" i="164"/>
  <c r="M97" i="164"/>
  <c r="B97" i="164"/>
  <c r="BH96" i="164"/>
  <c r="O96" i="164"/>
  <c r="M96" i="164"/>
  <c r="B96" i="164"/>
  <c r="BH95" i="164"/>
  <c r="O95" i="164"/>
  <c r="M95" i="164"/>
  <c r="B95" i="164"/>
  <c r="BH94" i="164"/>
  <c r="O94" i="164"/>
  <c r="M94" i="164"/>
  <c r="B94" i="164"/>
  <c r="BH93" i="164"/>
  <c r="O93" i="164"/>
  <c r="M93" i="164"/>
  <c r="B93" i="164"/>
  <c r="BH92" i="164"/>
  <c r="O92" i="164"/>
  <c r="M92" i="164"/>
  <c r="B92" i="164"/>
  <c r="BH91" i="164"/>
  <c r="O91" i="164"/>
  <c r="M91" i="164"/>
  <c r="B91" i="164"/>
  <c r="BK91" i="164" s="1"/>
  <c r="BH90" i="164"/>
  <c r="O90" i="164"/>
  <c r="M90" i="164"/>
  <c r="B90" i="164"/>
  <c r="BH89" i="164"/>
  <c r="O89" i="164"/>
  <c r="M89" i="164"/>
  <c r="B89" i="164"/>
  <c r="BH88" i="164"/>
  <c r="O88" i="164"/>
  <c r="M88" i="164"/>
  <c r="B88" i="164"/>
  <c r="BH87" i="164"/>
  <c r="O87" i="164"/>
  <c r="M87" i="164"/>
  <c r="B87" i="164"/>
  <c r="BH86" i="164"/>
  <c r="O86" i="164"/>
  <c r="M86" i="164"/>
  <c r="B86" i="164"/>
  <c r="BH85" i="164"/>
  <c r="O85" i="164"/>
  <c r="M85" i="164"/>
  <c r="B85" i="164"/>
  <c r="BH84" i="164"/>
  <c r="O84" i="164"/>
  <c r="M84" i="164"/>
  <c r="B84" i="164"/>
  <c r="BH83" i="164"/>
  <c r="O83" i="164"/>
  <c r="M83" i="164"/>
  <c r="B83" i="164"/>
  <c r="BK83" i="164" s="1"/>
  <c r="BH82" i="164"/>
  <c r="O82" i="164"/>
  <c r="M82" i="164"/>
  <c r="B82" i="164"/>
  <c r="BH81" i="164"/>
  <c r="O81" i="164"/>
  <c r="M81" i="164"/>
  <c r="B81" i="164"/>
  <c r="BH80" i="164"/>
  <c r="O80" i="164"/>
  <c r="M80" i="164"/>
  <c r="B80" i="164"/>
  <c r="BH79" i="164"/>
  <c r="O79" i="164"/>
  <c r="M79" i="164"/>
  <c r="B79" i="164"/>
  <c r="BH78" i="164"/>
  <c r="O78" i="164"/>
  <c r="M78" i="164"/>
  <c r="B78" i="164"/>
  <c r="BH77" i="164"/>
  <c r="O77" i="164"/>
  <c r="M77" i="164"/>
  <c r="B77" i="164"/>
  <c r="BH76" i="164"/>
  <c r="O76" i="164"/>
  <c r="M76" i="164"/>
  <c r="B76" i="164"/>
  <c r="BK76" i="164" s="1"/>
  <c r="BH75" i="164"/>
  <c r="M75" i="164"/>
  <c r="B75" i="164"/>
  <c r="BH74" i="164"/>
  <c r="O74" i="164"/>
  <c r="M74" i="164"/>
  <c r="B74" i="164"/>
  <c r="BH73" i="164"/>
  <c r="O73" i="164"/>
  <c r="M73" i="164"/>
  <c r="B73" i="164"/>
  <c r="BH72" i="164"/>
  <c r="O72" i="164"/>
  <c r="N72" i="164"/>
  <c r="M72" i="164"/>
  <c r="B72" i="164"/>
  <c r="BH71" i="164"/>
  <c r="O71" i="164"/>
  <c r="M71" i="164"/>
  <c r="B71" i="164"/>
  <c r="BH70" i="164"/>
  <c r="O70" i="164"/>
  <c r="M70" i="164"/>
  <c r="B70" i="164"/>
  <c r="BH69" i="164"/>
  <c r="O69" i="164"/>
  <c r="M69" i="164"/>
  <c r="B69" i="164"/>
  <c r="BH68" i="164"/>
  <c r="O68" i="164"/>
  <c r="M68" i="164"/>
  <c r="B68" i="164"/>
  <c r="BH67" i="164"/>
  <c r="O67" i="164"/>
  <c r="M67" i="164"/>
  <c r="B67" i="164"/>
  <c r="BH66" i="164"/>
  <c r="O66" i="164"/>
  <c r="M66" i="164"/>
  <c r="B66" i="164"/>
  <c r="BH65" i="164"/>
  <c r="O65" i="164"/>
  <c r="M65" i="164"/>
  <c r="B65" i="164"/>
  <c r="BH64" i="164"/>
  <c r="O64" i="164"/>
  <c r="M64" i="164"/>
  <c r="B64" i="164"/>
  <c r="BH63" i="164"/>
  <c r="O63" i="164"/>
  <c r="M63" i="164"/>
  <c r="B63" i="164"/>
  <c r="BK63" i="164" s="1"/>
  <c r="BH62" i="164"/>
  <c r="O62" i="164"/>
  <c r="M62" i="164"/>
  <c r="B62" i="164"/>
  <c r="BH61" i="164"/>
  <c r="O61" i="164"/>
  <c r="M61" i="164"/>
  <c r="B61" i="164"/>
  <c r="BH60" i="164"/>
  <c r="O60" i="164"/>
  <c r="M60" i="164"/>
  <c r="B60" i="164"/>
  <c r="BH59" i="164"/>
  <c r="O59" i="164"/>
  <c r="M59" i="164"/>
  <c r="B59" i="164"/>
  <c r="BK59" i="164" s="1"/>
  <c r="BH58" i="164"/>
  <c r="O58" i="164"/>
  <c r="M58" i="164"/>
  <c r="B58" i="164"/>
  <c r="BH57" i="164"/>
  <c r="O57" i="164"/>
  <c r="M57" i="164"/>
  <c r="B57" i="164"/>
  <c r="BH56" i="164"/>
  <c r="O56" i="164"/>
  <c r="M56" i="164"/>
  <c r="B56" i="164"/>
  <c r="BH55" i="164"/>
  <c r="O55" i="164"/>
  <c r="M55" i="164"/>
  <c r="B55" i="164"/>
  <c r="BH54" i="164"/>
  <c r="O54" i="164"/>
  <c r="M54" i="164"/>
  <c r="B54" i="164"/>
  <c r="BH53" i="164"/>
  <c r="O53" i="164"/>
  <c r="M53" i="164"/>
  <c r="B53" i="164"/>
  <c r="BH52" i="164"/>
  <c r="O52" i="164"/>
  <c r="M52" i="164"/>
  <c r="B52" i="164"/>
  <c r="BH51" i="164"/>
  <c r="O51" i="164"/>
  <c r="M51" i="164"/>
  <c r="B51" i="164"/>
  <c r="BH50" i="164"/>
  <c r="M50" i="164"/>
  <c r="B50" i="164"/>
  <c r="BH49" i="164"/>
  <c r="O49" i="164"/>
  <c r="M49" i="164"/>
  <c r="B49" i="164"/>
  <c r="BH48" i="164"/>
  <c r="O48" i="164"/>
  <c r="M48" i="164"/>
  <c r="B48" i="164"/>
  <c r="BH47" i="164"/>
  <c r="O47" i="164"/>
  <c r="M47" i="164"/>
  <c r="B47" i="164"/>
  <c r="BH46" i="164"/>
  <c r="O46" i="164"/>
  <c r="M46" i="164"/>
  <c r="B46" i="164"/>
  <c r="BH45" i="164"/>
  <c r="O45" i="164"/>
  <c r="M45" i="164"/>
  <c r="B45" i="164"/>
  <c r="BK45" i="164" s="1"/>
  <c r="BH44" i="164"/>
  <c r="O44" i="164"/>
  <c r="M44" i="164"/>
  <c r="B44" i="164"/>
  <c r="BH43" i="164"/>
  <c r="O43" i="164"/>
  <c r="M43" i="164"/>
  <c r="B43" i="164"/>
  <c r="BK43" i="164" s="1"/>
  <c r="BH42" i="164"/>
  <c r="O42" i="164"/>
  <c r="M42" i="164"/>
  <c r="B42" i="164"/>
  <c r="BK42" i="164" s="1"/>
  <c r="BH41" i="164"/>
  <c r="O41" i="164"/>
  <c r="M41" i="164"/>
  <c r="B41" i="164"/>
  <c r="BH40" i="164"/>
  <c r="O40" i="164"/>
  <c r="M40" i="164"/>
  <c r="B40" i="164"/>
  <c r="BH39" i="164"/>
  <c r="O39" i="164"/>
  <c r="M39" i="164"/>
  <c r="B39" i="164"/>
  <c r="BH38" i="164"/>
  <c r="O38" i="164"/>
  <c r="M38" i="164"/>
  <c r="B38" i="164"/>
  <c r="BH37" i="164"/>
  <c r="O37" i="164"/>
  <c r="M37" i="164"/>
  <c r="B37" i="164"/>
  <c r="BH36" i="164"/>
  <c r="O36" i="164"/>
  <c r="M36" i="164"/>
  <c r="B36" i="164"/>
  <c r="BH35" i="164"/>
  <c r="O35" i="164"/>
  <c r="M35" i="164"/>
  <c r="B35" i="164"/>
  <c r="BH34" i="164"/>
  <c r="O34" i="164"/>
  <c r="M34" i="164"/>
  <c r="B34" i="164"/>
  <c r="BH33" i="164"/>
  <c r="O33" i="164"/>
  <c r="M33" i="164"/>
  <c r="B33" i="164"/>
  <c r="BH32" i="164"/>
  <c r="O32" i="164"/>
  <c r="M32" i="164"/>
  <c r="B32" i="164"/>
  <c r="BH31" i="164"/>
  <c r="O31" i="164"/>
  <c r="M31" i="164"/>
  <c r="B31" i="164"/>
  <c r="BH30" i="164"/>
  <c r="O30" i="164"/>
  <c r="M30" i="164"/>
  <c r="B30" i="164"/>
  <c r="BH29" i="164"/>
  <c r="O29" i="164"/>
  <c r="M29" i="164"/>
  <c r="B29" i="164"/>
  <c r="BH28" i="164"/>
  <c r="O28" i="164"/>
  <c r="M28" i="164"/>
  <c r="B28" i="164"/>
  <c r="BH27" i="164"/>
  <c r="O27" i="164"/>
  <c r="M27" i="164"/>
  <c r="B27" i="164"/>
  <c r="BH26" i="164"/>
  <c r="M26" i="164"/>
  <c r="B26" i="164"/>
  <c r="BK26" i="164" s="1"/>
  <c r="BH25" i="164"/>
  <c r="O25" i="164"/>
  <c r="M25" i="164"/>
  <c r="B25" i="164"/>
  <c r="BH24" i="164"/>
  <c r="O24" i="164"/>
  <c r="M24" i="164"/>
  <c r="B24" i="164"/>
  <c r="BH23" i="164"/>
  <c r="O23" i="164"/>
  <c r="M23" i="164"/>
  <c r="B23" i="164"/>
  <c r="BH22" i="164"/>
  <c r="O22" i="164"/>
  <c r="M22" i="164"/>
  <c r="B22" i="164"/>
  <c r="BH21" i="164"/>
  <c r="O21" i="164"/>
  <c r="M21" i="164"/>
  <c r="B21" i="164"/>
  <c r="BK21" i="164" s="1"/>
  <c r="BH20" i="164"/>
  <c r="O20" i="164"/>
  <c r="M20" i="164"/>
  <c r="B20" i="164"/>
  <c r="BK20" i="164" s="1"/>
  <c r="BH19" i="164"/>
  <c r="O19" i="164"/>
  <c r="M19" i="164"/>
  <c r="B19" i="164"/>
  <c r="BH18" i="164"/>
  <c r="O18" i="164"/>
  <c r="M18" i="164"/>
  <c r="B18" i="164"/>
  <c r="BH17" i="164"/>
  <c r="O17" i="164"/>
  <c r="M17" i="164"/>
  <c r="B17" i="164"/>
  <c r="BK17" i="164" s="1"/>
  <c r="BH16" i="164"/>
  <c r="O16" i="164"/>
  <c r="M16" i="164"/>
  <c r="B16" i="164"/>
  <c r="BH15" i="164"/>
  <c r="O15" i="164"/>
  <c r="M15" i="164"/>
  <c r="B15" i="164"/>
  <c r="BK15" i="164" s="1"/>
  <c r="BH14" i="164"/>
  <c r="O14" i="164"/>
  <c r="M14" i="164"/>
  <c r="B14" i="164"/>
  <c r="BH13" i="164"/>
  <c r="O13" i="164"/>
  <c r="M13" i="164"/>
  <c r="B13" i="164"/>
  <c r="BH12" i="164"/>
  <c r="O12" i="164"/>
  <c r="M12" i="164"/>
  <c r="B12" i="164"/>
  <c r="BK12" i="164" s="1"/>
  <c r="BH11" i="164"/>
  <c r="O11" i="164"/>
  <c r="M11" i="164"/>
  <c r="B11" i="164"/>
  <c r="BH10" i="164"/>
  <c r="O10" i="164"/>
  <c r="M10" i="164"/>
  <c r="B10" i="164"/>
  <c r="BH9" i="164"/>
  <c r="O9" i="164"/>
  <c r="M9" i="164"/>
  <c r="B9" i="164"/>
  <c r="BH8" i="164"/>
  <c r="O8" i="164"/>
  <c r="M8" i="164"/>
  <c r="B8" i="164"/>
  <c r="BH7" i="164"/>
  <c r="O7" i="164"/>
  <c r="M7" i="164"/>
  <c r="B7" i="164"/>
  <c r="BH6" i="164"/>
  <c r="O6" i="164"/>
  <c r="M6" i="164"/>
  <c r="B6" i="164"/>
  <c r="BH5" i="164"/>
  <c r="O5" i="164"/>
  <c r="M5" i="164"/>
  <c r="B5" i="164"/>
  <c r="BH4" i="164"/>
  <c r="O4" i="164"/>
  <c r="M4" i="164"/>
  <c r="B4" i="164"/>
  <c r="BH3" i="164"/>
  <c r="O3" i="164"/>
  <c r="M3" i="164"/>
  <c r="B3" i="164"/>
  <c r="BH2" i="164"/>
  <c r="O2" i="164"/>
  <c r="M2" i="164"/>
  <c r="B2" i="164"/>
</calcChain>
</file>

<file path=xl/comments1.xml><?xml version="1.0" encoding="utf-8"?>
<comments xmlns="http://schemas.openxmlformats.org/spreadsheetml/2006/main">
  <authors>
    <author>davsmith</author>
  </authors>
  <commentList>
    <comment ref="F2" authorId="0">
      <text>
        <r>
          <rPr>
            <sz val="9"/>
            <color indexed="81"/>
            <rFont val="Tahoma"/>
            <family val="2"/>
          </rPr>
          <t xml:space="preserve">02/21/2008
289950 --&gt; 269950
</t>
        </r>
      </text>
    </comment>
    <comment ref="B6" authorId="0">
      <text>
        <r>
          <rPr>
            <sz val="9"/>
            <color indexed="81"/>
            <rFont val="Tahoma"/>
            <family val="2"/>
          </rPr>
          <t xml:space="preserve">02/20/2008
Active --&gt; Subject To Inspection
</t>
        </r>
      </text>
    </comment>
    <comment ref="B7" authorId="0">
      <text>
        <r>
          <rPr>
            <sz val="9"/>
            <color indexed="81"/>
            <rFont val="Tahoma"/>
            <family val="2"/>
          </rPr>
          <t xml:space="preserve">02/20/2008
Active --&gt; Subject To Inspection
</t>
        </r>
      </text>
    </comment>
    <comment ref="B9" authorId="0">
      <text>
        <r>
          <rPr>
            <sz val="9"/>
            <color indexed="81"/>
            <rFont val="Tahoma"/>
            <family val="2"/>
          </rPr>
          <t xml:space="preserve">02/20/2008
Active --&gt; Subject To Inspection
</t>
        </r>
      </text>
    </comment>
    <comment ref="B10" authorId="0">
      <text>
        <r>
          <rPr>
            <sz val="9"/>
            <color indexed="81"/>
            <rFont val="Tahoma"/>
            <family val="2"/>
          </rPr>
          <t xml:space="preserve">02/29/2008
Active --&gt; Subject To Inspection
</t>
        </r>
      </text>
    </comment>
    <comment ref="H11" authorId="0">
      <text>
        <r>
          <rPr>
            <sz val="9"/>
            <color indexed="81"/>
            <rFont val="Tahoma"/>
            <family val="2"/>
          </rPr>
          <t xml:space="preserve">02/18/2008
1610 --&gt; 1420
</t>
        </r>
      </text>
    </comment>
    <comment ref="B13" authorId="0">
      <text>
        <r>
          <rPr>
            <sz val="9"/>
            <color indexed="81"/>
            <rFont val="Tahoma"/>
            <family val="2"/>
          </rPr>
          <t xml:space="preserve">02/23/2008
Active --&gt; Subject To Inspection
</t>
        </r>
      </text>
    </comment>
    <comment ref="B17" authorId="0">
      <text>
        <r>
          <rPr>
            <sz val="9"/>
            <color indexed="81"/>
            <rFont val="Tahoma"/>
            <family val="2"/>
          </rPr>
          <t xml:space="preserve">02/20/2008
Subject To Inspection --&gt; Active
</t>
        </r>
      </text>
    </comment>
    <comment ref="F17" authorId="0">
      <text>
        <r>
          <rPr>
            <sz val="9"/>
            <color indexed="81"/>
            <rFont val="Tahoma"/>
            <family val="2"/>
          </rPr>
          <t xml:space="preserve">02/23/2008
319888 --&gt; 309888
</t>
        </r>
      </text>
    </comment>
    <comment ref="F18" authorId="0">
      <text>
        <r>
          <rPr>
            <sz val="9"/>
            <color indexed="81"/>
            <rFont val="Tahoma"/>
            <family val="2"/>
          </rPr>
          <t xml:space="preserve">02/23/2008
319888 --&gt; 309888
</t>
        </r>
      </text>
    </comment>
    <comment ref="B24" authorId="0">
      <text>
        <r>
          <rPr>
            <sz val="9"/>
            <color indexed="81"/>
            <rFont val="Tahoma"/>
            <family val="2"/>
          </rPr>
          <t xml:space="preserve">02/20/2008
Active --&gt; Subject To Inspection
</t>
        </r>
      </text>
    </comment>
    <comment ref="F28" authorId="0">
      <text>
        <r>
          <rPr>
            <sz val="9"/>
            <color indexed="81"/>
            <rFont val="Tahoma"/>
            <family val="2"/>
          </rPr>
          <t xml:space="preserve">02/23/2008
324888 --&gt; 315888
</t>
        </r>
      </text>
    </comment>
    <comment ref="F31" authorId="0">
      <text>
        <r>
          <rPr>
            <sz val="9"/>
            <color indexed="81"/>
            <rFont val="Tahoma"/>
            <family val="2"/>
          </rPr>
          <t xml:space="preserve">02/27/2008
325000 --&gt; 300000
</t>
        </r>
      </text>
    </comment>
    <comment ref="B32" authorId="0">
      <text>
        <r>
          <rPr>
            <sz val="9"/>
            <color indexed="81"/>
            <rFont val="Tahoma"/>
            <family val="2"/>
          </rPr>
          <t xml:space="preserve">02/25/2008
Active --&gt; Subject To Inspection
</t>
        </r>
      </text>
    </comment>
    <comment ref="F38" authorId="0">
      <text>
        <r>
          <rPr>
            <sz val="9"/>
            <color indexed="81"/>
            <rFont val="Tahoma"/>
            <family val="2"/>
          </rPr>
          <t xml:space="preserve">02/27/2008
329950 --&gt; 309950
</t>
        </r>
      </text>
    </comment>
    <comment ref="F40" authorId="0">
      <text>
        <r>
          <rPr>
            <sz val="9"/>
            <color indexed="81"/>
            <rFont val="Tahoma"/>
            <family val="2"/>
          </rPr>
          <t xml:space="preserve">02/21/2008
334900 --&gt; 324900
</t>
        </r>
      </text>
    </comment>
    <comment ref="B42" authorId="0">
      <text>
        <r>
          <rPr>
            <sz val="9"/>
            <color indexed="81"/>
            <rFont val="Tahoma"/>
            <family val="2"/>
          </rPr>
          <t xml:space="preserve">02/21/2008
Subject To Inspection --&gt; Active
</t>
        </r>
      </text>
    </comment>
    <comment ref="F42" authorId="0">
      <text>
        <r>
          <rPr>
            <sz val="9"/>
            <color indexed="81"/>
            <rFont val="Tahoma"/>
            <family val="2"/>
          </rPr>
          <t xml:space="preserve">02/23/2008
335000 --&gt; 330000
</t>
        </r>
      </text>
    </comment>
    <comment ref="B43" authorId="0">
      <text>
        <r>
          <rPr>
            <sz val="9"/>
            <color indexed="81"/>
            <rFont val="Tahoma"/>
            <family val="2"/>
          </rPr>
          <t xml:space="preserve">02/18/2008
Active --&gt; Subject To Inspection
</t>
        </r>
      </text>
    </comment>
    <comment ref="AS44" authorId="0">
      <text>
        <r>
          <rPr>
            <sz val="9"/>
            <color indexed="81"/>
            <rFont val="Tahoma"/>
            <family val="2"/>
          </rPr>
          <t xml:space="preserve">02/23/2008
http://www.windermere.com/index.cfm?fuseaction=Listing.ListingDetail&amp;ListingID=19011301 --&gt; http://www.windermere.com/index.cfm?fuseaction=Listing.ListingDetail&amp;ListingID=19408389
</t>
        </r>
      </text>
    </comment>
    <comment ref="AT44" authorId="0">
      <text>
        <r>
          <rPr>
            <sz val="9"/>
            <color indexed="81"/>
            <rFont val="Tahoma"/>
            <family val="2"/>
          </rPr>
          <t xml:space="preserve">02/23/2008
19011301 --&gt; 19408389
</t>
        </r>
      </text>
    </comment>
    <comment ref="F50" authorId="0">
      <text>
        <r>
          <rPr>
            <sz val="9"/>
            <color indexed="81"/>
            <rFont val="Tahoma"/>
            <family val="2"/>
          </rPr>
          <t xml:space="preserve">02/25/2008
339950 --&gt; 319950
</t>
        </r>
      </text>
    </comment>
    <comment ref="K54" authorId="0">
      <text>
        <r>
          <rPr>
            <sz val="9"/>
            <color indexed="81"/>
            <rFont val="Tahoma"/>
            <family val="2"/>
          </rPr>
          <t xml:space="preserve">02/25/2008
1.5 --&gt; 2.5
</t>
        </r>
      </text>
    </comment>
    <comment ref="B55" authorId="0">
      <text>
        <r>
          <rPr>
            <sz val="9"/>
            <color indexed="81"/>
            <rFont val="Tahoma"/>
            <family val="2"/>
          </rPr>
          <t xml:space="preserve">02/21/2008
Active --&gt; Subject To Inspection
</t>
        </r>
      </text>
    </comment>
    <comment ref="B62" authorId="0">
      <text>
        <r>
          <rPr>
            <sz val="9"/>
            <color indexed="81"/>
            <rFont val="Tahoma"/>
            <family val="2"/>
          </rPr>
          <t xml:space="preserve">02/21/2008
Active --&gt; Subject To Inspection
</t>
        </r>
      </text>
    </comment>
    <comment ref="B63" authorId="0">
      <text>
        <r>
          <rPr>
            <sz val="9"/>
            <color indexed="81"/>
            <rFont val="Tahoma"/>
            <family val="2"/>
          </rPr>
          <t xml:space="preserve">02/18/2008
Active --&gt; Subject To Inspection
</t>
        </r>
      </text>
    </comment>
    <comment ref="B67" authorId="0">
      <text>
        <r>
          <rPr>
            <sz val="9"/>
            <color indexed="81"/>
            <rFont val="Tahoma"/>
            <family val="2"/>
          </rPr>
          <t xml:space="preserve">02/28/2008
Active --&gt; Subject To Inspection
</t>
        </r>
      </text>
    </comment>
    <comment ref="F70" authorId="0">
      <text>
        <r>
          <rPr>
            <sz val="9"/>
            <color indexed="81"/>
            <rFont val="Tahoma"/>
            <family val="2"/>
          </rPr>
          <t xml:space="preserve">02/28/2008
349888 --&gt; 344888
</t>
        </r>
      </text>
    </comment>
    <comment ref="B71" authorId="0">
      <text>
        <r>
          <rPr>
            <sz val="9"/>
            <color indexed="81"/>
            <rFont val="Tahoma"/>
            <family val="2"/>
          </rPr>
          <t xml:space="preserve">02/29/2008
Active --&gt; Subject To Inspection
</t>
        </r>
      </text>
    </comment>
    <comment ref="F72" authorId="0">
      <text>
        <r>
          <rPr>
            <sz val="9"/>
            <color indexed="81"/>
            <rFont val="Tahoma"/>
            <family val="2"/>
          </rPr>
          <t xml:space="preserve">02/23/2008
349900 --&gt; 339900
</t>
        </r>
      </text>
    </comment>
    <comment ref="B74" authorId="0">
      <text>
        <r>
          <rPr>
            <sz val="9"/>
            <color indexed="81"/>
            <rFont val="Tahoma"/>
            <family val="2"/>
          </rPr>
          <t xml:space="preserve">02/19/2008
Active --&gt; Subject To Inspection
</t>
        </r>
      </text>
    </comment>
    <comment ref="B78" authorId="0">
      <text>
        <r>
          <rPr>
            <sz val="9"/>
            <color indexed="81"/>
            <rFont val="Tahoma"/>
            <family val="2"/>
          </rPr>
          <t xml:space="preserve">02/27/2008
Active --&gt; Subject To Inspection
</t>
        </r>
      </text>
    </comment>
    <comment ref="F80" authorId="0">
      <text>
        <r>
          <rPr>
            <sz val="9"/>
            <color indexed="81"/>
            <rFont val="Tahoma"/>
            <family val="2"/>
          </rPr>
          <t xml:space="preserve">02/20/2008
349950 --&gt; 335000
</t>
        </r>
      </text>
    </comment>
    <comment ref="B88" authorId="0">
      <text>
        <r>
          <rPr>
            <sz val="9"/>
            <color indexed="81"/>
            <rFont val="Tahoma"/>
            <family val="2"/>
          </rPr>
          <t xml:space="preserve">02/28/2008
Active --&gt; Subject To Inspection
</t>
        </r>
      </text>
    </comment>
    <comment ref="B89" authorId="0">
      <text>
        <r>
          <rPr>
            <sz val="9"/>
            <color indexed="81"/>
            <rFont val="Tahoma"/>
            <family val="2"/>
          </rPr>
          <t xml:space="preserve">02/20/2008
Active --&gt; Subject To Inspection
</t>
        </r>
      </text>
    </comment>
    <comment ref="F90" authorId="0">
      <text>
        <r>
          <rPr>
            <sz val="9"/>
            <color indexed="81"/>
            <rFont val="Tahoma"/>
            <family val="2"/>
          </rPr>
          <t xml:space="preserve">02/25/2008
359950 --&gt; 349950
</t>
        </r>
      </text>
    </comment>
    <comment ref="F93" authorId="0">
      <text>
        <r>
          <rPr>
            <sz val="9"/>
            <color indexed="81"/>
            <rFont val="Tahoma"/>
            <family val="2"/>
          </rPr>
          <t xml:space="preserve">02/18/2008
374500 --&gt; 362000
</t>
        </r>
      </text>
    </comment>
    <comment ref="B100" authorId="0">
      <text>
        <r>
          <rPr>
            <sz val="9"/>
            <color indexed="81"/>
            <rFont val="Tahoma"/>
            <family val="2"/>
          </rPr>
          <t xml:space="preserve">02/20/2008
Active --&gt; Subject To Inspection
</t>
        </r>
      </text>
    </comment>
    <comment ref="F104" authorId="0">
      <text>
        <r>
          <rPr>
            <sz val="9"/>
            <color indexed="81"/>
            <rFont val="Tahoma"/>
            <family val="2"/>
          </rPr>
          <t xml:space="preserve">02/25/2008
364950 --&gt; 354950
</t>
        </r>
      </text>
    </comment>
    <comment ref="F106" authorId="0">
      <text>
        <r>
          <rPr>
            <sz val="9"/>
            <color indexed="81"/>
            <rFont val="Tahoma"/>
            <family val="2"/>
          </rPr>
          <t xml:space="preserve">02/19/2008
365000 --&gt; 355000
</t>
        </r>
      </text>
    </comment>
    <comment ref="F108" authorId="0">
      <text>
        <r>
          <rPr>
            <sz val="9"/>
            <color indexed="81"/>
            <rFont val="Tahoma"/>
            <family val="2"/>
          </rPr>
          <t xml:space="preserve">02/21/2008
365000 --&gt; 348075
</t>
        </r>
      </text>
    </comment>
    <comment ref="F109" authorId="0">
      <text>
        <r>
          <rPr>
            <sz val="9"/>
            <color indexed="81"/>
            <rFont val="Tahoma"/>
            <family val="2"/>
          </rPr>
          <t xml:space="preserve">02/27/2008
365000 --&gt; 355000
</t>
        </r>
      </text>
    </comment>
    <comment ref="B110" authorId="0">
      <text>
        <r>
          <rPr>
            <sz val="9"/>
            <color indexed="81"/>
            <rFont val="Tahoma"/>
            <family val="2"/>
          </rPr>
          <t xml:space="preserve">02/27/2008
Active --&gt; Subject To Inspection
</t>
        </r>
      </text>
    </comment>
    <comment ref="F113" authorId="0">
      <text>
        <r>
          <rPr>
            <sz val="9"/>
            <color indexed="81"/>
            <rFont val="Tahoma"/>
            <family val="2"/>
          </rPr>
          <t xml:space="preserve">02/20/2008
368000 --&gt; 359000
</t>
        </r>
      </text>
    </comment>
    <comment ref="K113" authorId="0">
      <text>
        <r>
          <rPr>
            <sz val="9"/>
            <color indexed="81"/>
            <rFont val="Tahoma"/>
            <family val="2"/>
          </rPr>
          <t xml:space="preserve">02/25/2008
2.25 --&gt; 3.25
</t>
        </r>
      </text>
    </comment>
    <comment ref="B116" authorId="0">
      <text>
        <r>
          <rPr>
            <sz val="9"/>
            <color indexed="81"/>
            <rFont val="Tahoma"/>
            <family val="2"/>
          </rPr>
          <t xml:space="preserve">02/21/2008
Subject To Inspection --&gt; Active
02/19/2008
Active --&gt; Subject To Inspection
</t>
        </r>
      </text>
    </comment>
    <comment ref="F117" authorId="0">
      <text>
        <r>
          <rPr>
            <sz val="9"/>
            <color indexed="81"/>
            <rFont val="Tahoma"/>
            <family val="2"/>
          </rPr>
          <t xml:space="preserve">02/25/2008
369950 --&gt; 364950
</t>
        </r>
      </text>
    </comment>
    <comment ref="B122" authorId="0">
      <text>
        <r>
          <rPr>
            <sz val="9"/>
            <color indexed="81"/>
            <rFont val="Tahoma"/>
            <family val="2"/>
          </rPr>
          <t xml:space="preserve">02/23/2008
Active --&gt; Subject To Inspection
</t>
        </r>
      </text>
    </comment>
    <comment ref="F124" authorId="0">
      <text>
        <r>
          <rPr>
            <sz val="9"/>
            <color indexed="81"/>
            <rFont val="Tahoma"/>
            <family val="2"/>
          </rPr>
          <t xml:space="preserve">02/18/2008
390000 --&gt; 370000
</t>
        </r>
      </text>
    </comment>
    <comment ref="B127" authorId="0">
      <text>
        <r>
          <rPr>
            <sz val="9"/>
            <color indexed="81"/>
            <rFont val="Tahoma"/>
            <family val="2"/>
          </rPr>
          <t xml:space="preserve">02/29/2008
Active --&gt; Subject To Inspection
</t>
        </r>
      </text>
    </comment>
    <comment ref="F127" authorId="0">
      <text>
        <r>
          <rPr>
            <sz val="9"/>
            <color indexed="81"/>
            <rFont val="Tahoma"/>
            <family val="2"/>
          </rPr>
          <t xml:space="preserve">02/25/2008
369950 --&gt; 357000
02/23/2008
374950 --&gt; 369950
</t>
        </r>
      </text>
    </comment>
    <comment ref="B130" authorId="0">
      <text>
        <r>
          <rPr>
            <sz val="9"/>
            <color indexed="81"/>
            <rFont val="Tahoma"/>
            <family val="2"/>
          </rPr>
          <t xml:space="preserve">02/20/2008
Subject To Inspection --&gt; Active
</t>
        </r>
      </text>
    </comment>
    <comment ref="B142" authorId="0">
      <text>
        <r>
          <rPr>
            <sz val="9"/>
            <color indexed="81"/>
            <rFont val="Tahoma"/>
            <family val="2"/>
          </rPr>
          <t xml:space="preserve">02/27/2008
Active --&gt; Subject To Inspection
</t>
        </r>
      </text>
    </comment>
    <comment ref="B158" authorId="0">
      <text>
        <r>
          <rPr>
            <sz val="9"/>
            <color indexed="81"/>
            <rFont val="Tahoma"/>
            <family val="2"/>
          </rPr>
          <t xml:space="preserve">02/25/2008
Active --&gt; Subject To Inspection
</t>
        </r>
      </text>
    </comment>
    <comment ref="F163" authorId="0">
      <text>
        <r>
          <rPr>
            <sz val="9"/>
            <color indexed="81"/>
            <rFont val="Tahoma"/>
            <family val="2"/>
          </rPr>
          <t xml:space="preserve">02/23/2008
395000 --&gt; 379000
</t>
        </r>
      </text>
    </comment>
    <comment ref="B165" authorId="0">
      <text>
        <r>
          <rPr>
            <sz val="9"/>
            <color indexed="81"/>
            <rFont val="Tahoma"/>
            <family val="2"/>
          </rPr>
          <t xml:space="preserve">02/23/2008
Active --&gt; Subject To Inspection
</t>
        </r>
      </text>
    </comment>
    <comment ref="F170" authorId="0">
      <text>
        <r>
          <rPr>
            <sz val="9"/>
            <color indexed="81"/>
            <rFont val="Tahoma"/>
            <family val="2"/>
          </rPr>
          <t xml:space="preserve">02/25/2008
399000 --&gt; 389000
</t>
        </r>
      </text>
    </comment>
    <comment ref="F175" authorId="0">
      <text>
        <r>
          <rPr>
            <sz val="9"/>
            <color indexed="81"/>
            <rFont val="Tahoma"/>
            <family val="2"/>
          </rPr>
          <t xml:space="preserve">02/27/2008
399950 --&gt; 375000
</t>
        </r>
      </text>
    </comment>
    <comment ref="F176" authorId="0">
      <text>
        <r>
          <rPr>
            <sz val="9"/>
            <color indexed="81"/>
            <rFont val="Tahoma"/>
            <family val="2"/>
          </rPr>
          <t xml:space="preserve">02/27/2008
399950 --&gt; 375000
</t>
        </r>
      </text>
    </comment>
    <comment ref="F189" authorId="0">
      <text>
        <r>
          <rPr>
            <sz val="9"/>
            <color indexed="81"/>
            <rFont val="Tahoma"/>
            <family val="2"/>
          </rPr>
          <t xml:space="preserve">02/28/2008
400000 --&gt; 350000
</t>
        </r>
      </text>
    </comment>
    <comment ref="B193" authorId="0">
      <text>
        <r>
          <rPr>
            <sz val="9"/>
            <color indexed="81"/>
            <rFont val="Tahoma"/>
            <family val="2"/>
          </rPr>
          <t xml:space="preserve">02/23/2008
Active --&gt; Subject To Inspection
</t>
        </r>
      </text>
    </comment>
    <comment ref="F197" authorId="0">
      <text>
        <r>
          <rPr>
            <sz val="9"/>
            <color indexed="81"/>
            <rFont val="Tahoma"/>
            <family val="2"/>
          </rPr>
          <t xml:space="preserve">02/28/2008
405000 --&gt; 399000
</t>
        </r>
      </text>
    </comment>
    <comment ref="F204" authorId="0">
      <text>
        <r>
          <rPr>
            <sz val="9"/>
            <color indexed="81"/>
            <rFont val="Tahoma"/>
            <family val="2"/>
          </rPr>
          <t xml:space="preserve">02/21/2008
409950 --&gt; 399950
</t>
        </r>
      </text>
    </comment>
    <comment ref="F206" authorId="0">
      <text>
        <r>
          <rPr>
            <sz val="9"/>
            <color indexed="81"/>
            <rFont val="Tahoma"/>
            <family val="2"/>
          </rPr>
          <t xml:space="preserve">02/20/2008
409950 --&gt; 399950
</t>
        </r>
      </text>
    </comment>
    <comment ref="F210" authorId="0">
      <text>
        <r>
          <rPr>
            <sz val="9"/>
            <color indexed="81"/>
            <rFont val="Tahoma"/>
            <family val="2"/>
          </rPr>
          <t xml:space="preserve">02/19/2008
412500 --&gt; 399950
</t>
        </r>
      </text>
    </comment>
    <comment ref="B213" authorId="0">
      <text>
        <r>
          <rPr>
            <sz val="9"/>
            <color indexed="81"/>
            <rFont val="Tahoma"/>
            <family val="2"/>
          </rPr>
          <t xml:space="preserve">02/20/2008
Active --&gt; Subject To Inspection
</t>
        </r>
      </text>
    </comment>
    <comment ref="B215" authorId="0">
      <text>
        <r>
          <rPr>
            <sz val="9"/>
            <color indexed="81"/>
            <rFont val="Tahoma"/>
            <family val="2"/>
          </rPr>
          <t xml:space="preserve">02/21/2008
Active --&gt; Subject To Inspection
</t>
        </r>
      </text>
    </comment>
    <comment ref="B217" authorId="0">
      <text>
        <r>
          <rPr>
            <sz val="9"/>
            <color indexed="81"/>
            <rFont val="Tahoma"/>
            <family val="2"/>
          </rPr>
          <t xml:space="preserve">02/28/2008
Active --&gt; Subject To Inspection
</t>
        </r>
      </text>
    </comment>
    <comment ref="B223" authorId="0">
      <text>
        <r>
          <rPr>
            <sz val="9"/>
            <color indexed="81"/>
            <rFont val="Tahoma"/>
            <family val="2"/>
          </rPr>
          <t xml:space="preserve">02/20/2008
Active --&gt; Subject To Inspection
</t>
        </r>
      </text>
    </comment>
    <comment ref="E224" authorId="0">
      <text>
        <r>
          <rPr>
            <sz val="9"/>
            <color indexed="81"/>
            <rFont val="Tahoma"/>
            <family val="2"/>
          </rPr>
          <t xml:space="preserve">02/28/2008
14354 19th Ave NE --&gt; 14356 19th Ave NE
</t>
        </r>
      </text>
    </comment>
    <comment ref="F224" authorId="0">
      <text>
        <r>
          <rPr>
            <sz val="9"/>
            <color indexed="81"/>
            <rFont val="Tahoma"/>
            <family val="2"/>
          </rPr>
          <t xml:space="preserve">02/28/2008
424900 --&gt; 399950
</t>
        </r>
      </text>
    </comment>
    <comment ref="H225" authorId="0">
      <text>
        <r>
          <rPr>
            <sz val="9"/>
            <color indexed="81"/>
            <rFont val="Tahoma"/>
            <family val="2"/>
          </rPr>
          <t xml:space="preserve">02/19/2008
1750 --&gt; 1800
</t>
        </r>
      </text>
    </comment>
    <comment ref="F228" authorId="0">
      <text>
        <r>
          <rPr>
            <sz val="9"/>
            <color indexed="81"/>
            <rFont val="Tahoma"/>
            <family val="2"/>
          </rPr>
          <t xml:space="preserve">02/27/2008
425000 --&gt; 400000
</t>
        </r>
      </text>
    </comment>
    <comment ref="B231" authorId="0">
      <text>
        <r>
          <rPr>
            <sz val="9"/>
            <color indexed="81"/>
            <rFont val="Tahoma"/>
            <family val="2"/>
          </rPr>
          <t xml:space="preserve">02/20/2008
Active --&gt; Subject To Inspection
</t>
        </r>
      </text>
    </comment>
    <comment ref="B232" authorId="0">
      <text>
        <r>
          <rPr>
            <sz val="9"/>
            <color indexed="81"/>
            <rFont val="Tahoma"/>
            <family val="2"/>
          </rPr>
          <t xml:space="preserve">02/19/2008
Active --&gt; Subject To Inspection
</t>
        </r>
      </text>
    </comment>
    <comment ref="E237" authorId="0">
      <text>
        <r>
          <rPr>
            <sz val="9"/>
            <color indexed="81"/>
            <rFont val="Tahoma"/>
            <family val="2"/>
          </rPr>
          <t xml:space="preserve">02/19/2008
2302 NE 92 St --&gt; 2302 NE 92nd St
</t>
        </r>
      </text>
    </comment>
    <comment ref="F242" authorId="0">
      <text>
        <r>
          <rPr>
            <sz val="9"/>
            <color indexed="81"/>
            <rFont val="Tahoma"/>
            <family val="2"/>
          </rPr>
          <t xml:space="preserve">02/27/2008
430000 --&gt; 424950
</t>
        </r>
      </text>
    </comment>
    <comment ref="B248" authorId="0">
      <text>
        <r>
          <rPr>
            <sz val="9"/>
            <color indexed="81"/>
            <rFont val="Tahoma"/>
            <family val="2"/>
          </rPr>
          <t xml:space="preserve">02/27/2008
Subject To Inspection --&gt; Contingent
</t>
        </r>
      </text>
    </comment>
    <comment ref="F259" authorId="0">
      <text>
        <r>
          <rPr>
            <sz val="9"/>
            <color indexed="81"/>
            <rFont val="Tahoma"/>
            <family val="2"/>
          </rPr>
          <t xml:space="preserve">02/21/2008
444000 --&gt; 435000
</t>
        </r>
      </text>
    </comment>
    <comment ref="F262" authorId="0">
      <text>
        <r>
          <rPr>
            <sz val="9"/>
            <color indexed="81"/>
            <rFont val="Tahoma"/>
            <family val="2"/>
          </rPr>
          <t xml:space="preserve">02/19/2008
449000 --&gt; 439000
</t>
        </r>
      </text>
    </comment>
    <comment ref="B264" authorId="0">
      <text>
        <r>
          <rPr>
            <sz val="9"/>
            <color indexed="81"/>
            <rFont val="Tahoma"/>
            <family val="2"/>
          </rPr>
          <t xml:space="preserve">02/23/2008
Active --&gt; Subject To Inspection
</t>
        </r>
      </text>
    </comment>
    <comment ref="B267" authorId="0">
      <text>
        <r>
          <rPr>
            <sz val="9"/>
            <color indexed="81"/>
            <rFont val="Tahoma"/>
            <family val="2"/>
          </rPr>
          <t xml:space="preserve">02/19/2008
Active --&gt; Subject To Inspection
</t>
        </r>
      </text>
    </comment>
    <comment ref="F268" authorId="0">
      <text>
        <r>
          <rPr>
            <sz val="9"/>
            <color indexed="81"/>
            <rFont val="Tahoma"/>
            <family val="2"/>
          </rPr>
          <t xml:space="preserve">02/28/2008
449900 --&gt; 434900
</t>
        </r>
      </text>
    </comment>
    <comment ref="B271" authorId="0">
      <text>
        <r>
          <rPr>
            <sz val="9"/>
            <color indexed="81"/>
            <rFont val="Tahoma"/>
            <family val="2"/>
          </rPr>
          <t xml:space="preserve">02/29/2008
Active --&gt; Subject To Inspection
</t>
        </r>
      </text>
    </comment>
    <comment ref="F271" authorId="0">
      <text>
        <r>
          <rPr>
            <sz val="9"/>
            <color indexed="81"/>
            <rFont val="Tahoma"/>
            <family val="2"/>
          </rPr>
          <t xml:space="preserve">02/27/2008
449950 --&gt; 429950
</t>
        </r>
      </text>
    </comment>
    <comment ref="F280" authorId="0">
      <text>
        <r>
          <rPr>
            <sz val="9"/>
            <color indexed="81"/>
            <rFont val="Tahoma"/>
            <family val="2"/>
          </rPr>
          <t xml:space="preserve">02/23/2008
455900 --&gt; 452900
</t>
        </r>
      </text>
    </comment>
    <comment ref="F281" authorId="0">
      <text>
        <r>
          <rPr>
            <sz val="9"/>
            <color indexed="81"/>
            <rFont val="Tahoma"/>
            <family val="2"/>
          </rPr>
          <t xml:space="preserve">02/28/2008
457000 --&gt; 447000
</t>
        </r>
      </text>
    </comment>
    <comment ref="B283" authorId="0">
      <text>
        <r>
          <rPr>
            <sz val="9"/>
            <color indexed="81"/>
            <rFont val="Tahoma"/>
            <family val="2"/>
          </rPr>
          <t xml:space="preserve">02/23/2008
Active --&gt; Subject To Inspection
02/21/2008
Subject To Inspection --&gt; Active
02/18/2008
Active --&gt; Subject To Inspection
</t>
        </r>
      </text>
    </comment>
    <comment ref="F284" authorId="0">
      <text>
        <r>
          <rPr>
            <sz val="9"/>
            <color indexed="81"/>
            <rFont val="Tahoma"/>
            <family val="2"/>
          </rPr>
          <t xml:space="preserve">02/29/2008
459950 --&gt; 447950
</t>
        </r>
      </text>
    </comment>
    <comment ref="F285" authorId="0">
      <text>
        <r>
          <rPr>
            <sz val="9"/>
            <color indexed="81"/>
            <rFont val="Tahoma"/>
            <family val="2"/>
          </rPr>
          <t xml:space="preserve">02/29/2008
459950 --&gt; 409950
</t>
        </r>
      </text>
    </comment>
    <comment ref="B288" authorId="0">
      <text>
        <r>
          <rPr>
            <sz val="9"/>
            <color indexed="81"/>
            <rFont val="Tahoma"/>
            <family val="2"/>
          </rPr>
          <t xml:space="preserve">02/28/2008
Active --&gt; Subject To Inspection
</t>
        </r>
      </text>
    </comment>
    <comment ref="F291" authorId="0">
      <text>
        <r>
          <rPr>
            <sz val="9"/>
            <color indexed="81"/>
            <rFont val="Tahoma"/>
            <family val="2"/>
          </rPr>
          <t xml:space="preserve">02/25/2008
465000 --&gt; 459000
</t>
        </r>
      </text>
    </comment>
    <comment ref="F295" authorId="0">
      <text>
        <r>
          <rPr>
            <sz val="9"/>
            <color indexed="81"/>
            <rFont val="Tahoma"/>
            <family val="2"/>
          </rPr>
          <t xml:space="preserve">02/29/2008
469000 --&gt; 449950
</t>
        </r>
      </text>
    </comment>
    <comment ref="F296" authorId="0">
      <text>
        <r>
          <rPr>
            <sz val="9"/>
            <color indexed="81"/>
            <rFont val="Tahoma"/>
            <family val="2"/>
          </rPr>
          <t xml:space="preserve">02/19/2008
469000 --&gt; 449000
</t>
        </r>
      </text>
    </comment>
    <comment ref="F297" authorId="0">
      <text>
        <r>
          <rPr>
            <sz val="9"/>
            <color indexed="81"/>
            <rFont val="Tahoma"/>
            <family val="2"/>
          </rPr>
          <t xml:space="preserve">02/19/2008
469000 --&gt; 449000
</t>
        </r>
      </text>
    </comment>
    <comment ref="F298" authorId="0">
      <text>
        <r>
          <rPr>
            <sz val="9"/>
            <color indexed="81"/>
            <rFont val="Tahoma"/>
            <family val="2"/>
          </rPr>
          <t xml:space="preserve">02/19/2008
469000 --&gt; 449000
</t>
        </r>
      </text>
    </comment>
    <comment ref="F299" authorId="0">
      <text>
        <r>
          <rPr>
            <sz val="9"/>
            <color indexed="81"/>
            <rFont val="Tahoma"/>
            <family val="2"/>
          </rPr>
          <t xml:space="preserve">02/19/2008
469000 --&gt; 449000
</t>
        </r>
      </text>
    </comment>
    <comment ref="B304" authorId="0">
      <text>
        <r>
          <rPr>
            <sz val="9"/>
            <color indexed="81"/>
            <rFont val="Tahoma"/>
            <family val="2"/>
          </rPr>
          <t xml:space="preserve">02/28/2008
Active --&gt; Subject To Inspection
</t>
        </r>
      </text>
    </comment>
    <comment ref="E304" authorId="0">
      <text>
        <r>
          <rPr>
            <sz val="9"/>
            <color indexed="81"/>
            <rFont val="Tahoma"/>
            <family val="2"/>
          </rPr>
          <t xml:space="preserve">02/23/2008
5762 25 Ave NE --&gt; 5762 25th Ave NE
</t>
        </r>
      </text>
    </comment>
    <comment ref="F304" authorId="0">
      <text>
        <r>
          <rPr>
            <sz val="9"/>
            <color indexed="81"/>
            <rFont val="Tahoma"/>
            <family val="2"/>
          </rPr>
          <t xml:space="preserve">02/23/2008
469950 --&gt; 429000
</t>
        </r>
      </text>
    </comment>
    <comment ref="F307" authorId="0">
      <text>
        <r>
          <rPr>
            <sz val="9"/>
            <color indexed="81"/>
            <rFont val="Tahoma"/>
            <family val="2"/>
          </rPr>
          <t xml:space="preserve">02/28/2008
475000 --&gt; 449950
</t>
        </r>
      </text>
    </comment>
    <comment ref="B310" authorId="0">
      <text>
        <r>
          <rPr>
            <sz val="9"/>
            <color indexed="81"/>
            <rFont val="Tahoma"/>
            <family val="2"/>
          </rPr>
          <t xml:space="preserve">02/19/2008
Active --&gt; Subject To Inspection
</t>
        </r>
      </text>
    </comment>
    <comment ref="AS312" authorId="0">
      <text>
        <r>
          <rPr>
            <sz val="9"/>
            <color indexed="81"/>
            <rFont val="Tahoma"/>
            <family val="2"/>
          </rPr>
          <t xml:space="preserve">02/23/2008
http://www.windermere.com/index.cfm?fuseaction=Listing.ListingDetail&amp;ListingID=19355824 --&gt; http://www.windermere.com/index.cfm?fuseaction=Listing.ListingDetail&amp;ListingID=19408406
</t>
        </r>
      </text>
    </comment>
    <comment ref="AT312" authorId="0">
      <text>
        <r>
          <rPr>
            <sz val="9"/>
            <color indexed="81"/>
            <rFont val="Tahoma"/>
            <family val="2"/>
          </rPr>
          <t xml:space="preserve">02/23/2008
19355824 --&gt; 19408406
</t>
        </r>
      </text>
    </comment>
    <comment ref="B314" authorId="0">
      <text>
        <r>
          <rPr>
            <sz val="9"/>
            <color indexed="81"/>
            <rFont val="Tahoma"/>
            <family val="2"/>
          </rPr>
          <t xml:space="preserve">02/21/2008
Active --&gt; Subject To Inspection
</t>
        </r>
      </text>
    </comment>
    <comment ref="F317" authorId="0">
      <text>
        <r>
          <rPr>
            <sz val="9"/>
            <color indexed="81"/>
            <rFont val="Tahoma"/>
            <family val="2"/>
          </rPr>
          <t xml:space="preserve">02/28/2008
479900 --&gt; 450000
</t>
        </r>
      </text>
    </comment>
    <comment ref="F320" authorId="0">
      <text>
        <r>
          <rPr>
            <sz val="9"/>
            <color indexed="81"/>
            <rFont val="Tahoma"/>
            <family val="2"/>
          </rPr>
          <t xml:space="preserve">02/29/2008
479950 --&gt; 447950
</t>
        </r>
      </text>
    </comment>
    <comment ref="B330" authorId="0">
      <text>
        <r>
          <rPr>
            <sz val="9"/>
            <color indexed="81"/>
            <rFont val="Tahoma"/>
            <family val="2"/>
          </rPr>
          <t xml:space="preserve">02/27/2008
Active --&gt; Subject To Inspection
</t>
        </r>
      </text>
    </comment>
    <comment ref="B332" authorId="0">
      <text>
        <r>
          <rPr>
            <sz val="9"/>
            <color indexed="81"/>
            <rFont val="Tahoma"/>
            <family val="2"/>
          </rPr>
          <t xml:space="preserve">02/25/2008
Active --&gt; Subject To Inspection
</t>
        </r>
      </text>
    </comment>
    <comment ref="F337" authorId="0">
      <text>
        <r>
          <rPr>
            <sz val="9"/>
            <color indexed="81"/>
            <rFont val="Tahoma"/>
            <family val="2"/>
          </rPr>
          <t xml:space="preserve">02/28/2008
489000 --&gt; 479950
</t>
        </r>
      </text>
    </comment>
    <comment ref="F338" authorId="0">
      <text>
        <r>
          <rPr>
            <sz val="9"/>
            <color indexed="81"/>
            <rFont val="Tahoma"/>
            <family val="2"/>
          </rPr>
          <t xml:space="preserve">02/20/2008
489000 --&gt; 474950
</t>
        </r>
      </text>
    </comment>
    <comment ref="F348" authorId="0">
      <text>
        <r>
          <rPr>
            <sz val="9"/>
            <color indexed="81"/>
            <rFont val="Tahoma"/>
            <family val="2"/>
          </rPr>
          <t xml:space="preserve">02/27/2008
495000 --&gt; 485000
</t>
        </r>
      </text>
    </comment>
    <comment ref="B350" authorId="0">
      <text>
        <r>
          <rPr>
            <sz val="9"/>
            <color indexed="81"/>
            <rFont val="Tahoma"/>
            <family val="2"/>
          </rPr>
          <t xml:space="preserve">02/23/2008
Active --&gt; Subject To Inspection
</t>
        </r>
      </text>
    </comment>
    <comment ref="F352" authorId="0">
      <text>
        <r>
          <rPr>
            <sz val="9"/>
            <color indexed="81"/>
            <rFont val="Tahoma"/>
            <family val="2"/>
          </rPr>
          <t xml:space="preserve">02/20/2008
499000 --&gt; 475000
</t>
        </r>
      </text>
    </comment>
    <comment ref="B353" authorId="0">
      <text>
        <r>
          <rPr>
            <sz val="9"/>
            <color indexed="81"/>
            <rFont val="Tahoma"/>
            <family val="2"/>
          </rPr>
          <t xml:space="preserve">02/19/2008
Active --&gt; Subject To Inspection
</t>
        </r>
      </text>
    </comment>
    <comment ref="B355" authorId="0">
      <text>
        <r>
          <rPr>
            <sz val="9"/>
            <color indexed="81"/>
            <rFont val="Tahoma"/>
            <family val="2"/>
          </rPr>
          <t xml:space="preserve">02/25/2008
Active --&gt; Subject To Inspection
</t>
        </r>
      </text>
    </comment>
    <comment ref="F360" authorId="0">
      <text>
        <r>
          <rPr>
            <sz val="9"/>
            <color indexed="81"/>
            <rFont val="Tahoma"/>
            <family val="2"/>
          </rPr>
          <t xml:space="preserve">02/23/2008
499950 --&gt; 489950
</t>
        </r>
      </text>
    </comment>
    <comment ref="F361" authorId="0">
      <text>
        <r>
          <rPr>
            <sz val="9"/>
            <color indexed="81"/>
            <rFont val="Tahoma"/>
            <family val="2"/>
          </rPr>
          <t xml:space="preserve">02/28/2008
489950 --&gt; 474995
02/23/2008
499950 --&gt; 489950
</t>
        </r>
      </text>
    </comment>
    <comment ref="B364" authorId="0">
      <text>
        <r>
          <rPr>
            <sz val="9"/>
            <color indexed="81"/>
            <rFont val="Tahoma"/>
            <family val="2"/>
          </rPr>
          <t xml:space="preserve">02/29/2008
Active --&gt; Subject To Inspection
</t>
        </r>
      </text>
    </comment>
    <comment ref="F369" authorId="0">
      <text>
        <r>
          <rPr>
            <sz val="9"/>
            <color indexed="81"/>
            <rFont val="Tahoma"/>
            <family val="2"/>
          </rPr>
          <t xml:space="preserve">02/28/2008
499999 --&gt; 500000
</t>
        </r>
      </text>
    </comment>
    <comment ref="E372" authorId="0">
      <text>
        <r>
          <rPr>
            <sz val="9"/>
            <color indexed="81"/>
            <rFont val="Tahoma"/>
            <family val="2"/>
          </rPr>
          <t xml:space="preserve">02/19/2008
4108 Greenwood Ave N --&gt; 4108 Greenwood (Not Busy) Ave N
</t>
        </r>
      </text>
    </comment>
    <comment ref="F380" authorId="0">
      <text>
        <r>
          <rPr>
            <sz val="9"/>
            <color indexed="81"/>
            <rFont val="Tahoma"/>
            <family val="2"/>
          </rPr>
          <t xml:space="preserve">02/23/2008
549500 --&gt; 539500
</t>
        </r>
      </text>
    </comment>
    <comment ref="B381" authorId="0">
      <text>
        <r>
          <rPr>
            <sz val="9"/>
            <color indexed="81"/>
            <rFont val="Tahoma"/>
            <family val="2"/>
          </rPr>
          <t xml:space="preserve">02/29/2008
Active --&gt; Subject To Inspection
</t>
        </r>
      </text>
    </comment>
    <comment ref="F382" authorId="0">
      <text>
        <r>
          <rPr>
            <sz val="9"/>
            <color indexed="81"/>
            <rFont val="Tahoma"/>
            <family val="2"/>
          </rPr>
          <t xml:space="preserve">02/20/2008
549950 --&gt; 535000
</t>
        </r>
      </text>
    </comment>
    <comment ref="F385" authorId="0">
      <text>
        <r>
          <rPr>
            <sz val="9"/>
            <color indexed="81"/>
            <rFont val="Tahoma"/>
            <family val="2"/>
          </rPr>
          <t xml:space="preserve">02/28/2008
559000 --&gt; 509000
</t>
        </r>
      </text>
    </comment>
    <comment ref="H385" authorId="0">
      <text>
        <r>
          <rPr>
            <sz val="9"/>
            <color indexed="81"/>
            <rFont val="Tahoma"/>
            <family val="2"/>
          </rPr>
          <t xml:space="preserve">02/28/2008
2360 --&gt; 1962
</t>
        </r>
      </text>
    </comment>
    <comment ref="D388" authorId="0">
      <text>
        <r>
          <rPr>
            <sz val="9"/>
            <color indexed="81"/>
            <rFont val="Tahoma"/>
            <family val="2"/>
          </rPr>
          <t xml:space="preserve">02/21/2008
Crown Hill --&gt; Ballard
</t>
        </r>
      </text>
    </comment>
    <comment ref="F388" authorId="0">
      <text>
        <r>
          <rPr>
            <sz val="9"/>
            <color indexed="81"/>
            <rFont val="Tahoma"/>
            <family val="2"/>
          </rPr>
          <t xml:space="preserve">02/19/2008
564950 --&gt; 554950
</t>
        </r>
      </text>
    </comment>
    <comment ref="B389" authorId="0">
      <text>
        <r>
          <rPr>
            <sz val="9"/>
            <color indexed="81"/>
            <rFont val="Tahoma"/>
            <family val="2"/>
          </rPr>
          <t xml:space="preserve">02/23/2008
Active --&gt; Subject To Inspection
</t>
        </r>
      </text>
    </comment>
    <comment ref="F391" authorId="0">
      <text>
        <r>
          <rPr>
            <sz val="9"/>
            <color indexed="81"/>
            <rFont val="Tahoma"/>
            <family val="2"/>
          </rPr>
          <t xml:space="preserve">02/27/2008
575000 --&gt; 565000
</t>
        </r>
      </text>
    </comment>
    <comment ref="F401" authorId="0">
      <text>
        <r>
          <rPr>
            <sz val="9"/>
            <color indexed="81"/>
            <rFont val="Tahoma"/>
            <family val="2"/>
          </rPr>
          <t xml:space="preserve">02/25/2008
615000 --&gt; 599900
</t>
        </r>
      </text>
    </comment>
    <comment ref="F409" authorId="0">
      <text>
        <r>
          <rPr>
            <sz val="9"/>
            <color indexed="81"/>
            <rFont val="Tahoma"/>
            <family val="2"/>
          </rPr>
          <t xml:space="preserve">02/23/2008
675000 --&gt; 629950
</t>
        </r>
      </text>
    </comment>
    <comment ref="F411" authorId="0">
      <text>
        <r>
          <rPr>
            <sz val="9"/>
            <color indexed="81"/>
            <rFont val="Tahoma"/>
            <family val="2"/>
          </rPr>
          <t xml:space="preserve">02/23/2008
699950 --&gt; 689950
</t>
        </r>
      </text>
    </comment>
    <comment ref="F412" authorId="0">
      <text>
        <r>
          <rPr>
            <sz val="9"/>
            <color indexed="81"/>
            <rFont val="Tahoma"/>
            <family val="2"/>
          </rPr>
          <t xml:space="preserve">02/23/2008
699950 --&gt; 689950
</t>
        </r>
      </text>
    </comment>
    <comment ref="F413" authorId="0">
      <text>
        <r>
          <rPr>
            <sz val="9"/>
            <color indexed="81"/>
            <rFont val="Tahoma"/>
            <family val="2"/>
          </rPr>
          <t xml:space="preserve">02/23/2008
699950 --&gt; 689950
</t>
        </r>
      </text>
    </comment>
    <comment ref="F414" authorId="0">
      <text>
        <r>
          <rPr>
            <sz val="9"/>
            <color indexed="81"/>
            <rFont val="Tahoma"/>
            <family val="2"/>
          </rPr>
          <t xml:space="preserve">02/23/2008
699950 --&gt; 694950
</t>
        </r>
      </text>
    </comment>
    <comment ref="F416" authorId="0">
      <text>
        <r>
          <rPr>
            <sz val="9"/>
            <color indexed="81"/>
            <rFont val="Tahoma"/>
            <family val="2"/>
          </rPr>
          <t xml:space="preserve">02/23/2008
709950 --&gt; 689950
</t>
        </r>
      </text>
    </comment>
    <comment ref="F417" authorId="0">
      <text>
        <r>
          <rPr>
            <sz val="9"/>
            <color indexed="81"/>
            <rFont val="Tahoma"/>
            <family val="2"/>
          </rPr>
          <t xml:space="preserve">02/23/2008
719950 --&gt; 699950
</t>
        </r>
      </text>
    </comment>
    <comment ref="F420" authorId="0">
      <text>
        <r>
          <rPr>
            <sz val="9"/>
            <color indexed="81"/>
            <rFont val="Tahoma"/>
            <family val="2"/>
          </rPr>
          <t xml:space="preserve">02/23/2008
749950 --&gt; 725950
</t>
        </r>
      </text>
    </comment>
    <comment ref="D421" authorId="0">
      <text>
        <r>
          <rPr>
            <sz val="9"/>
            <color indexed="81"/>
            <rFont val="Tahoma"/>
            <family val="2"/>
          </rPr>
          <t xml:space="preserve">02/29/2008
North Beach Mountain &amp;amp; Sound Views --&gt; Open March 2, 1-4 p.m. North Beach View
02/20/2008
Open Feb. 17 from 1-4 --&gt; North Beach Mountain &amp;amp; Sound Views
</t>
        </r>
      </text>
    </comment>
    <comment ref="B423" authorId="0">
      <text>
        <r>
          <rPr>
            <sz val="9"/>
            <color indexed="81"/>
            <rFont val="Tahoma"/>
            <family val="2"/>
          </rPr>
          <t xml:space="preserve">02/27/2008
Active --&gt; Subject To Inspection
</t>
        </r>
      </text>
    </comment>
    <comment ref="B428" authorId="0">
      <text>
        <r>
          <rPr>
            <sz val="9"/>
            <color indexed="81"/>
            <rFont val="Tahoma"/>
            <family val="2"/>
          </rPr>
          <t xml:space="preserve">02/25/2008
Active --&gt; Subject To Inspection
</t>
        </r>
      </text>
    </comment>
    <comment ref="F430" authorId="0">
      <text>
        <r>
          <rPr>
            <sz val="9"/>
            <color indexed="81"/>
            <rFont val="Tahoma"/>
            <family val="2"/>
          </rPr>
          <t xml:space="preserve">02/29/2008
968950 --&gt; 948950
</t>
        </r>
      </text>
    </comment>
    <comment ref="D433" authorId="0">
      <text>
        <r>
          <rPr>
            <sz val="9"/>
            <color indexed="81"/>
            <rFont val="Tahoma"/>
            <family val="2"/>
          </rPr>
          <t xml:space="preserve">02/21/2008
North Beach --&gt; New Construction in North Beach
</t>
        </r>
      </text>
    </comment>
    <comment ref="B435" authorId="0">
      <text>
        <r>
          <rPr>
            <sz val="9"/>
            <color indexed="81"/>
            <rFont val="Tahoma"/>
            <family val="2"/>
          </rPr>
          <t xml:space="preserve">02/20/2008
Active --&gt; Subject To Inspection
</t>
        </r>
      </text>
    </comment>
    <comment ref="F441" authorId="0">
      <text>
        <r>
          <rPr>
            <sz val="9"/>
            <color indexed="81"/>
            <rFont val="Tahoma"/>
            <family val="2"/>
          </rPr>
          <t xml:space="preserve">02/29/2008
1592000 --&gt; 1575000
</t>
        </r>
      </text>
    </comment>
    <comment ref="AS441" authorId="0">
      <text>
        <r>
          <rPr>
            <sz val="9"/>
            <color indexed="81"/>
            <rFont val="Tahoma"/>
            <family val="2"/>
          </rPr>
          <t xml:space="preserve">02/29/2008
http://www.windermere.com/index.cfm?fuseaction=Listing.ListingDetail&amp;ListingID=19066189 --&gt; http://www.windermere.com/index.cfm?fuseaction=Listing.ListingDetail&amp;ListingID=19461870
</t>
        </r>
      </text>
    </comment>
    <comment ref="AT441" authorId="0">
      <text>
        <r>
          <rPr>
            <sz val="9"/>
            <color indexed="81"/>
            <rFont val="Tahoma"/>
            <family val="2"/>
          </rPr>
          <t xml:space="preserve">02/29/2008
19066189 --&gt; 19461870
</t>
        </r>
      </text>
    </comment>
    <comment ref="B448" authorId="0">
      <text>
        <r>
          <rPr>
            <sz val="9"/>
            <color indexed="81"/>
            <rFont val="Tahoma"/>
            <family val="2"/>
          </rPr>
          <t xml:space="preserve">02/25/2008
Active --&gt; Subject To Inspection
</t>
        </r>
      </text>
    </comment>
    <comment ref="B449" authorId="0">
      <text>
        <r>
          <rPr>
            <sz val="9"/>
            <color indexed="81"/>
            <rFont val="Tahoma"/>
            <family val="2"/>
          </rPr>
          <t xml:space="preserve">02/23/2008
Active --&gt; Subject To Inspection
</t>
        </r>
      </text>
    </comment>
    <comment ref="B450" authorId="0">
      <text>
        <r>
          <rPr>
            <sz val="9"/>
            <color indexed="81"/>
            <rFont val="Tahoma"/>
            <family val="2"/>
          </rPr>
          <t xml:space="preserve">02/23/2008
Active --&gt; Subject To Inspection
</t>
        </r>
      </text>
    </comment>
    <comment ref="K454" authorId="0">
      <text>
        <r>
          <rPr>
            <sz val="9"/>
            <color indexed="81"/>
            <rFont val="Tahoma"/>
            <family val="2"/>
          </rPr>
          <t xml:space="preserve">02/25/2008
2.25 --&gt; 3.25
</t>
        </r>
      </text>
    </comment>
    <comment ref="B455" authorId="0">
      <text>
        <r>
          <rPr>
            <sz val="9"/>
            <color indexed="81"/>
            <rFont val="Tahoma"/>
            <family val="2"/>
          </rPr>
          <t xml:space="preserve">02/25/2008
Active --&gt; Subject To Inspection
</t>
        </r>
      </text>
    </comment>
    <comment ref="B459" authorId="0">
      <text>
        <r>
          <rPr>
            <sz val="9"/>
            <color indexed="81"/>
            <rFont val="Tahoma"/>
            <family val="2"/>
          </rPr>
          <t xml:space="preserve">02/23/2008
Active --&gt; Subject To Inspection
</t>
        </r>
      </text>
    </comment>
    <comment ref="E462" authorId="0">
      <text>
        <r>
          <rPr>
            <sz val="9"/>
            <color indexed="81"/>
            <rFont val="Tahoma"/>
            <family val="2"/>
          </rPr>
          <t xml:space="preserve">02/23/2008
202 N 39th St --&gt; 204 N 39th St
</t>
        </r>
      </text>
    </comment>
    <comment ref="B463" authorId="0">
      <text>
        <r>
          <rPr>
            <sz val="9"/>
            <color indexed="81"/>
            <rFont val="Tahoma"/>
            <family val="2"/>
          </rPr>
          <t xml:space="preserve">02/27/2008
Active --&gt; Subject To Inspection
</t>
        </r>
      </text>
    </comment>
    <comment ref="K463" authorId="0">
      <text>
        <r>
          <rPr>
            <sz val="9"/>
            <color indexed="81"/>
            <rFont val="Tahoma"/>
            <family val="2"/>
          </rPr>
          <t xml:space="preserve">02/23/2008
3 --&gt; 2.5
</t>
        </r>
      </text>
    </comment>
    <comment ref="AJ466" authorId="0">
      <text>
        <r>
          <rPr>
            <sz val="9"/>
            <color indexed="81"/>
            <rFont val="Tahoma"/>
            <family val="2"/>
          </rPr>
          <t xml:space="preserve">02/27/2008
98170 --&gt; 98107
</t>
        </r>
      </text>
    </comment>
    <comment ref="K468" authorId="0">
      <text>
        <r>
          <rPr>
            <sz val="9"/>
            <color indexed="81"/>
            <rFont val="Tahoma"/>
            <family val="2"/>
          </rPr>
          <t xml:space="preserve">02/25/2008
2.25 --&gt; 2
</t>
        </r>
      </text>
    </comment>
    <comment ref="AJ470" authorId="0">
      <text>
        <r>
          <rPr>
            <sz val="9"/>
            <color indexed="81"/>
            <rFont val="Tahoma"/>
            <family val="2"/>
          </rPr>
          <t xml:space="preserve">02/27/2008
98115 --&gt; 98155
</t>
        </r>
      </text>
    </comment>
    <comment ref="B478" authorId="0">
      <text>
        <r>
          <rPr>
            <sz val="9"/>
            <color indexed="81"/>
            <rFont val="Tahoma"/>
            <family val="2"/>
          </rPr>
          <t xml:space="preserve">02/27/2008
Active --&gt; Subject To Inspection
</t>
        </r>
      </text>
    </comment>
    <comment ref="F487" authorId="0">
      <text>
        <r>
          <rPr>
            <sz val="9"/>
            <color indexed="81"/>
            <rFont val="Tahoma"/>
            <family val="2"/>
          </rPr>
          <t xml:space="preserve">02/28/2008
455000 --&gt; 439950
</t>
        </r>
      </text>
    </comment>
    <comment ref="D517" authorId="0">
      <text>
        <r>
          <rPr>
            <sz val="9"/>
            <color indexed="81"/>
            <rFont val="Tahoma"/>
            <family val="2"/>
          </rPr>
          <t xml:space="preserve">02/29/2008
University District --&gt; Bryant
</t>
        </r>
      </text>
    </comment>
  </commentList>
</comments>
</file>

<file path=xl/sharedStrings.xml><?xml version="1.0" encoding="utf-8"?>
<sst xmlns="http://schemas.openxmlformats.org/spreadsheetml/2006/main" count="35548" uniqueCount="6383">
  <si>
    <t>FileSpec:</t>
  </si>
  <si>
    <t>FilePath:</t>
  </si>
  <si>
    <t>BusNear</t>
  </si>
  <si>
    <t>Unit</t>
  </si>
  <si>
    <t>Address</t>
  </si>
  <si>
    <t>Status</t>
  </si>
  <si>
    <t>MLS</t>
  </si>
  <si>
    <t>County</t>
  </si>
  <si>
    <t>ListPrice</t>
  </si>
  <si>
    <t>SoldPrice</t>
  </si>
  <si>
    <t>Bedrooms</t>
  </si>
  <si>
    <t>Bathrooms</t>
  </si>
  <si>
    <t>FirePlaces</t>
  </si>
  <si>
    <t>HouseSize</t>
  </si>
  <si>
    <t>LotSizeAc</t>
  </si>
  <si>
    <t>LotSize</t>
  </si>
  <si>
    <t>MapLink</t>
  </si>
  <si>
    <t>PixLink</t>
  </si>
  <si>
    <t>MktgRemarks</t>
  </si>
  <si>
    <t>YearBuilt</t>
  </si>
  <si>
    <t>Area</t>
  </si>
  <si>
    <t>Community</t>
  </si>
  <si>
    <t>Map</t>
  </si>
  <si>
    <t>Grid</t>
  </si>
  <si>
    <t>Pool</t>
  </si>
  <si>
    <t>BusRoute</t>
  </si>
  <si>
    <t>Heat_Cool</t>
  </si>
  <si>
    <t>Energy</t>
  </si>
  <si>
    <t>Water</t>
  </si>
  <si>
    <t>Sewer</t>
  </si>
  <si>
    <t>Flooring</t>
  </si>
  <si>
    <t>Appliances</t>
  </si>
  <si>
    <t>View</t>
  </si>
  <si>
    <t>Basement</t>
  </si>
  <si>
    <t>WaterHeater</t>
  </si>
  <si>
    <t>TaxYear</t>
  </si>
  <si>
    <t>TaxesAnnual</t>
  </si>
  <si>
    <t>Directions</t>
  </si>
  <si>
    <t>InteriorFeatures</t>
  </si>
  <si>
    <t>SiteFeatures</t>
  </si>
  <si>
    <t xml:space="preserve"> </t>
  </si>
  <si>
    <t>King</t>
  </si>
  <si>
    <t>Haller Lake</t>
  </si>
  <si>
    <t>A-4</t>
  </si>
  <si>
    <t>Yes</t>
  </si>
  <si>
    <t>Wall</t>
  </si>
  <si>
    <t>Electric</t>
  </si>
  <si>
    <t>Public</t>
  </si>
  <si>
    <t>Sewer Connected</t>
  </si>
  <si>
    <t>Dishwasher, Dryer, Garbage Disposal, Microwave, Range/Oven, Refrigerator, Washer</t>
  </si>
  <si>
    <t>None</t>
  </si>
  <si>
    <t>Dble Pane/Strm Windw</t>
  </si>
  <si>
    <t>Baseboard</t>
  </si>
  <si>
    <t>Dryer, Range/Oven, Refrigerator, Washer</t>
  </si>
  <si>
    <t>Daylight, Fully Finished</t>
  </si>
  <si>
    <t>Greenwood</t>
  </si>
  <si>
    <t>Forced Air</t>
  </si>
  <si>
    <t>Electric, Natural Gas</t>
  </si>
  <si>
    <t>Dishwasher, Dryer, Range/Oven, Refrigerator, Washer</t>
  </si>
  <si>
    <t>Outbuildings</t>
  </si>
  <si>
    <t>Green Lake</t>
  </si>
  <si>
    <t>J-7</t>
  </si>
  <si>
    <t>Fully Finished</t>
  </si>
  <si>
    <t>Ballard</t>
  </si>
  <si>
    <t>F-2</t>
  </si>
  <si>
    <t>Electric, Wood</t>
  </si>
  <si>
    <t>Seattle</t>
  </si>
  <si>
    <t>Natural Gas</t>
  </si>
  <si>
    <t>Ceramic Tile, Hardwood, Vinyl, Wall to Wall Carpet</t>
  </si>
  <si>
    <t>Ceramic Tile, Hardwood, Slate, Wall to Wall Carpet</t>
  </si>
  <si>
    <t>Broadview</t>
  </si>
  <si>
    <t>H-5</t>
  </si>
  <si>
    <t>Oil</t>
  </si>
  <si>
    <t>Laminate, Vinyl, Wall to Wall Carpet</t>
  </si>
  <si>
    <t>Dining Room, Dble Pane/Strm Windw</t>
  </si>
  <si>
    <t>Cable TV</t>
  </si>
  <si>
    <t>Dishwasher, Dryer, Microwave, Range/Oven, Refrigerator, Washer</t>
  </si>
  <si>
    <t>Partially Finished</t>
  </si>
  <si>
    <t>Loyal Heights</t>
  </si>
  <si>
    <t>D-2</t>
  </si>
  <si>
    <t>Hardwood</t>
  </si>
  <si>
    <t>H-3</t>
  </si>
  <si>
    <t>Baseboard, Forced Air</t>
  </si>
  <si>
    <t>Hardwood, Vinyl, Wall to Wall Carpet</t>
  </si>
  <si>
    <t>Dishwasher, Garbage Disposal, Range/Oven, Refrigerator</t>
  </si>
  <si>
    <t>Ceramic Tile, Hardwood, Wall to Wall Carpet</t>
  </si>
  <si>
    <t>Dishwasher, Dryer, Garbage Disposal, Range/Oven, Refrigerator, Washer</t>
  </si>
  <si>
    <t>Hardwood, Wall to Wall Carpet</t>
  </si>
  <si>
    <t>Phinney Ridge</t>
  </si>
  <si>
    <t>E-1</t>
  </si>
  <si>
    <t>Daylight, Partially Finished</t>
  </si>
  <si>
    <t>G-7</t>
  </si>
  <si>
    <t>G-3</t>
  </si>
  <si>
    <t>Baseboard, Forced Air, Wall</t>
  </si>
  <si>
    <t>Electric, Oil</t>
  </si>
  <si>
    <t>Unfinished</t>
  </si>
  <si>
    <t>Electric/Basement</t>
  </si>
  <si>
    <t>G-1</t>
  </si>
  <si>
    <t>Concrete, Hardwood, Vinyl, Wall to Wall Carpet</t>
  </si>
  <si>
    <t>Crown Hill</t>
  </si>
  <si>
    <t>Fremont</t>
  </si>
  <si>
    <t>North Beach</t>
  </si>
  <si>
    <t>Vinyl, Wall to Wall Carpet</t>
  </si>
  <si>
    <t>Hardwood, Vinyl</t>
  </si>
  <si>
    <t>Range/Oven, Refrigerator</t>
  </si>
  <si>
    <t>D-3</t>
  </si>
  <si>
    <t>Dishwasher, Range/Oven, Refrigerator</t>
  </si>
  <si>
    <t>Gas</t>
  </si>
  <si>
    <t>Fir/Softwood, Vinyl, Wall to Wall Carpet</t>
  </si>
  <si>
    <t>Wallingford</t>
  </si>
  <si>
    <t>Dining Room</t>
  </si>
  <si>
    <t>Cable TV, Fenced-Partially, Nat. Gas Available</t>
  </si>
  <si>
    <t>Dining Room, Security System</t>
  </si>
  <si>
    <t>Cable TV, Deck, Fenced-Partially</t>
  </si>
  <si>
    <t>Cable TV, Fenced-Partially, Patio, RV Parking</t>
  </si>
  <si>
    <t>Cable TV, Nat. Gas Available</t>
  </si>
  <si>
    <t>Main Picture</t>
  </si>
  <si>
    <t>Latitude</t>
  </si>
  <si>
    <t>Longitude</t>
  </si>
  <si>
    <t>City</t>
  </si>
  <si>
    <t>Zip</t>
  </si>
  <si>
    <t>Lot</t>
  </si>
  <si>
    <t>HyperLink</t>
  </si>
  <si>
    <t>1322 N 122nd St</t>
  </si>
  <si>
    <t>_1950</t>
  </si>
  <si>
    <t>_1945</t>
  </si>
  <si>
    <t>_1918</t>
  </si>
  <si>
    <t>9219 Stone Ave N</t>
  </si>
  <si>
    <t>_2005</t>
  </si>
  <si>
    <t>_1925</t>
  </si>
  <si>
    <t>_1953</t>
  </si>
  <si>
    <t>_1955</t>
  </si>
  <si>
    <t>_1952</t>
  </si>
  <si>
    <t>10538 Evanston Ave N</t>
  </si>
  <si>
    <t>_1928</t>
  </si>
  <si>
    <t>_1926</t>
  </si>
  <si>
    <t>2818 NW 80th St</t>
  </si>
  <si>
    <t>_1947</t>
  </si>
  <si>
    <t>_1981</t>
  </si>
  <si>
    <t>_1902</t>
  </si>
  <si>
    <t>_1905</t>
  </si>
  <si>
    <t>6753 27th Ave NW</t>
  </si>
  <si>
    <t>_1913</t>
  </si>
  <si>
    <t>_1995</t>
  </si>
  <si>
    <t>_1916</t>
  </si>
  <si>
    <t>9556 6th Ave NW</t>
  </si>
  <si>
    <t>_1940</t>
  </si>
  <si>
    <t>_2007</t>
  </si>
  <si>
    <t>6249 6th Ave NW</t>
  </si>
  <si>
    <t>_1930</t>
  </si>
  <si>
    <t>12011 Dayton Ave N</t>
  </si>
  <si>
    <t>_1929</t>
  </si>
  <si>
    <t>636 NW 87th St</t>
  </si>
  <si>
    <t>_1931</t>
  </si>
  <si>
    <t>_1908</t>
  </si>
  <si>
    <t>12258 1st Ave NW</t>
  </si>
  <si>
    <t>_1948</t>
  </si>
  <si>
    <t>_1951</t>
  </si>
  <si>
    <t>7514 28th Ave NW</t>
  </si>
  <si>
    <t>_1927</t>
  </si>
  <si>
    <t>7545 25th Ave NW</t>
  </si>
  <si>
    <t>_1941</t>
  </si>
  <si>
    <t>_1946</t>
  </si>
  <si>
    <t>8907 31st Ave NW</t>
  </si>
  <si>
    <t>_1938</t>
  </si>
  <si>
    <t>1150 N 83rd St</t>
  </si>
  <si>
    <t>1515 N 38th St</t>
  </si>
  <si>
    <t>602 NW 87th St</t>
  </si>
  <si>
    <t>_1949</t>
  </si>
  <si>
    <t>2838 NW 70th St</t>
  </si>
  <si>
    <t>_1911</t>
  </si>
  <si>
    <t>_1965</t>
  </si>
  <si>
    <t>_1906</t>
  </si>
  <si>
    <t>_1914</t>
  </si>
  <si>
    <t>8836 1st Ave NE</t>
  </si>
  <si>
    <t>340 NE 55th St</t>
  </si>
  <si>
    <t>_1942</t>
  </si>
  <si>
    <t>_1912</t>
  </si>
  <si>
    <t>1133 NW 63rd St</t>
  </si>
  <si>
    <t>_1900</t>
  </si>
  <si>
    <t>_1924</t>
  </si>
  <si>
    <t>_1904</t>
  </si>
  <si>
    <t>_1907</t>
  </si>
  <si>
    <t>Rating</t>
  </si>
  <si>
    <t>Pinehurst</t>
  </si>
  <si>
    <t>1716 NE 125th St</t>
  </si>
  <si>
    <t>_1939</t>
  </si>
  <si>
    <t>C-4</t>
  </si>
  <si>
    <t>Meadowbrook</t>
  </si>
  <si>
    <t>11040 34th Ave NE</t>
  </si>
  <si>
    <t>Roosevelt</t>
  </si>
  <si>
    <t>_1921</t>
  </si>
  <si>
    <t>Maple Leaf</t>
  </si>
  <si>
    <t>1524 NE 97th St</t>
  </si>
  <si>
    <t>Wedgwood</t>
  </si>
  <si>
    <t>Cable TV, Fenced-Fully, Nat. Gas Available, Patio</t>
  </si>
  <si>
    <t>3253 NE 97th St</t>
  </si>
  <si>
    <t>4110 NE 105th St</t>
  </si>
  <si>
    <t>Forced Air, Wall</t>
  </si>
  <si>
    <t>Olympic Hills</t>
  </si>
  <si>
    <t>_1959</t>
  </si>
  <si>
    <t>Deck</t>
  </si>
  <si>
    <t>Victory Heights</t>
  </si>
  <si>
    <t>D-5</t>
  </si>
  <si>
    <t>Jackson Park</t>
  </si>
  <si>
    <t>13624 4th Ave NE</t>
  </si>
  <si>
    <t>Ceiling Fan(s), Dining Room, 2nd Kitchen</t>
  </si>
  <si>
    <t>Bryant</t>
  </si>
  <si>
    <t>_1915</t>
  </si>
  <si>
    <t>11538 31st Ave NE</t>
  </si>
  <si>
    <t>Bath Off Master, Dining Room, Walk-in Closet</t>
  </si>
  <si>
    <t>E-5</t>
  </si>
  <si>
    <t>Dishwasher, Garbage Disposal, Microwave, Range/Oven, Refrigerator</t>
  </si>
  <si>
    <t>Cedar Park</t>
  </si>
  <si>
    <t>9746 45th Ave NE</t>
  </si>
  <si>
    <t>_1986</t>
  </si>
  <si>
    <t>F-7</t>
  </si>
  <si>
    <t>8516 5th Ave NE</t>
  </si>
  <si>
    <t>Ravenna</t>
  </si>
  <si>
    <t>_1971</t>
  </si>
  <si>
    <t>10716 19th Ave NE</t>
  </si>
  <si>
    <t>French Doors</t>
  </si>
  <si>
    <t>C-2</t>
  </si>
  <si>
    <t>12010 36th Ave NE</t>
  </si>
  <si>
    <t>See Remarks</t>
  </si>
  <si>
    <t>Fir/Softwood</t>
  </si>
  <si>
    <t>University District</t>
  </si>
  <si>
    <t>_1923</t>
  </si>
  <si>
    <t>Title</t>
  </si>
  <si>
    <t>Query</t>
  </si>
  <si>
    <t>Comments</t>
  </si>
  <si>
    <t>Viewing</t>
  </si>
  <si>
    <t>7030 Dibble Ave NW</t>
  </si>
  <si>
    <t>_1962</t>
  </si>
  <si>
    <t>8323 Dibble Ave NW</t>
  </si>
  <si>
    <t>355 NW 88th St</t>
  </si>
  <si>
    <t>8337 26th Ave NW</t>
  </si>
  <si>
    <t>_1958</t>
  </si>
  <si>
    <t>Windermere ID</t>
  </si>
  <si>
    <t>_2008</t>
  </si>
  <si>
    <t>_1999</t>
  </si>
  <si>
    <t>8351 10th Ave NW</t>
  </si>
  <si>
    <t>http://www.windermere.com/index.cfm?fuseaction=Listing.ListingDetail&amp;ListingID=19242886</t>
  </si>
  <si>
    <t>9709 6th Ave NW</t>
  </si>
  <si>
    <t>_1982</t>
  </si>
  <si>
    <t>http://www.windermere.com/index.cfm?fuseaction=Listing.ListingDetail&amp;ListingID=18868122</t>
  </si>
  <si>
    <t>657 NW 87th St</t>
  </si>
  <si>
    <t>http://www.windermere.com/index.cfm?fuseaction=Listing.ListingDetail&amp;ListingID=18801515</t>
  </si>
  <si>
    <t>_2003</t>
  </si>
  <si>
    <t>632 NW 85 St</t>
  </si>
  <si>
    <t>http://www.windermere.com/index.cfm?fuseaction=Listing.ListingDetail&amp;ListingID=19219494</t>
  </si>
  <si>
    <t>3051 NW 69th St</t>
  </si>
  <si>
    <t>http://www.windermere.com/index.cfm?fuseaction=Listing.ListingDetail&amp;ListingID=19125238</t>
  </si>
  <si>
    <t>6749 Alonzo Ave NW</t>
  </si>
  <si>
    <t>http://www.windermere.com/index.cfm?fuseaction=Listing.ListingDetail&amp;ListingID=19377896</t>
  </si>
  <si>
    <t>8352 18th Ave NW</t>
  </si>
  <si>
    <t>http://www.windermere.com/index.cfm?fuseaction=Listing.ListingDetail&amp;ListingID=19365411</t>
  </si>
  <si>
    <t>8534 30th Ave NW</t>
  </si>
  <si>
    <t>http://www.windermere.com/index.cfm?fuseaction=Listing.ListingDetail&amp;ListingID=18892187</t>
  </si>
  <si>
    <t>158 NW 74th St</t>
  </si>
  <si>
    <t>http://www.windermere.com/index.cfm?fuseaction=Listing.ListingDetail&amp;ListingID=19241417</t>
  </si>
  <si>
    <t>9527 9th Ave NW</t>
  </si>
  <si>
    <t>http://www.windermere.com/index.cfm?fuseaction=Listing.ListingDetail&amp;ListingID=19013395</t>
  </si>
  <si>
    <t>http://www.windermere.com/index.cfm?fuseaction=Listing.ListingDetail&amp;ListingID=19161435</t>
  </si>
  <si>
    <t>6708 Alonzo Ave NW</t>
  </si>
  <si>
    <t>http://www.windermere.com/index.cfm?fuseaction=Listing.ListingDetail&amp;ListingID=18825808</t>
  </si>
  <si>
    <t>936 97th St NW</t>
  </si>
  <si>
    <t>http://www.windermere.com/index.cfm?fuseaction=Listing.ListingDetail&amp;ListingID=19212202</t>
  </si>
  <si>
    <t>http://www.windermere.com/index.cfm?fuseaction=Listing.ListingDetail&amp;ListingID=18894488</t>
  </si>
  <si>
    <t>6725 32nd Ave NW</t>
  </si>
  <si>
    <t>8326 17th Ave NW</t>
  </si>
  <si>
    <t>http://www.windermere.com/index.cfm?fuseaction=Listing.ListingDetail&amp;ListingID=19351629</t>
  </si>
  <si>
    <t>http://www.windermere.com/index.cfm?fuseaction=Listing.ListingDetail&amp;ListingID=19320889</t>
  </si>
  <si>
    <t>http://www.windermere.com/index.cfm?fuseaction=Listing.ListingDetail&amp;ListingID=19375965</t>
  </si>
  <si>
    <t>http://www.windermere.com/index.cfm?fuseaction=Listing.ListingDetail&amp;ListingID=18820818</t>
  </si>
  <si>
    <t>Unique Sunset Hill Craftsman</t>
  </si>
  <si>
    <t>http://www.windermere.com/index.cfm?fuseaction=Listing.ListingDetail&amp;ListingID=19295761</t>
  </si>
  <si>
    <t>http://www.windermere.com/index.cfm?fuseaction=Listing.ListingDetail&amp;ListingID=18865361</t>
  </si>
  <si>
    <t>http://www.windermere.com/index.cfm?fuseaction=Listing.ListingDetail&amp;ListingID=19258580</t>
  </si>
  <si>
    <t>http://www.windermere.com/index.cfm?fuseaction=Listing.ListingDetail&amp;ListingID=19325789</t>
  </si>
  <si>
    <t>_1922</t>
  </si>
  <si>
    <t>http://www.windermere.com/index.cfm?fuseaction=Listing.ListingDetail&amp;ListingID=18817368</t>
  </si>
  <si>
    <t>6751 Alonzo Ave NW</t>
  </si>
  <si>
    <t>http://www.windermere.com/index.cfm?fuseaction=Listing.ListingDetail&amp;ListingID=19377990</t>
  </si>
  <si>
    <t>9219 8th Ave NW</t>
  </si>
  <si>
    <t>http://www.windermere.com/index.cfm?fuseaction=Listing.ListingDetail&amp;ListingID=19344194</t>
  </si>
  <si>
    <t>6743 B 24th Ave NW</t>
  </si>
  <si>
    <t>http://www.windermere.com/index.cfm?fuseaction=Listing.ListingDetail&amp;ListingID=19066064</t>
  </si>
  <si>
    <t>6718 4th Ave NW</t>
  </si>
  <si>
    <t>http://www.windermere.com/index.cfm?fuseaction=Listing.ListingDetail&amp;ListingID=18076483</t>
  </si>
  <si>
    <t>9038 Mary Ave NW A</t>
  </si>
  <si>
    <t>http://www.windermere.com/index.cfm?fuseaction=Listing.ListingDetail&amp;ListingID=18844703</t>
  </si>
  <si>
    <t>http://www.windermere.com/index.cfm?fuseaction=Listing.ListingDetail&amp;ListingID=19326790</t>
  </si>
  <si>
    <t>Date Added</t>
  </si>
  <si>
    <t>ExtentNorth</t>
  </si>
  <si>
    <t>ExtentSouth</t>
  </si>
  <si>
    <t>ExtentEast</t>
  </si>
  <si>
    <t>ExtentWest</t>
  </si>
  <si>
    <t>Source</t>
  </si>
  <si>
    <t>7748 17th Ave NW</t>
  </si>
  <si>
    <t>http://www.windermere.com/index.cfm?fuseaction=Listing.ListingDetail&amp;ListingID=19321801</t>
  </si>
  <si>
    <t>9043 Dibble Ave NW</t>
  </si>
  <si>
    <t>http://www.windermere.com/index.cfm?fuseaction=Listing.ListingDetail&amp;ListingID=19331172</t>
  </si>
  <si>
    <t>http://www.windermere.com/index.cfm?fuseaction=Listing.ListingDetail&amp;ListingID=19267253</t>
  </si>
  <si>
    <t>9523 B 8th Ave NW</t>
  </si>
  <si>
    <t>http://www.windermere.com/index.cfm?fuseaction=Listing.ListingDetail&amp;ListingID=18906882</t>
  </si>
  <si>
    <t>9517 B 8th Ave NW</t>
  </si>
  <si>
    <t>http://www.windermere.com/index.cfm?fuseaction=Listing.ListingDetail&amp;ListingID=19018885</t>
  </si>
  <si>
    <t>9519 A 8th Ave NW</t>
  </si>
  <si>
    <t>http://www.windermere.com/index.cfm?fuseaction=Listing.ListingDetail&amp;ListingID=18838362</t>
  </si>
  <si>
    <t>9519 B 8th Ave NW</t>
  </si>
  <si>
    <t>http://www.windermere.com/index.cfm?fuseaction=Listing.ListingDetail&amp;ListingID=18870272</t>
  </si>
  <si>
    <t>9521 B 8th Ave NW</t>
  </si>
  <si>
    <t>http://www.windermere.com/index.cfm?fuseaction=Listing.ListingDetail&amp;ListingID=18812719</t>
  </si>
  <si>
    <t>9523 A 8th Ave NW</t>
  </si>
  <si>
    <t>http://www.windermere.com/index.cfm?fuseaction=Listing.ListingDetail&amp;ListingID=18936713</t>
  </si>
  <si>
    <t>603 NW 85</t>
  </si>
  <si>
    <t>http://www.windermere.com/index.cfm?fuseaction=Listing.ListingDetail&amp;ListingID=19265907</t>
  </si>
  <si>
    <t>324 NW 80th</t>
  </si>
  <si>
    <t>http://www.windermere.com/index.cfm?fuseaction=Listing.ListingDetail&amp;ListingID=19239109</t>
  </si>
  <si>
    <t>6753 Alonzo Ave NW</t>
  </si>
  <si>
    <t>http://www.windermere.com/index.cfm?fuseaction=Listing.ListingDetail&amp;ListingID=19378000</t>
  </si>
  <si>
    <t>8524 9th Ave NW</t>
  </si>
  <si>
    <t>_1973</t>
  </si>
  <si>
    <t>http://www.windermere.com/index.cfm?fuseaction=Listing.ListingDetail&amp;ListingID=19098221</t>
  </si>
  <si>
    <t>9243 14th Ave NW</t>
  </si>
  <si>
    <t>http://www.windermere.com/index.cfm?fuseaction=Listing.ListingDetail&amp;ListingID=19246215</t>
  </si>
  <si>
    <t>334 NW 76th St</t>
  </si>
  <si>
    <t>http://www.windermere.com/index.cfm?fuseaction=Listing.ListingDetail&amp;ListingID=19361620</t>
  </si>
  <si>
    <t>8701 17th Ave NW</t>
  </si>
  <si>
    <t>http://www.windermere.com/index.cfm?fuseaction=Listing.ListingDetail&amp;ListingID=19021437</t>
  </si>
  <si>
    <t>8405 A 8th Ave NW</t>
  </si>
  <si>
    <t>http://www.windermere.com/index.cfm?fuseaction=Listing.ListingDetail&amp;ListingID=18860071</t>
  </si>
  <si>
    <t>8405 B 8th Ave NW</t>
  </si>
  <si>
    <t>http://www.windermere.com/index.cfm?fuseaction=Listing.ListingDetail&amp;ListingID=18859931</t>
  </si>
  <si>
    <t>8403 B 8th Ave NW</t>
  </si>
  <si>
    <t>http://www.windermere.com/index.cfm?fuseaction=Listing.ListingDetail&amp;ListingID=18860069</t>
  </si>
  <si>
    <t>8403 A 8th Ave NW</t>
  </si>
  <si>
    <t>http://www.windermere.com/index.cfm?fuseaction=Listing.ListingDetail&amp;ListingID=18860070</t>
  </si>
  <si>
    <t>7017 Alonzo Ave NW</t>
  </si>
  <si>
    <t>http://www.windermere.com/index.cfm?fuseaction=Listing.ListingDetail&amp;ListingID=19048334</t>
  </si>
  <si>
    <t>1109 NW 85th Ave B</t>
  </si>
  <si>
    <t>http://www.windermere.com/index.cfm?fuseaction=Listing.ListingDetail&amp;ListingID=19036976</t>
  </si>
  <si>
    <t>8357 11th Ave NW B</t>
  </si>
  <si>
    <t>http://www.windermere.com/index.cfm?fuseaction=Listing.ListingDetail&amp;ListingID=19273242</t>
  </si>
  <si>
    <t>8359 11th Ave NW</t>
  </si>
  <si>
    <t>http://www.windermere.com/index.cfm?fuseaction=Listing.ListingDetail&amp;ListingID=19050830</t>
  </si>
  <si>
    <t>8355 11th Ave NW B</t>
  </si>
  <si>
    <t>http://www.windermere.com/index.cfm?fuseaction=Listing.ListingDetail&amp;ListingID=19366086</t>
  </si>
  <si>
    <t>336 NW 84th St</t>
  </si>
  <si>
    <t>_1989</t>
  </si>
  <si>
    <t>http://www.windermere.com/index.cfm?fuseaction=Listing.ListingDetail&amp;ListingID=19343365</t>
  </si>
  <si>
    <t>152 NW 78th St</t>
  </si>
  <si>
    <t>http://www.windermere.com/index.cfm?fuseaction=Listing.ListingDetail&amp;ListingID=19193863</t>
  </si>
  <si>
    <t>2812 A NW 85th - Quiet side</t>
  </si>
  <si>
    <t>http://www.windermere.com/index.cfm?fuseaction=Listing.ListingDetail&amp;ListingID=19206266</t>
  </si>
  <si>
    <t>http://www.windermere.com/index.cfm?fuseaction=Listing.ListingDetail&amp;ListingID=19330920</t>
  </si>
  <si>
    <t>1214 NW 80th St</t>
  </si>
  <si>
    <t>http://www.windermere.com/index.cfm?fuseaction=Listing.ListingDetail&amp;ListingID=18898391</t>
  </si>
  <si>
    <t>8745 17th Ave NW</t>
  </si>
  <si>
    <t>http://www.windermere.com/index.cfm?fuseaction=Listing.ListingDetail&amp;ListingID=19169349</t>
  </si>
  <si>
    <t>14338 Interlake Ave N</t>
  </si>
  <si>
    <t>http://www.windermere.com/index.cfm?fuseaction=Listing.ListingDetail&amp;ListingID=19134351</t>
  </si>
  <si>
    <t>9131 B 23rd Ave NE</t>
  </si>
  <si>
    <t>_2006</t>
  </si>
  <si>
    <t>http://www.windermere.com/index.cfm?fuseaction=Listing.ListingDetail&amp;ListingID=19161972</t>
  </si>
  <si>
    <t>12212 Dayton Ave N</t>
  </si>
  <si>
    <t>http://www.windermere.com/index.cfm?fuseaction=Listing.ListingDetail&amp;ListingID=19370194</t>
  </si>
  <si>
    <t>10342 Stone Ave N</t>
  </si>
  <si>
    <t>_1944</t>
  </si>
  <si>
    <t>http://www.windermere.com/index.cfm?fuseaction=Listing.ListingDetail&amp;ListingID=18883912</t>
  </si>
  <si>
    <t>734 N 127th St</t>
  </si>
  <si>
    <t>http://www.windermere.com/index.cfm?fuseaction=Listing.ListingDetail&amp;ListingID=19281164</t>
  </si>
  <si>
    <t>13720 Midvale Ave N B</t>
  </si>
  <si>
    <t>http://www.windermere.com/index.cfm?fuseaction=Listing.ListingDetail&amp;ListingID=19291014</t>
  </si>
  <si>
    <t>9242 A Interlake Ave N</t>
  </si>
  <si>
    <t>http://www.windermere.com/index.cfm?fuseaction=Listing.ListingDetail&amp;ListingID=19381850</t>
  </si>
  <si>
    <t>10008 Dibble Ave NW</t>
  </si>
  <si>
    <t>http://www.windermere.com/index.cfm?fuseaction=Listing.ListingDetail&amp;ListingID=19343180</t>
  </si>
  <si>
    <t>8516 Nesbit Ave N C</t>
  </si>
  <si>
    <t>http://www.windermere.com/index.cfm?fuseaction=Listing.ListingDetail&amp;ListingID=19127481</t>
  </si>
  <si>
    <t>8516 Nesbit Ave N A</t>
  </si>
  <si>
    <t>http://www.windermere.com/index.cfm?fuseaction=Listing.ListingDetail&amp;ListingID=19372503</t>
  </si>
  <si>
    <t>919 N 105th St</t>
  </si>
  <si>
    <t>_1919</t>
  </si>
  <si>
    <t>http://www.windermere.com/index.cfm?fuseaction=Listing.ListingDetail&amp;ListingID=18814919</t>
  </si>
  <si>
    <t>Shoreline</t>
  </si>
  <si>
    <t>2017 NE 137 St</t>
  </si>
  <si>
    <t>http://www.windermere.com/index.cfm?fuseaction=Listing.ListingDetail&amp;ListingID=19216145</t>
  </si>
  <si>
    <t>13549 Wallingford N</t>
  </si>
  <si>
    <t>http://www.windermere.com/index.cfm?fuseaction=Listing.ListingDetail&amp;ListingID=19206462</t>
  </si>
  <si>
    <t>12509 Evanston Ave N</t>
  </si>
  <si>
    <t>http://www.windermere.com/index.cfm?fuseaction=Listing.ListingDetail&amp;ListingID=19356881</t>
  </si>
  <si>
    <t>10309 B Midvale Ave N</t>
  </si>
  <si>
    <t>_2002</t>
  </si>
  <si>
    <t>http://www.windermere.com/index.cfm?fuseaction=Listing.ListingDetail&amp;ListingID=18673522</t>
  </si>
  <si>
    <t>747 N 95th St B</t>
  </si>
  <si>
    <t>http://www.windermere.com/index.cfm?fuseaction=Listing.ListingDetail&amp;ListingID=18645976</t>
  </si>
  <si>
    <t>747 N 95th St A</t>
  </si>
  <si>
    <t>http://www.windermere.com/index.cfm?fuseaction=Listing.ListingDetail&amp;ListingID=18645969</t>
  </si>
  <si>
    <t>749 N 95th St A</t>
  </si>
  <si>
    <t>http://www.windermere.com/index.cfm?fuseaction=Listing.ListingDetail&amp;ListingID=18854105</t>
  </si>
  <si>
    <t>745 N 95th St B</t>
  </si>
  <si>
    <t>http://www.windermere.com/index.cfm?fuseaction=Listing.ListingDetail&amp;ListingID=18521282</t>
  </si>
  <si>
    <t>1038 NE 127th St</t>
  </si>
  <si>
    <t>http://www.windermere.com/index.cfm?fuseaction=Listing.ListingDetail&amp;ListingID=19192648</t>
  </si>
  <si>
    <t>13718 Midvale Ave N A</t>
  </si>
  <si>
    <t>http://www.windermere.com/index.cfm?fuseaction=Listing.ListingDetail&amp;ListingID=19291015</t>
  </si>
  <si>
    <t>1829 N 149th St</t>
  </si>
  <si>
    <t>_1954</t>
  </si>
  <si>
    <t>http://www.windermere.com/index.cfm?fuseaction=Listing.ListingDetail&amp;ListingID=19349709</t>
  </si>
  <si>
    <t>14202 Roslyn Pl N</t>
  </si>
  <si>
    <t>http://www.windermere.com/index.cfm?fuseaction=Listing.ListingDetail&amp;ListingID=19246527</t>
  </si>
  <si>
    <t>1141 N 93rd St B</t>
  </si>
  <si>
    <t>_2000</t>
  </si>
  <si>
    <t>http://www.windermere.com/index.cfm?fuseaction=Listing.ListingDetail&amp;ListingID=18979832</t>
  </si>
  <si>
    <t>1745 NE 105 St</t>
  </si>
  <si>
    <t>http://www.windermere.com/index.cfm?fuseaction=Listing.ListingDetail&amp;ListingID=19183393</t>
  </si>
  <si>
    <t>9555 Interlake Ave N</t>
  </si>
  <si>
    <t>345 N 105th St B</t>
  </si>
  <si>
    <t>http://www.windermere.com/index.cfm?fuseaction=Listing.ListingDetail&amp;ListingID=18799513</t>
  </si>
  <si>
    <t>745 N 95th St A</t>
  </si>
  <si>
    <t>http://www.windermere.com/index.cfm?fuseaction=Listing.ListingDetail&amp;ListingID=18521283</t>
  </si>
  <si>
    <t>345 N 105th entr on Dayton St A</t>
  </si>
  <si>
    <t>http://www.windermere.com/index.cfm?fuseaction=Listing.ListingDetail&amp;ListingID=19261837</t>
  </si>
  <si>
    <t>13718 Midvale Ave N C</t>
  </si>
  <si>
    <t>http://www.windermere.com/index.cfm?fuseaction=Listing.ListingDetail&amp;ListingID=19293598</t>
  </si>
  <si>
    <t>14312 A Stone Ave N</t>
  </si>
  <si>
    <t>http://www.windermere.com/index.cfm?fuseaction=Listing.ListingDetail&amp;ListingID=19345068</t>
  </si>
  <si>
    <t>326 N 45th St</t>
  </si>
  <si>
    <t>_1909</t>
  </si>
  <si>
    <t>http://www.windermere.com/index.cfm?fuseaction=Listing.ListingDetail&amp;ListingID=19000289</t>
  </si>
  <si>
    <t>4243 Palatine Ave N</t>
  </si>
  <si>
    <t>_1960</t>
  </si>
  <si>
    <t>http://www.windermere.com/index.cfm?fuseaction=Listing.ListingDetail&amp;ListingID=19246531</t>
  </si>
  <si>
    <t>1805 N 105th St</t>
  </si>
  <si>
    <t>http://www.windermere.com/index.cfm?fuseaction=Listing.ListingDetail&amp;ListingID=18978903</t>
  </si>
  <si>
    <t>11014 A Greenwood Ave N</t>
  </si>
  <si>
    <t>http://www.windermere.com/index.cfm?fuseaction=Listing.ListingDetail&amp;ListingID=19305143</t>
  </si>
  <si>
    <t>11214 B Greenwood Ave N</t>
  </si>
  <si>
    <t>http://www.windermere.com/index.cfm?fuseaction=Listing.ListingDetail&amp;ListingID=18817082</t>
  </si>
  <si>
    <t>11214 A Greenwood Ave N</t>
  </si>
  <si>
    <t>http://www.windermere.com/index.cfm?fuseaction=Listing.ListingDetail&amp;ListingID=18883851</t>
  </si>
  <si>
    <t>11212 C Greenwood Ave N</t>
  </si>
  <si>
    <t>http://www.windermere.com/index.cfm?fuseaction=Listing.ListingDetail&amp;ListingID=18883850</t>
  </si>
  <si>
    <t>11212 B Greenwood Ave N</t>
  </si>
  <si>
    <t>http://www.windermere.com/index.cfm?fuseaction=Listing.ListingDetail&amp;ListingID=18883849</t>
  </si>
  <si>
    <t>11212 A Greenwood Ave N</t>
  </si>
  <si>
    <t>http://www.windermere.com/index.cfm?fuseaction=Listing.ListingDetail&amp;ListingID=18826288</t>
  </si>
  <si>
    <t>1015 NE 123rd St A</t>
  </si>
  <si>
    <t>http://www.windermere.com/index.cfm?fuseaction=Listing.ListingDetail&amp;ListingID=19344609</t>
  </si>
  <si>
    <t>706 N 143rd St</t>
  </si>
  <si>
    <t>http://www.windermere.com/index.cfm?fuseaction=Listing.ListingDetail&amp;ListingID=19304377</t>
  </si>
  <si>
    <t>1204 N 85th (not busy NE corner</t>
  </si>
  <si>
    <t>http://www.windermere.com/index.cfm?fuseaction=Listing.ListingDetail&amp;ListingID=19200062</t>
  </si>
  <si>
    <t>12333 B 10th Pl NE</t>
  </si>
  <si>
    <t>http://www.windermere.com/index.cfm?fuseaction=Listing.ListingDetail&amp;ListingID=19379306</t>
  </si>
  <si>
    <t>12333 C 10th Pl NE</t>
  </si>
  <si>
    <t>http://www.windermere.com/index.cfm?fuseaction=Listing.ListingDetail&amp;ListingID=19379299</t>
  </si>
  <si>
    <t>12333 A 10th Pl NE</t>
  </si>
  <si>
    <t>http://www.windermere.com/index.cfm?fuseaction=Listing.ListingDetail&amp;ListingID=19379302</t>
  </si>
  <si>
    <t>14324 wayne Pl N</t>
  </si>
  <si>
    <t>http://www.windermere.com/index.cfm?fuseaction=Listing.ListingDetail&amp;ListingID=19245355</t>
  </si>
  <si>
    <t>1142 N 92nd St A</t>
  </si>
  <si>
    <t>http://www.windermere.com/index.cfm?fuseaction=Listing.ListingDetail&amp;ListingID=18914260</t>
  </si>
  <si>
    <t>http://www.windermere.com/index.cfm?fuseaction=Listing.ListingDetail&amp;ListingID=18876585</t>
  </si>
  <si>
    <t>1017 NE 123rd St A</t>
  </si>
  <si>
    <t>http://www.windermere.com/index.cfm?fuseaction=Listing.ListingDetail&amp;ListingID=19344675</t>
  </si>
  <si>
    <t>11708 B Greenwood Ave N</t>
  </si>
  <si>
    <t>http://www.windermere.com/index.cfm?fuseaction=Listing.ListingDetail&amp;ListingID=19310679</t>
  </si>
  <si>
    <t>13732 Palatine Ave N</t>
  </si>
  <si>
    <t>http://www.windermere.com/index.cfm?fuseaction=Listing.ListingDetail&amp;ListingID=19336068</t>
  </si>
  <si>
    <t>4247 Palatine Ave N</t>
  </si>
  <si>
    <t>http://www.windermere.com/index.cfm?fuseaction=Listing.ListingDetail&amp;ListingID=19149402</t>
  </si>
  <si>
    <t>8516 Nesbit Ave N B</t>
  </si>
  <si>
    <t>http://www.windermere.com/index.cfm?fuseaction=Listing.ListingDetail&amp;ListingID=19195065</t>
  </si>
  <si>
    <t>2138 A N 113th St</t>
  </si>
  <si>
    <t>http://www.windermere.com/index.cfm?fuseaction=Listing.ListingDetail&amp;ListingID=19189952</t>
  </si>
  <si>
    <t>2708 NE 110th St</t>
  </si>
  <si>
    <t>http://www.windermere.com/index.cfm?fuseaction=Listing.ListingDetail&amp;ListingID=19155004</t>
  </si>
  <si>
    <t>9552 Palatine Ave N</t>
  </si>
  <si>
    <t>http://www.windermere.com/index.cfm?fuseaction=Listing.ListingDetail&amp;ListingID=19185353</t>
  </si>
  <si>
    <t>515 N 103rd St</t>
  </si>
  <si>
    <t>http://www.windermere.com/index.cfm?fuseaction=Listing.ListingDetail&amp;ListingID=18789512</t>
  </si>
  <si>
    <t>718 N 94th St I</t>
  </si>
  <si>
    <t>_1998</t>
  </si>
  <si>
    <t>http://www.windermere.com/index.cfm?fuseaction=Listing.ListingDetail&amp;ListingID=19342133</t>
  </si>
  <si>
    <t>10203 B 1st Ave NW</t>
  </si>
  <si>
    <t>http://www.windermere.com/index.cfm?fuseaction=Listing.ListingDetail&amp;ListingID=19079640</t>
  </si>
  <si>
    <t>2134 B N 113th St</t>
  </si>
  <si>
    <t>http://www.windermere.com/index.cfm?fuseaction=Listing.ListingDetail&amp;ListingID=19269794</t>
  </si>
  <si>
    <t>737 N 94th St C</t>
  </si>
  <si>
    <t>http://www.windermere.com/index.cfm?fuseaction=Listing.ListingDetail&amp;ListingID=18557407</t>
  </si>
  <si>
    <t>8518 A Midvale Ave N</t>
  </si>
  <si>
    <t>http://www.windermere.com/index.cfm?fuseaction=Listing.ListingDetail&amp;ListingID=19310131</t>
  </si>
  <si>
    <t>938 N 86 St</t>
  </si>
  <si>
    <t>http://www.windermere.com/index.cfm?fuseaction=Listing.ListingDetail&amp;ListingID=18424718</t>
  </si>
  <si>
    <t>12619 8th Ave NE</t>
  </si>
  <si>
    <t>http://www.windermere.com/index.cfm?fuseaction=Listing.ListingDetail&amp;ListingID=18678127</t>
  </si>
  <si>
    <t>http://www.windermere.com/index.cfm?fuseaction=Listing.ListingDetail&amp;ListingID=18858794</t>
  </si>
  <si>
    <t>908 N 95th St 1A</t>
  </si>
  <si>
    <t>http://www.windermere.com/index.cfm?fuseaction=Listing.ListingDetail&amp;ListingID=19194788</t>
  </si>
  <si>
    <t>11710 A Greenwood Ave N</t>
  </si>
  <si>
    <t>http://www.windermere.com/index.cfm?fuseaction=Listing.ListingDetail&amp;ListingID=19365753</t>
  </si>
  <si>
    <t>11030 B Greenwood Ave N B</t>
  </si>
  <si>
    <t>http://www.windermere.com/index.cfm?fuseaction=Listing.ListingDetail&amp;ListingID=19280728</t>
  </si>
  <si>
    <t>13051 28th Ave NE</t>
  </si>
  <si>
    <t>_1968</t>
  </si>
  <si>
    <t>http://www.windermere.com/index.cfm?fuseaction=Listing.ListingDetail&amp;ListingID=19340741</t>
  </si>
  <si>
    <t>10305 Midvale Ave N B</t>
  </si>
  <si>
    <t>http://www.windermere.com/index.cfm?fuseaction=Listing.ListingDetail&amp;ListingID=18898996</t>
  </si>
  <si>
    <t>737 N 94th St A</t>
  </si>
  <si>
    <t>http://www.windermere.com/index.cfm?fuseaction=Listing.ListingDetail&amp;ListingID=19060032</t>
  </si>
  <si>
    <t>1214 A N 85th St</t>
  </si>
  <si>
    <t>http://www.windermere.com/index.cfm?fuseaction=Listing.ListingDetail&amp;ListingID=19226990</t>
  </si>
  <si>
    <t>517 N 86 St</t>
  </si>
  <si>
    <t>http://www.windermere.com/index.cfm?fuseaction=Listing.ListingDetail&amp;ListingID=19206316</t>
  </si>
  <si>
    <t>1815 N 137th St</t>
  </si>
  <si>
    <t>http://www.windermere.com/index.cfm?fuseaction=Listing.ListingDetail&amp;ListingID=19299939</t>
  </si>
  <si>
    <t>11727 26th Ave NE</t>
  </si>
  <si>
    <t>_1935</t>
  </si>
  <si>
    <t>http://www.windermere.com/index.cfm?fuseaction=Listing.ListingDetail&amp;ListingID=19342899</t>
  </si>
  <si>
    <t>8609 23rd Ave NE 1</t>
  </si>
  <si>
    <t>http://www.windermere.com/index.cfm?fuseaction=Listing.ListingDetail&amp;ListingID=18779519</t>
  </si>
  <si>
    <t>8520 Stone Ave N A</t>
  </si>
  <si>
    <t>http://www.windermere.com/index.cfm?fuseaction=Listing.ListingDetail&amp;ListingID=19039296</t>
  </si>
  <si>
    <t>11012 A Greenwood Ave N</t>
  </si>
  <si>
    <t>http://www.windermere.com/index.cfm?fuseaction=Listing.ListingDetail&amp;ListingID=19305266</t>
  </si>
  <si>
    <t>12337 B 10th Pl NE</t>
  </si>
  <si>
    <t>http://www.windermere.com/index.cfm?fuseaction=Listing.ListingDetail&amp;ListingID=19379300</t>
  </si>
  <si>
    <t>12337 C 10th Pl NE</t>
  </si>
  <si>
    <t>http://www.windermere.com/index.cfm?fuseaction=Listing.ListingDetail&amp;ListingID=19379301</t>
  </si>
  <si>
    <t>9225 Fremont Ave N</t>
  </si>
  <si>
    <t>http://www.windermere.com/index.cfm?fuseaction=Listing.ListingDetail&amp;ListingID=19371247</t>
  </si>
  <si>
    <t>1915 N 137th St</t>
  </si>
  <si>
    <t>http://www.windermere.com/index.cfm?fuseaction=Listing.ListingDetail&amp;ListingID=19322811</t>
  </si>
  <si>
    <t>745 N 104th St</t>
  </si>
  <si>
    <t>http://www.windermere.com/index.cfm?fuseaction=Listing.ListingDetail&amp;ListingID=19370571</t>
  </si>
  <si>
    <t>839 123rd St NE</t>
  </si>
  <si>
    <t>http://www.windermere.com/index.cfm?fuseaction=Listing.ListingDetail&amp;ListingID=19344098</t>
  </si>
  <si>
    <t>8855 Ashworth Ave N</t>
  </si>
  <si>
    <t>http://www.windermere.com/index.cfm?fuseaction=Listing.ListingDetail&amp;ListingID=18991624</t>
  </si>
  <si>
    <t>1602 NE 137th St</t>
  </si>
  <si>
    <t>http://www.windermere.com/index.cfm?fuseaction=Listing.ListingDetail&amp;ListingID=19156147</t>
  </si>
  <si>
    <t>5807 5th Ave NE</t>
  </si>
  <si>
    <t>http://www.windermere.com/index.cfm?fuseaction=Listing.ListingDetail&amp;ListingID=19319974</t>
  </si>
  <si>
    <t>5217 8th Ave NW</t>
  </si>
  <si>
    <t>http://www.windermere.com/index.cfm?fuseaction=Listing.ListingDetail&amp;ListingID=19023075</t>
  </si>
  <si>
    <t>10711 28th Ave NE</t>
  </si>
  <si>
    <t>http://www.windermere.com/index.cfm?fuseaction=Listing.ListingDetail&amp;ListingID=19319599</t>
  </si>
  <si>
    <t>559 NE 79th St</t>
  </si>
  <si>
    <t>http://www.windermere.com/index.cfm?fuseaction=Listing.ListingDetail&amp;ListingID=19286628</t>
  </si>
  <si>
    <t>1021 B NE 123rd</t>
  </si>
  <si>
    <t>http://www.windermere.com/index.cfm?fuseaction=Listing.ListingDetail&amp;ListingID=19164242</t>
  </si>
  <si>
    <t>1023 B NE 123rd</t>
  </si>
  <si>
    <t>http://www.windermere.com/index.cfm?fuseaction=Listing.ListingDetail&amp;ListingID=18679666</t>
  </si>
  <si>
    <t>12337 A 10th Pl NE</t>
  </si>
  <si>
    <t>http://www.windermere.com/index.cfm?fuseaction=Listing.ListingDetail&amp;ListingID=18468108</t>
  </si>
  <si>
    <t>1916 NE 125th St</t>
  </si>
  <si>
    <t>http://www.windermere.com/index.cfm?fuseaction=Listing.ListingDetail&amp;ListingID=19340346</t>
  </si>
  <si>
    <t>8800 Ravenna Ave NE</t>
  </si>
  <si>
    <t>http://www.windermere.com/index.cfm?fuseaction=Listing.ListingDetail&amp;ListingID=19216135</t>
  </si>
  <si>
    <t>9241 A Ashworth Ave N</t>
  </si>
  <si>
    <t>http://www.windermere.com/index.cfm?fuseaction=Listing.ListingDetail&amp;ListingID=19036477</t>
  </si>
  <si>
    <t>9249 Ashworth Ave N B</t>
  </si>
  <si>
    <t>http://www.windermere.com/index.cfm?fuseaction=Listing.ListingDetail&amp;ListingID=19310678</t>
  </si>
  <si>
    <t>1907 A N 35th St</t>
  </si>
  <si>
    <t>http://www.windermere.com/index.cfm?fuseaction=Listing.ListingDetail&amp;ListingID=19382507</t>
  </si>
  <si>
    <t>8213 23rd Ave NE</t>
  </si>
  <si>
    <t>http://www.windermere.com/index.cfm?fuseaction=Listing.ListingDetail&amp;ListingID=19257593</t>
  </si>
  <si>
    <t>1023 A NE 123rd</t>
  </si>
  <si>
    <t>http://www.windermere.com/index.cfm?fuseaction=Listing.ListingDetail&amp;ListingID=18679639</t>
  </si>
  <si>
    <t>1023 C NE 123rd</t>
  </si>
  <si>
    <t>http://www.windermere.com/index.cfm?fuseaction=Listing.ListingDetail&amp;ListingID=19264129</t>
  </si>
  <si>
    <t>1027 A NE 123rd</t>
  </si>
  <si>
    <t>http://www.windermere.com/index.cfm?fuseaction=Listing.ListingDetail&amp;ListingID=19327123</t>
  </si>
  <si>
    <t>1027 C NE 123rd</t>
  </si>
  <si>
    <t>http://www.windermere.com/index.cfm?fuseaction=Listing.ListingDetail&amp;ListingID=19327718</t>
  </si>
  <si>
    <t>1021 A NE 123rd</t>
  </si>
  <si>
    <t>http://www.windermere.com/index.cfm?fuseaction=Listing.ListingDetail&amp;ListingID=19280440</t>
  </si>
  <si>
    <t>1021 C NE 123rd</t>
  </si>
  <si>
    <t>http://www.windermere.com/index.cfm?fuseaction=Listing.ListingDetail&amp;ListingID=19280441</t>
  </si>
  <si>
    <t>317 NW 103rd</t>
  </si>
  <si>
    <t>http://www.windermere.com/index.cfm?fuseaction=Listing.ListingDetail&amp;ListingID=19147164</t>
  </si>
  <si>
    <t>1911 A N 35th St</t>
  </si>
  <si>
    <t>http://www.windermere.com/index.cfm?fuseaction=Listing.ListingDetail&amp;ListingID=19382798</t>
  </si>
  <si>
    <t>1522 N 107th St</t>
  </si>
  <si>
    <t>http://www.windermere.com/index.cfm?fuseaction=Listing.ListingDetail&amp;ListingID=19332676</t>
  </si>
  <si>
    <t>8548 A Midvale Ave N</t>
  </si>
  <si>
    <t>_2004</t>
  </si>
  <si>
    <t>http://www.windermere.com/index.cfm?fuseaction=Listing.ListingDetail&amp;ListingID=18891692</t>
  </si>
  <si>
    <t>1415 A NW 61st St</t>
  </si>
  <si>
    <t>http://www.windermere.com/index.cfm?fuseaction=Listing.ListingDetail&amp;ListingID=18555463</t>
  </si>
  <si>
    <t>http://www.windermere.com/index.cfm?fuseaction=Listing.ListingDetail&amp;ListingID=18955854</t>
  </si>
  <si>
    <t>2015 B NW 59th St</t>
  </si>
  <si>
    <t>http://www.windermere.com/index.cfm?fuseaction=Listing.ListingDetail&amp;ListingID=18006149</t>
  </si>
  <si>
    <t>2631 B NW 58th St</t>
  </si>
  <si>
    <t>http://www.windermere.com/index.cfm?fuseaction=Listing.ListingDetail&amp;ListingID=18156528</t>
  </si>
  <si>
    <t>4056 5th Ave NE</t>
  </si>
  <si>
    <t>http://www.windermere.com/index.cfm?fuseaction=Listing.ListingDetail&amp;ListingID=18887114</t>
  </si>
  <si>
    <t>8509 A Interlake Ave N</t>
  </si>
  <si>
    <t>http://www.windermere.com/index.cfm?fuseaction=Listing.ListingDetail&amp;ListingID=19246786</t>
  </si>
  <si>
    <t>11550 25th Ave NE</t>
  </si>
  <si>
    <t>http://www.windermere.com/index.cfm?fuseaction=Listing.ListingDetail&amp;ListingID=19376193</t>
  </si>
  <si>
    <t>http://www.windermere.com/index.cfm?fuseaction=Listing.ListingDetail&amp;ListingID=18331929</t>
  </si>
  <si>
    <t>13002 15TH Ave NE</t>
  </si>
  <si>
    <t>http://www.windermere.com/index.cfm?fuseaction=Listing.ListingDetail&amp;ListingID=19302977</t>
  </si>
  <si>
    <t>_1961</t>
  </si>
  <si>
    <t>347 N 105th Not on busy strt St</t>
  </si>
  <si>
    <t>http://www.windermere.com/index.cfm?fuseaction=Listing.ListingDetail&amp;ListingID=18799514</t>
  </si>
  <si>
    <t>14350 Bagley N</t>
  </si>
  <si>
    <t>http://www.windermere.com/index.cfm?fuseaction=Listing.ListingDetail&amp;ListingID=19243145</t>
  </si>
  <si>
    <t>12542 5th Ave NE</t>
  </si>
  <si>
    <t>_1936</t>
  </si>
  <si>
    <t>http://www.windermere.com/index.cfm?fuseaction=Listing.ListingDetail&amp;ListingID=18577293</t>
  </si>
  <si>
    <t>14024 2nd Ave NW</t>
  </si>
  <si>
    <t>http://www.windermere.com/index.cfm?fuseaction=Listing.ListingDetail&amp;ListingID=19330852</t>
  </si>
  <si>
    <t>Remodeled Broadview Rambler</t>
  </si>
  <si>
    <t>12335 10th Pl NE</t>
  </si>
  <si>
    <t>http://www.windermere.com/index.cfm?fuseaction=Listing.ListingDetail&amp;ListingID=19285694</t>
  </si>
  <si>
    <t>3607 Albion Pl N</t>
  </si>
  <si>
    <t>http://www.windermere.com/index.cfm?fuseaction=Listing.ListingDetail&amp;ListingID=18672447</t>
  </si>
  <si>
    <t>3609 Albion Pl N</t>
  </si>
  <si>
    <t>http://www.windermere.com/index.cfm?fuseaction=Listing.ListingDetail&amp;ListingID=18672543</t>
  </si>
  <si>
    <t>3657 Greenwood Ave N</t>
  </si>
  <si>
    <t>http://www.windermere.com/index.cfm?fuseaction=Listing.ListingDetail&amp;ListingID=19088653</t>
  </si>
  <si>
    <t>2444 B NW 58th St</t>
  </si>
  <si>
    <t>http://www.windermere.com/index.cfm?fuseaction=Listing.ListingDetail&amp;ListingID=19338013</t>
  </si>
  <si>
    <t>5315 Latona Ave NE</t>
  </si>
  <si>
    <t>http://www.windermere.com/index.cfm?fuseaction=Listing.ListingDetail&amp;ListingID=19350453</t>
  </si>
  <si>
    <t>6816 25th Ave NE</t>
  </si>
  <si>
    <t>_1988</t>
  </si>
  <si>
    <t>http://www.windermere.com/index.cfm?fuseaction=Listing.ListingDetail&amp;ListingID=19074895</t>
  </si>
  <si>
    <t>314 N 103rd St</t>
  </si>
  <si>
    <t>_1991</t>
  </si>
  <si>
    <t>http://www.windermere.com/index.cfm?fuseaction=Listing.ListingDetail&amp;ListingID=19283285</t>
  </si>
  <si>
    <t>105 NW 101st St</t>
  </si>
  <si>
    <t>http://www.windermere.com/index.cfm?fuseaction=Listing.ListingDetail&amp;ListingID=19190230</t>
  </si>
  <si>
    <t>739 N 94th St A</t>
  </si>
  <si>
    <t>http://www.windermere.com/index.cfm?fuseaction=Listing.ListingDetail&amp;ListingID=19060033</t>
  </si>
  <si>
    <t>8520 2nd Ave NE</t>
  </si>
  <si>
    <t>http://www.windermere.com/index.cfm?fuseaction=Listing.ListingDetail&amp;ListingID=19252030</t>
  </si>
  <si>
    <t>1100 NE 123rd St</t>
  </si>
  <si>
    <t>_1956</t>
  </si>
  <si>
    <t>http://www.windermere.com/index.cfm?fuseaction=Listing.ListingDetail&amp;ListingID=19104551</t>
  </si>
  <si>
    <t>2633 A NW 58th St</t>
  </si>
  <si>
    <t>http://www.windermere.com/index.cfm?fuseaction=Listing.ListingDetail&amp;ListingID=18621558</t>
  </si>
  <si>
    <t>4337 4th Ave NW</t>
  </si>
  <si>
    <t>http://www.windermere.com/index.cfm?fuseaction=Listing.ListingDetail&amp;ListingID=19322649</t>
  </si>
  <si>
    <t>1025 N 36 St</t>
  </si>
  <si>
    <t>_1901</t>
  </si>
  <si>
    <t>http://www.windermere.com/index.cfm?fuseaction=Listing.ListingDetail&amp;ListingID=19360801</t>
  </si>
  <si>
    <t>2109 NE 100 St</t>
  </si>
  <si>
    <t>_1987</t>
  </si>
  <si>
    <t>http://www.windermere.com/index.cfm?fuseaction=Listing.ListingDetail&amp;ListingID=19362856</t>
  </si>
  <si>
    <t>10354 Densmore Ave N</t>
  </si>
  <si>
    <t>http://www.windermere.com/index.cfm?fuseaction=Listing.ListingDetail&amp;ListingID=19303929</t>
  </si>
  <si>
    <t>11715 Fremont Ave N</t>
  </si>
  <si>
    <t>http://www.windermere.com/index.cfm?fuseaction=Listing.ListingDetail&amp;ListingID=19342125</t>
  </si>
  <si>
    <t>5033 12th Ave NE A</t>
  </si>
  <si>
    <t>http://www.windermere.com/index.cfm?fuseaction=Listing.ListingDetail&amp;ListingID=19106819</t>
  </si>
  <si>
    <t>5033 12th Ave NE B</t>
  </si>
  <si>
    <t>http://www.windermere.com/index.cfm?fuseaction=Listing.ListingDetail&amp;ListingID=19254875</t>
  </si>
  <si>
    <t>6415 9th Ave NE A</t>
  </si>
  <si>
    <t>_2001</t>
  </si>
  <si>
    <t>http://www.windermere.com/index.cfm?fuseaction=Listing.ListingDetail&amp;ListingID=18588767</t>
  </si>
  <si>
    <t>7015 25th Ave NE</t>
  </si>
  <si>
    <t>http://www.windermere.com/index.cfm?fuseaction=Listing.ListingDetail&amp;ListingID=19365708</t>
  </si>
  <si>
    <t>751 N 83rd St</t>
  </si>
  <si>
    <t>http://www.windermere.com/index.cfm?fuseaction=Listing.ListingDetail&amp;ListingID=19128158</t>
  </si>
  <si>
    <t>825 NE 67th St B</t>
  </si>
  <si>
    <t>http://www.windermere.com/index.cfm?fuseaction=Listing.ListingDetail&amp;ListingID=18907358</t>
  </si>
  <si>
    <t>1433 NW 63rd St A</t>
  </si>
  <si>
    <t>http://www.windermere.com/index.cfm?fuseaction=Listing.ListingDetail&amp;ListingID=19136885</t>
  </si>
  <si>
    <t>1433 NW 63rd St B</t>
  </si>
  <si>
    <t>http://www.windermere.com/index.cfm?fuseaction=Listing.ListingDetail&amp;ListingID=18761619</t>
  </si>
  <si>
    <t>335 NW 46th St</t>
  </si>
  <si>
    <t>http://www.windermere.com/index.cfm?fuseaction=Listing.ListingDetail&amp;ListingID=19065829</t>
  </si>
  <si>
    <t>5519 B 28th Ave NW</t>
  </si>
  <si>
    <t>http://www.windermere.com/index.cfm?fuseaction=Listing.ListingDetail&amp;ListingID=19182427</t>
  </si>
  <si>
    <t>3653 Greenwood Ave N</t>
  </si>
  <si>
    <t>http://www.windermere.com/index.cfm?fuseaction=Listing.ListingDetail&amp;ListingID=19371422</t>
  </si>
  <si>
    <t>12739 Phinney Ave N</t>
  </si>
  <si>
    <t>http://www.windermere.com/index.cfm?fuseaction=Listing.ListingDetail&amp;ListingID=19194143</t>
  </si>
  <si>
    <t>2005 NE 85th St</t>
  </si>
  <si>
    <t>http://www.windermere.com/index.cfm?fuseaction=Listing.ListingDetail&amp;ListingID=19280733</t>
  </si>
  <si>
    <t>13544 22nd Ave NE</t>
  </si>
  <si>
    <t>http://www.windermere.com/index.cfm?fuseaction=Listing.ListingDetail&amp;ListingID=19174355</t>
  </si>
  <si>
    <t>11712 Fremont Ave N</t>
  </si>
  <si>
    <t>http://www.windermere.com/index.cfm?fuseaction=Listing.ListingDetail&amp;ListingID=18819961</t>
  </si>
  <si>
    <t>4018 B Linden Ave N</t>
  </si>
  <si>
    <t>http://www.windermere.com/index.cfm?fuseaction=Listing.ListingDetail&amp;ListingID=19346825</t>
  </si>
  <si>
    <t>3603 Albion Pl N</t>
  </si>
  <si>
    <t>http://www.windermere.com/index.cfm?fuseaction=Listing.ListingDetail&amp;ListingID=18672444</t>
  </si>
  <si>
    <t>823 NE 67th St A</t>
  </si>
  <si>
    <t>http://www.windermere.com/index.cfm?fuseaction=Listing.ListingDetail&amp;ListingID=18915737</t>
  </si>
  <si>
    <t>13514 23rd Ave NE</t>
  </si>
  <si>
    <t>http://www.windermere.com/index.cfm?fuseaction=Listing.ListingDetail&amp;ListingID=19327024</t>
  </si>
  <si>
    <t>2442 NW 59th St</t>
  </si>
  <si>
    <t>http://www.windermere.com/index.cfm?fuseaction=Listing.ListingDetail&amp;ListingID=19172134</t>
  </si>
  <si>
    <t>1103 NW 56th St</t>
  </si>
  <si>
    <t>http://www.windermere.com/index.cfm?fuseaction=Listing.ListingDetail&amp;ListingID=19341714</t>
  </si>
  <si>
    <t>http://www.windermere.com/index.cfm?fuseaction=Listing.ListingDetail&amp;ListingID=19145144</t>
  </si>
  <si>
    <t>1150 N 93rd St B</t>
  </si>
  <si>
    <t>http://www.windermere.com/index.cfm?fuseaction=Listing.ListingDetail&amp;ListingID=19221188</t>
  </si>
  <si>
    <t>2537 NE 97th St</t>
  </si>
  <si>
    <t>http://www.windermere.com/index.cfm?fuseaction=Listing.ListingDetail&amp;ListingID=19378564</t>
  </si>
  <si>
    <t>336 N 80th St</t>
  </si>
  <si>
    <t>_1920</t>
  </si>
  <si>
    <t>http://www.windermere.com/index.cfm?fuseaction=Listing.ListingDetail&amp;ListingID=19255159</t>
  </si>
  <si>
    <t>11536 4 Ave NE</t>
  </si>
  <si>
    <t>http://www.windermere.com/index.cfm?fuseaction=Listing.ListingDetail&amp;ListingID=19315502</t>
  </si>
  <si>
    <t>4756 4th Ave NE</t>
  </si>
  <si>
    <t>http://www.windermere.com/index.cfm?fuseaction=Listing.ListingDetail&amp;ListingID=19082312</t>
  </si>
  <si>
    <t>1925 NE 113th St</t>
  </si>
  <si>
    <t>http://www.windermere.com/index.cfm?fuseaction=Listing.ListingDetail&amp;ListingID=19102324</t>
  </si>
  <si>
    <t>http://www.windermere.com/index.cfm?fuseaction=Listing.ListingDetail&amp;ListingID=19357984</t>
  </si>
  <si>
    <t>1533 NW 51st St</t>
  </si>
  <si>
    <t>http://www.windermere.com/index.cfm?fuseaction=Listing.ListingDetail&amp;ListingID=19340919</t>
  </si>
  <si>
    <t>819 NE 102 St</t>
  </si>
  <si>
    <t>http://www.windermere.com/index.cfm?fuseaction=Listing.ListingDetail&amp;ListingID=19347523</t>
  </si>
  <si>
    <t>_1943</t>
  </si>
  <si>
    <t>13728 3rd Ave NW</t>
  </si>
  <si>
    <t>http://www.windermere.com/index.cfm?fuseaction=Listing.ListingDetail&amp;ListingID=19198666</t>
  </si>
  <si>
    <t>http://www.windermere.com/index.cfm?fuseaction=Listing.ListingDetail&amp;ListingID=18882240</t>
  </si>
  <si>
    <t>920 918 92nd St</t>
  </si>
  <si>
    <t>http://www.windermere.com/index.cfm?fuseaction=Listing.ListingDetail&amp;ListingID=19320055</t>
  </si>
  <si>
    <t>7503 5 Ave NE</t>
  </si>
  <si>
    <t>http://www.windermere.com/index.cfm?fuseaction=Listing.ListingDetail&amp;ListingID=19280257</t>
  </si>
  <si>
    <t>9749 Palatine Ave N</t>
  </si>
  <si>
    <t>http://www.windermere.com/index.cfm?fuseaction=Listing.ListingDetail&amp;ListingID=19336679</t>
  </si>
  <si>
    <t>8607 23rd Ave NE</t>
  </si>
  <si>
    <t>http://www.windermere.com/index.cfm?fuseaction=Listing.ListingDetail&amp;ListingID=18779507</t>
  </si>
  <si>
    <t>12833 Ashworth Ave N</t>
  </si>
  <si>
    <t>http://www.windermere.com/index.cfm?fuseaction=Listing.ListingDetail&amp;ListingID=19016079</t>
  </si>
  <si>
    <t>2600 NW 59th St</t>
  </si>
  <si>
    <t>http://www.windermere.com/index.cfm?fuseaction=Listing.ListingDetail&amp;ListingID=19373774</t>
  </si>
  <si>
    <t>817 NE 104th St</t>
  </si>
  <si>
    <t>_1979</t>
  </si>
  <si>
    <t>http://www.windermere.com/index.cfm?fuseaction=Listing.ListingDetail&amp;ListingID=19190530</t>
  </si>
  <si>
    <t>826 NW 62nd St B</t>
  </si>
  <si>
    <t>http://www.windermere.com/index.cfm?fuseaction=Listing.ListingDetail&amp;ListingID=19146140</t>
  </si>
  <si>
    <t>945 N 77th St</t>
  </si>
  <si>
    <t>http://www.windermere.com/index.cfm?fuseaction=Listing.ListingDetail&amp;ListingID=18928855</t>
  </si>
  <si>
    <t>6047 5th (not on freeway) Ave NE</t>
  </si>
  <si>
    <t>http://www.windermere.com/index.cfm?fuseaction=Listing.ListingDetail&amp;ListingID=19228455</t>
  </si>
  <si>
    <t>9055 Burke Ave N</t>
  </si>
  <si>
    <t>http://www.windermere.com/index.cfm?fuseaction=Listing.ListingDetail&amp;ListingID=19377706</t>
  </si>
  <si>
    <t>http://www.windermere.com/index.cfm?fuseaction=Listing.ListingDetail&amp;ListingID=18768523</t>
  </si>
  <si>
    <t>1768 N 128 St</t>
  </si>
  <si>
    <t>http://www.windermere.com/index.cfm?fuseaction=Listing.ListingDetail&amp;ListingID=19327829</t>
  </si>
  <si>
    <t>1422 C NW 64th St</t>
  </si>
  <si>
    <t>http://www.windermere.com/index.cfm?fuseaction=Listing.ListingDetail&amp;ListingID=19322432</t>
  </si>
  <si>
    <t>6035 25th Ave NE</t>
  </si>
  <si>
    <t>http://www.windermere.com/index.cfm?fuseaction=Listing.ListingDetail&amp;ListingID=19374487</t>
  </si>
  <si>
    <t>408 A N 49th St</t>
  </si>
  <si>
    <t>http://www.windermere.com/index.cfm?fuseaction=Listing.ListingDetail&amp;ListingID=19012321</t>
  </si>
  <si>
    <t>2427 NW 58th St A</t>
  </si>
  <si>
    <t>http://www.windermere.com/index.cfm?fuseaction=Listing.ListingDetail&amp;ListingID=19150106</t>
  </si>
  <si>
    <t>2131 N 86th St</t>
  </si>
  <si>
    <t>http://www.windermere.com/index.cfm?fuseaction=Listing.ListingDetail&amp;ListingID=19220502</t>
  </si>
  <si>
    <t>2444 A NW 58th St</t>
  </si>
  <si>
    <t>http://www.windermere.com/index.cfm?fuseaction=Listing.ListingDetail&amp;ListingID=19266059</t>
  </si>
  <si>
    <t>8063 Ravenna Ave NE</t>
  </si>
  <si>
    <t>http://www.windermere.com/index.cfm?fuseaction=Listing.ListingDetail&amp;ListingID=19037181</t>
  </si>
  <si>
    <t>1205 NE 125th St</t>
  </si>
  <si>
    <t>http://www.windermere.com/index.cfm?fuseaction=Listing.ListingDetail&amp;ListingID=18927434</t>
  </si>
  <si>
    <t>13732 B Corliss Ave N</t>
  </si>
  <si>
    <t>_1978</t>
  </si>
  <si>
    <t>http://www.windermere.com/index.cfm?fuseaction=Listing.ListingDetail&amp;ListingID=19281742</t>
  </si>
  <si>
    <t>http://www.windermere.com/index.cfm?fuseaction=Listing.ListingDetail&amp;ListingID=19272515</t>
  </si>
  <si>
    <t>http://www.windermere.com/index.cfm?fuseaction=Listing.ListingDetail&amp;ListingID=19163838</t>
  </si>
  <si>
    <t>http://www.windermere.com/index.cfm?fuseaction=Listing.ListingDetail&amp;ListingID=19342509</t>
  </si>
  <si>
    <t>10755 14TH Ave NE</t>
  </si>
  <si>
    <t>http://www.windermere.com/index.cfm?fuseaction=Listing.ListingDetail&amp;ListingID=19041872</t>
  </si>
  <si>
    <t>712 N 89th St</t>
  </si>
  <si>
    <t>http://www.windermere.com/index.cfm?fuseaction=Listing.ListingDetail&amp;ListingID=19246332</t>
  </si>
  <si>
    <t>102 NW 46th St</t>
  </si>
  <si>
    <t>http://www.windermere.com/index.cfm?fuseaction=Listing.ListingDetail&amp;ListingID=19288456</t>
  </si>
  <si>
    <t>8530 Wallingford Ave N</t>
  </si>
  <si>
    <t>http://www.windermere.com/index.cfm?fuseaction=Listing.ListingDetail&amp;ListingID=19295722</t>
  </si>
  <si>
    <t>5511 B 28th Ave NW</t>
  </si>
  <si>
    <t>http://www.windermere.com/index.cfm?fuseaction=Listing.ListingDetail&amp;ListingID=18918430</t>
  </si>
  <si>
    <t>3619 A Albion Pl N</t>
  </si>
  <si>
    <t>http://www.windermere.com/index.cfm?fuseaction=Listing.ListingDetail&amp;ListingID=18892582</t>
  </si>
  <si>
    <t>730 N 89th St</t>
  </si>
  <si>
    <t>_1985</t>
  </si>
  <si>
    <t>http://www.windermere.com/index.cfm?fuseaction=Listing.ListingDetail&amp;ListingID=19383016</t>
  </si>
  <si>
    <t>4809 A Stoneway Ave N.</t>
  </si>
  <si>
    <t>http://www.windermere.com/index.cfm?fuseaction=Listing.ListingDetail&amp;ListingID=19365702</t>
  </si>
  <si>
    <t>5311 5th Ave NE</t>
  </si>
  <si>
    <t>http://www.windermere.com/index.cfm?fuseaction=Listing.ListingDetail&amp;ListingID=19298354</t>
  </si>
  <si>
    <t>http://www.windermere.com/index.cfm?fuseaction=Listing.ListingDetail&amp;ListingID=18867060</t>
  </si>
  <si>
    <t>507 N 105th St</t>
  </si>
  <si>
    <t>http://www.windermere.com/index.cfm?fuseaction=Listing.ListingDetail&amp;ListingID=18930083</t>
  </si>
  <si>
    <t>http://www.windermere.com/index.cfm?fuseaction=Listing.ListingDetail&amp;ListingID=19278049</t>
  </si>
  <si>
    <t>12232 Fremont Ave N</t>
  </si>
  <si>
    <t>http://www.windermere.com/index.cfm?fuseaction=Listing.ListingDetail&amp;ListingID=19247940</t>
  </si>
  <si>
    <t>1420 B NW 64th St</t>
  </si>
  <si>
    <t>http://www.windermere.com/index.cfm?fuseaction=Listing.ListingDetail&amp;ListingID=19248441</t>
  </si>
  <si>
    <t>1420 A NW 64th St</t>
  </si>
  <si>
    <t>http://www.windermere.com/index.cfm?fuseaction=Listing.ListingDetail&amp;ListingID=19248438</t>
  </si>
  <si>
    <t>1424 A NW 64th St</t>
  </si>
  <si>
    <t>http://www.windermere.com/index.cfm?fuseaction=Listing.ListingDetail&amp;ListingID=19248416</t>
  </si>
  <si>
    <t>1424 B NW 64th St</t>
  </si>
  <si>
    <t>http://www.windermere.com/index.cfm?fuseaction=Listing.ListingDetail&amp;ListingID=19248425</t>
  </si>
  <si>
    <t>3423 Meridian Ave N</t>
  </si>
  <si>
    <t>http://www.windermere.com/index.cfm?fuseaction=Listing.ListingDetail&amp;ListingID=19064728</t>
  </si>
  <si>
    <t>1437 NW 62 St B</t>
  </si>
  <si>
    <t>http://www.windermere.com/index.cfm?fuseaction=Listing.ListingDetail&amp;ListingID=19353991</t>
  </si>
  <si>
    <t>http://www.windermere.com/index.cfm?fuseaction=Listing.ListingDetail&amp;ListingID=19345067</t>
  </si>
  <si>
    <t>5515 B 28th Ave NW</t>
  </si>
  <si>
    <t>http://www.windermere.com/index.cfm?fuseaction=Listing.ListingDetail&amp;ListingID=19309006</t>
  </si>
  <si>
    <t>13071 8th Ct NE</t>
  </si>
  <si>
    <t>http://www.windermere.com/index.cfm?fuseaction=Listing.ListingDetail&amp;ListingID=19379075</t>
  </si>
  <si>
    <t>2516 NE 137th St</t>
  </si>
  <si>
    <t>http://www.windermere.com/index.cfm?fuseaction=Listing.ListingDetail&amp;ListingID=19262687</t>
  </si>
  <si>
    <t>825 NW Market St</t>
  </si>
  <si>
    <t>http://www.windermere.com/index.cfm?fuseaction=Listing.ListingDetail&amp;ListingID=19288452</t>
  </si>
  <si>
    <t>4517 Thackeray Pl NE</t>
  </si>
  <si>
    <t>http://www.windermere.com/index.cfm?fuseaction=Listing.ListingDetail&amp;ListingID=19350454</t>
  </si>
  <si>
    <t>2144 N 51st St</t>
  </si>
  <si>
    <t>http://www.windermere.com/index.cfm?fuseaction=Listing.ListingDetail&amp;ListingID=19307351</t>
  </si>
  <si>
    <t>3611 B Interlake Ave N</t>
  </si>
  <si>
    <t>http://www.windermere.com/index.cfm?fuseaction=Listing.ListingDetail&amp;ListingID=19025633</t>
  </si>
  <si>
    <t>3421 Meridian Ave N</t>
  </si>
  <si>
    <t>http://www.windermere.com/index.cfm?fuseaction=Listing.ListingDetail&amp;ListingID=19212618</t>
  </si>
  <si>
    <t>846 NW 52nd St</t>
  </si>
  <si>
    <t>http://www.windermere.com/index.cfm?fuseaction=Listing.ListingDetail&amp;ListingID=18827147</t>
  </si>
  <si>
    <t>848 NW 52nd St</t>
  </si>
  <si>
    <t>http://www.windermere.com/index.cfm?fuseaction=Listing.ListingDetail&amp;ListingID=18827156</t>
  </si>
  <si>
    <t>http://www.windermere.com/index.cfm?fuseaction=Listing.ListingDetail&amp;ListingID=18790899</t>
  </si>
  <si>
    <t>545 N 78th St</t>
  </si>
  <si>
    <t>http://www.windermere.com/index.cfm?fuseaction=Listing.ListingDetail&amp;ListingID=19072165</t>
  </si>
  <si>
    <t>9240 Densmore Ave N</t>
  </si>
  <si>
    <t>http://www.windermere.com/index.cfm?fuseaction=Listing.ListingDetail&amp;ListingID=19376128</t>
  </si>
  <si>
    <t>3645 Greenwood Ave N</t>
  </si>
  <si>
    <t>http://www.windermere.com/index.cfm?fuseaction=Listing.ListingDetail&amp;ListingID=19221882</t>
  </si>
  <si>
    <t>3647 Greenwood Ave N</t>
  </si>
  <si>
    <t>http://www.windermere.com/index.cfm?fuseaction=Listing.ListingDetail&amp;ListingID=19088651</t>
  </si>
  <si>
    <t>3611 C Albion Pl N</t>
  </si>
  <si>
    <t>http://www.windermere.com/index.cfm?fuseaction=Listing.ListingDetail&amp;ListingID=18892529</t>
  </si>
  <si>
    <t>3615 C Albion Pl N</t>
  </si>
  <si>
    <t>http://www.windermere.com/index.cfm?fuseaction=Listing.ListingDetail&amp;ListingID=19247757</t>
  </si>
  <si>
    <t>213 B N 39th St</t>
  </si>
  <si>
    <t>http://www.windermere.com/index.cfm?fuseaction=Listing.ListingDetail&amp;ListingID=19088652</t>
  </si>
  <si>
    <t>4673 1st Ave NE</t>
  </si>
  <si>
    <t>http://www.windermere.com/index.cfm?fuseaction=Listing.ListingDetail&amp;ListingID=19303298</t>
  </si>
  <si>
    <t>5233 Russell Ave NW B</t>
  </si>
  <si>
    <t>http://www.windermere.com/index.cfm?fuseaction=Listing.ListingDetail&amp;ListingID=19235916</t>
  </si>
  <si>
    <t>5231 Russell Ave NW A</t>
  </si>
  <si>
    <t>http://www.windermere.com/index.cfm?fuseaction=Listing.ListingDetail&amp;ListingID=19236131</t>
  </si>
  <si>
    <t>5231 Russell Ave NW B</t>
  </si>
  <si>
    <t>http://www.windermere.com/index.cfm?fuseaction=Listing.ListingDetail&amp;ListingID=19236178</t>
  </si>
  <si>
    <t>5235 Russell Ave NW A</t>
  </si>
  <si>
    <t>http://www.windermere.com/index.cfm?fuseaction=Listing.ListingDetail&amp;ListingID=19175636</t>
  </si>
  <si>
    <t>9238 9240 Woodlawn Ave N</t>
  </si>
  <si>
    <t>http://www.windermere.com/index.cfm?fuseaction=Listing.ListingDetail&amp;ListingID=19321902</t>
  </si>
  <si>
    <t>6509 27th Ave NE</t>
  </si>
  <si>
    <t>http://www.windermere.com/index.cfm?fuseaction=Listing.ListingDetail&amp;ListingID=18791183</t>
  </si>
  <si>
    <t>http://www.windermere.com/index.cfm?fuseaction=Listing.ListingDetail&amp;ListingID=19179645</t>
  </si>
  <si>
    <t>7537 11th Ave NE</t>
  </si>
  <si>
    <t>http://www.windermere.com/index.cfm?fuseaction=Listing.ListingDetail&amp;ListingID=19312722</t>
  </si>
  <si>
    <t>10047 Wallingford Ave N</t>
  </si>
  <si>
    <t>http://www.windermere.com/index.cfm?fuseaction=Listing.ListingDetail&amp;ListingID=19308244</t>
  </si>
  <si>
    <t>3605 A Interlake Ave N</t>
  </si>
  <si>
    <t>http://www.windermere.com/index.cfm?fuseaction=Listing.ListingDetail&amp;ListingID=18940217</t>
  </si>
  <si>
    <t>http://www.windermere.com/index.cfm?fuseaction=Listing.ListingDetail&amp;ListingID=19158681</t>
  </si>
  <si>
    <t>_1910</t>
  </si>
  <si>
    <t>907 N 68th St</t>
  </si>
  <si>
    <t>http://www.windermere.com/index.cfm?fuseaction=Listing.ListingDetail&amp;ListingID=18620816</t>
  </si>
  <si>
    <t>3618 2nd Ave NW</t>
  </si>
  <si>
    <t>http://www.windermere.com/index.cfm?fuseaction=Listing.ListingDetail&amp;ListingID=19153177</t>
  </si>
  <si>
    <t>1517 NE 91st St</t>
  </si>
  <si>
    <t>http://www.windermere.com/index.cfm?fuseaction=Listing.ListingDetail&amp;ListingID=19168304</t>
  </si>
  <si>
    <t>907 N 67th St</t>
  </si>
  <si>
    <t>http://www.windermere.com/index.cfm?fuseaction=Listing.ListingDetail&amp;ListingID=19153814</t>
  </si>
  <si>
    <t>918 NW Market St</t>
  </si>
  <si>
    <t>http://www.windermere.com/index.cfm?fuseaction=Listing.ListingDetail&amp;ListingID=19154776</t>
  </si>
  <si>
    <t>450 N 39 St</t>
  </si>
  <si>
    <t>http://www.windermere.com/index.cfm?fuseaction=Listing.ListingDetail&amp;ListingID=19381434</t>
  </si>
  <si>
    <t>3633 Wallingford Ave N C</t>
  </si>
  <si>
    <t>http://www.windermere.com/index.cfm?fuseaction=Listing.ListingDetail&amp;ListingID=18941377</t>
  </si>
  <si>
    <t>3638 Palatine Ave N B</t>
  </si>
  <si>
    <t>http://www.windermere.com/index.cfm?fuseaction=Listing.ListingDetail&amp;ListingID=19336980</t>
  </si>
  <si>
    <t>213 A N 39th St</t>
  </si>
  <si>
    <t>http://www.windermere.com/index.cfm?fuseaction=Listing.ListingDetail&amp;ListingID=19371419</t>
  </si>
  <si>
    <t>213 C N 39th St</t>
  </si>
  <si>
    <t>http://www.windermere.com/index.cfm?fuseaction=Listing.ListingDetail&amp;ListingID=19371420</t>
  </si>
  <si>
    <t>5216 11 Ave NE B</t>
  </si>
  <si>
    <t>http://www.windermere.com/index.cfm?fuseaction=Listing.ListingDetail&amp;ListingID=19265102</t>
  </si>
  <si>
    <t>5216 11 Ave NE A</t>
  </si>
  <si>
    <t>http://www.windermere.com/index.cfm?fuseaction=Listing.ListingDetail&amp;ListingID=19265101</t>
  </si>
  <si>
    <t>103 N 97th St</t>
  </si>
  <si>
    <t>http://www.windermere.com/index.cfm?fuseaction=Listing.ListingDetail&amp;ListingID=19376679</t>
  </si>
  <si>
    <t>8614 Corliss Ave N</t>
  </si>
  <si>
    <t>http://www.windermere.com/index.cfm?fuseaction=Listing.ListingDetail&amp;ListingID=18632922</t>
  </si>
  <si>
    <t>11348 28th Ave NE</t>
  </si>
  <si>
    <t>http://www.windermere.com/index.cfm?fuseaction=Listing.ListingDetail&amp;ListingID=18803463</t>
  </si>
  <si>
    <t>http://www.windermere.com/index.cfm?fuseaction=Listing.ListingDetail&amp;ListingID=18548242</t>
  </si>
  <si>
    <t>http://www.windermere.com/index.cfm?fuseaction=Listing.ListingDetail&amp;ListingID=19378561</t>
  </si>
  <si>
    <t>Source_Windermere</t>
  </si>
  <si>
    <t>X</t>
  </si>
  <si>
    <t>Source_CBBain</t>
  </si>
  <si>
    <t>Source_NWMLS</t>
  </si>
  <si>
    <t>130th St exit off I-5 &amp;amp; go West and turn North/Right onto Greenwood Ave N. West/Left on 137th Ave. North/Right on Palatine.</t>
  </si>
  <si>
    <t>Cable TV, Fenced-Partially, High Speed Internet, Nat. Gas Available</t>
  </si>
  <si>
    <t>Storybook Cottage with White Picket Fence ! Charming setting in the heart of Broadview. New Carpet &amp;amp; Paint. Old world charm and Move in Ready ! Serene backyard setting. Great Location close to parks and the Seattle Golf Club.</t>
  </si>
  <si>
    <t>Northgate</t>
  </si>
  <si>
    <t>From Northgate Way take a right on 107th.</t>
  </si>
  <si>
    <t>Dining Room, Dble Pane/Strm Windw, French Doors, Skylights</t>
  </si>
  <si>
    <t>Cable TV, Fenced-Fully, RV Parking</t>
  </si>
  <si>
    <t>Views of Nordstrom from this cute, cozy updated home. The woodwork is sure to amaze! Featuring hardwood floors, kitchen cabinets with mahogany inlays and a remarkable wood/stone crafted fireplace. The open spacious kitchen, enormous master bedroom and great bonus room make this everything you need in a home. Be sure to see the magnificant black walnut tree that encompasses this house. Detached structure would make a great office. All this and more... Superb location close to happening Northgate.</t>
  </si>
  <si>
    <t>A-6</t>
  </si>
  <si>
    <t>On 80th between 24th &amp;amp; 32nd on North side of street.</t>
  </si>
  <si>
    <t>Absolutely charming Loyal Heights bungalow. Beautiful hardwood floors, open floor plan, new interior paint, newly remodeled bath &amp;amp; new furnace. The newly built fireplace mantle is a classy addition to the original architecture. The kitchen has a butcher-block eating bar, newer appliances &amp;amp; original counter tiles. Light &amp;amp; bright corner lot with fenced yard, tons of seasonal flowers, custom stone patio, &amp;amp; beautiful landscaping. This home is super cute.</t>
  </si>
  <si>
    <t>From I-5 head west on 85th. South on 3rd Ave NW. Right on NW 44th St. Left on 4th Ave NW.</t>
  </si>
  <si>
    <t>1909 Bungalow with old world charm throughout. High ceilings, original millwork, period detailed windows and fir floors. Huge formal dining room has beautiful arched doorway. Period bathroom features hextile floor, claw foot tub and pedestal sink. Basement with rec room and plenty of storage. All appliances stay. Deck over looks backyard with mature landscaping such as cherry, peach, pear and fig trees. Excellent location across street from Ross Park.</t>
  </si>
  <si>
    <t>G-5</t>
  </si>
  <si>
    <t>Ceramic Tile, Laminate</t>
  </si>
  <si>
    <t>elec/bath</t>
  </si>
  <si>
    <t>Dibble is between 8th and 9th Aves NW</t>
  </si>
  <si>
    <t>A white picket fence welcomes you to this charming home with newer laminate floors, a warm &amp;amp; inviting living room and kitchen, light filled living spaces, &amp;amp; large windows that overlook lovely garden spaces. In the front yard is a brick patio surrounded by flowering trees and plants, while the backyard contains raised beds and additional garden areas. Situated on a residential street of bigger more expensive homes, this quaint cottage offers small home living at its finest.</t>
  </si>
  <si>
    <t>From Aurora (hwy 99) west on 125th and south on Fremont.</t>
  </si>
  <si>
    <t>Fenced-Fully, Nat. Gas Available, Outbuildings</t>
  </si>
  <si>
    <t>This sweet 1918 Craftsman Farmhouse is situated on a large sunny lot in the desirable Broadview area. Step up onto the classic front porch into the light and bright living room with hardwood floors, broad moldings and brick wood-burning fireplace which add to the old world charm feel. Cute country kitchen offers updated appliances with gas range and eating nook. The big very private fully fenced yard is perfect for BBQ's, play and pets. A must see!</t>
  </si>
  <si>
    <t>Insert, Radiant</t>
  </si>
  <si>
    <t>5, 358, 355</t>
  </si>
  <si>
    <t>Ceramic Tile, Concrete, Fir/Softwood, Vinyl, Wall to Wall Carpet</t>
  </si>
  <si>
    <t>From Aurora Ave North, go west on 125th, left on Fremont Ave N, home is on the left.</t>
  </si>
  <si>
    <t>Bath Off Master, Dble Pane/Strm Windw, Fireplace in Mstr BR, French Doors, Loft, Skylights, Vaulted Ceilings, Walk-in Closet, Walk In Pantry, 2nd Master</t>
  </si>
  <si>
    <t>Cable TV, Fenced-Partially, High Speed Internet, Nat. Gas Available, Patio</t>
  </si>
  <si>
    <t>Price just reduced! Great Condo or Townhouse alternative! Light &amp;amp; spacious, this home was remodeled to the studs in 2004 by a trend-setting eco-designer! New plumbing,electric,roof,windows,&amp;amp; heat w/water-based radiant floors. Great room w/artisan-stained concrete floors leads into the updated kitchen. 2 master bedrooms w/Spanish marble/designer tile work in bathrooms (one has a claw-foot tub!) Upper master is a studio w/loft &amp;amp; view of Cascades. Pvt yard w/mature landscape in quiet neighborhood.</t>
  </si>
  <si>
    <t>Dryer, Garbage Disposal, Range/Oven, Refrigerator, Washer</t>
  </si>
  <si>
    <t>From I -5 head West. Turn right on N 80th st. Left onto 8th Ave NW. Right on NW 56th st</t>
  </si>
  <si>
    <t>Solid brick Cape Cod in the heart of Ballard. This home features fresh interior paint, hardwood floors, tile countertops in kitchen, and newer gas furnace. Desirable L1 zoning with possible expansion for second unit in basement. Great corner lot with mature landscaping. Excellent location close to restaurants and shopping. A great home or investment property.</t>
  </si>
  <si>
    <t>F-4</t>
  </si>
  <si>
    <t>Concrete, Hardwood, Vinyl</t>
  </si>
  <si>
    <t>From I-5 West on NW 85th St. Turn right to Dibble Ave NW. Up 5 blocks on your left.</t>
  </si>
  <si>
    <t>Fenced-Partially, High Speed Internet, Patio</t>
  </si>
  <si>
    <t>Solid built rambler w/basement on a quiet street at Crown Hill near Carkeek Park. Spacious living rm w/Basalt fireplace, leading to an inviting dining area overlooking the park-like yard, three bedrooms on main level w/oak floors &amp;amp; fir trims, large kitchen w/ample counter space. Lower level features family/rec room, fireplace, 1/2 bath. Space for a den and 2-car garage w/utility room. Near to bus, stores and restaurants. Easy access to freeway, downtown and UW.</t>
  </si>
  <si>
    <t>From 15th Ave NW go West on 77th, then right on 17th.</t>
  </si>
  <si>
    <t>Great space and great location in this Ballard bungalow with 3 bdrm and 2.5 baths on 2 levels. This would make a great home or investment property, with private lower level entrance and finished basement. Large living rm with brick fireplace. Sm bdrm has 1/2 bath. Large 2 car detached garage with alley access. Copper plumbing, fairly new and newer electrical service. Close to Ballard's quaint shopping, Downtown, and Shilshole.</t>
  </si>
  <si>
    <t>Electric, Oil, Wood</t>
  </si>
  <si>
    <t>Fir/Softwood, Hardwood, Laminate, Vinyl, Wall to Wall Carpet</t>
  </si>
  <si>
    <t>Electric / basement</t>
  </si>
  <si>
    <t>From Aurora Ave N turn west on 92nd St up the hill about a block. Property on right side of street.</t>
  </si>
  <si>
    <t>Cable TV, Fenced-Partially, High Speed Internet, Patio</t>
  </si>
  <si>
    <t>Charming 1926 home has been converted to a duplex with the upstairs unit occupying the main floor and finished upstairs. This approx 1500sq ft unit is lightfilled with hrdwd floors, period molding, and a fireplace. The main floor includes a South facing livingrm, formal diningroom, kitchen w/cute eating nook. bdrm, bthrm, spare room, &amp;amp; 2 bedrooms upstairs. Basement has been converted to a 700 sqft 2 bdrm, 3/4 bath apartment. Both have own entries, separately metered &amp;amp; share laundry &amp;amp; large yard.</t>
  </si>
  <si>
    <t>Take the N. 85th st. ramp toward Aurora Ave. N.Turn slight right onto N 85th st. Turn left onto Dibble Ave NW.</t>
  </si>
  <si>
    <t>Cape Cod classic with wood floors, fireplace, built in bookcases, &amp;amp; crown molding. Kitchen features original tile. Sunny dining area with built-in corner hutches. Stone patio overlooks landscaped private, fully fenced backyard. Basement great for storage or potential for expansion.</t>
  </si>
  <si>
    <t>Ceramic Tile, Hardwood, Wall to Wall Carpet, See Remarks</t>
  </si>
  <si>
    <t>Electric/Lower</t>
  </si>
  <si>
    <t>I-5 to West on 85th to north on 3rd and west on 88th to the corner.</t>
  </si>
  <si>
    <t>Ceiling Fan(s), Dble Pane/Strm Windw</t>
  </si>
  <si>
    <t>Sunday Open House 1-4 pm. Foundation up remodel, new landscaping, quiet street, close to shopping and easy access to I-5. Light/bright corner lot for sunny exposre. Potential for MIL in basement that is plumbed &amp;amp; wired for kitchenette. Hardwood &amp;amp; tile floors, new windows, roof, siding, electrical, plumbing, sewer line, and speciality fixtures. Lower level bedroom is non-conforming, but is large and roomy. This is a rare find with quality of workmanship and a brand new makeover.</t>
  </si>
  <si>
    <t>Lake City</t>
  </si>
  <si>
    <t>Range/Oven</t>
  </si>
  <si>
    <t>Ceramic Tile, Concrete, Fir/Softwood, Hardwood, Wall to Wall Carpet</t>
  </si>
  <si>
    <t>From Lake City Way NE turn west up the hill for 2 blks than turn right. House will be on the left</t>
  </si>
  <si>
    <t>Ceiling Fan(s), Dining Room, Dble Pane/Strm Windw, French Doors, High Tech Cabling, Hot Tub/Spa, Jetted/Soaking Tub, Skylights</t>
  </si>
  <si>
    <t>Cable TV, Deck, Fenced-Fully, High Speed Internet, Hot Tub/Spa, Nat. Gas Available, Patio, RV Parking</t>
  </si>
  <si>
    <t>Opportunity knocks w/ this Diamond in the Rough! Huge in the city lot with gorgeous rear yard w/ multi-level deck w/ grape arbor, hot tub that needs repairs but looks great. Deck steps down to brick paver patio. Mature plum &amp;amp; apple trees in fenced yard. Home is of the 1935 era ith lots of the original molding in the home. Home needs repairs and being sold in as is condition. basement unfinished with 1 car garage. Build sweat equity! offered below assessed value!</t>
  </si>
  <si>
    <t>3228 NE 86th St</t>
  </si>
  <si>
    <t>From 35th Ave head West on 86th Street.</t>
  </si>
  <si>
    <t>Polished &amp;amp; absolutely gorgeous! Sophisticated urban Wedgwood rambler with a timeless style. Meticulous move-in condition. Gorgeous refinished oak floors. Updated kitchen with built in eating bench. Light &amp;amp; open with southern exposure &amp;amp; big picture windows. Beautifully landscaped backyard is great for kids &amp;amp; pets. Oversized garage with workshop area could easily be transformed to a 2-car garage. Insulated windows &amp;amp; gas heat. Coveted Wedgwood neighborhood walking distance to shops, schools, etc...</t>
  </si>
  <si>
    <t>Dishwasher, Dryer, Microwave, Range/Oven, Refrigerator, Washer, See Remarks</t>
  </si>
  <si>
    <t>New in '05 electric crawlspace</t>
  </si>
  <si>
    <t>West from Lake City Wy or East from Roosevelt Wy.Driveway N side NE 125th St in the middle of the 1900 Blk. Pull right in the driveway or park across the street church.Can't see house from the street.</t>
  </si>
  <si>
    <t>Cable TV, Dog Run, Fenced-Fully, High Speed Internet, Outbuildings, Patio</t>
  </si>
  <si>
    <t xml:space="preserve"> Please see attached legal</t>
  </si>
  <si>
    <t>Don't miss this tastefully remodeled &amp;amp; updated Pinehurst rambler. From newer flooring to fresh interior paint, this one is worth a look. Vinyl windows, new insulation throughout (that's right, the entire house) a cozy living room with fireplace to keep you warm and the heat in. Updated bath, bright kitchen with great eating space &amp;amp; new '05 cabinets, flooring &amp;amp; appliances. Elevated high above the street you will enjoy privacy &amp;amp; meticulous landscaping with lots of room to play and entertain.</t>
  </si>
  <si>
    <t>Matthews Beach</t>
  </si>
  <si>
    <t>9514 Sandpoint Way NE</t>
  </si>
  <si>
    <t>Electric / Garage</t>
  </si>
  <si>
    <t>From Lake City Way head East on NE 95th then turn North (Left) onto Sandpoint Way. House on your Right.</t>
  </si>
  <si>
    <t>Bath Off Master, Ceiling Fan(s), Dble Pane/Strm Windw, French Doors, Skylights, Vaulted Ceilings, Walk-in Closet</t>
  </si>
  <si>
    <t>Truly a gem!Ready to move-in.New Kitchen cabinets, countertops, sink, dishwasher.Newer range &amp;amp; stainless steel refri.Hardwood floors in kitchen w/french doors leading to private deck and fenced yard.Master suite w/walk-in closet and cathedral ceilings.New bathrooms w/tile floor, vanities &amp;amp; fixtures.Living room w/wood burning frplc &amp;amp; cathedral ceilings.New carpet thru-out.Freshly painted interior.Pristine condition.Single car attached garage.Part of 1031 tax exchange at no cost to buyer!</t>
  </si>
  <si>
    <t>I-5 N, Take exit 175 toward NE 145th St/WA-523, Merge onto 5th Ave NE, right at NE 145th St/WA-523, right at 22nd Ave NE, Continue on 23rd Ave NE</t>
  </si>
  <si>
    <t>Cable TV, Fenced-Fully, Nat. Gas Available</t>
  </si>
  <si>
    <t>Beautiful 4 bedroom, 2 bath, 2200 Sq Ft house in Olympic Hills. This home has been completely remodeled and still boasts character and charm. Granite slab countertops, enormous kitchen with an abundance of cabinet storage, new gas furnace, tankless water system and new roof! Living room with wood burning fireplace, hardwood floors, new carpet, new paint, all new windows, new bathrooms, spacious family room downstairs also has a fireplace.</t>
  </si>
  <si>
    <t>N on lk city way right on 117th.</t>
  </si>
  <si>
    <t>There is a brand new roof and electric panel on this much loved and comfortable home that is on the market for the first time in 50 years. Main floor has a circular floor plan, large living room with wood burning fireplace, dining room, coved ceilings, spacious kitchen and lots of storage. The main floor bedroom has an adjoing bathroom. Upstairs has room for very large master suite. Lower level has rec room, 3/4 bath and laundry and a separate entrance. Attached 2 car tandem garage. Corner lot.</t>
  </si>
  <si>
    <t>Dryer, Washer, See Remarks</t>
  </si>
  <si>
    <t>From Northgate Way go North on 5th, turn Left on 115, Right on 4th. House on the east side of the road.</t>
  </si>
  <si>
    <t>Cable TV, Deck, Fenced-Partially, Nat. Gas Available, RV Parking</t>
  </si>
  <si>
    <t>Charming home w/circular flr plan where natural sunlight abounds,hrdwd flrs,cozy f/p,new paint inside/out,ample storage. Great deck &amp;amp; fenced yrd w/fruit trees. New roof,tile &amp;amp; carpet,newly finished lower lvl w/3rd bd,bth &amp;amp; den w/direct yrd access. Attchd gar,carport w/water&amp;amp;power for RV/boat &amp;amp; pkng for 4 more cars! Convenient location close to NW hospital,clinics,Mall,Lbry, Schools,Parks,Restaurants,bus,Park&amp;amp;Ride,NSCC,EZ freeway access! An urban retreat just minutes to downtown. Move in &amp;amp; enjoy!</t>
  </si>
  <si>
    <t>B-5</t>
  </si>
  <si>
    <t>From NE 80th go south on 11th Ave. NE to House</t>
  </si>
  <si>
    <t>Dining Room, Security System, Walk-in Closet</t>
  </si>
  <si>
    <t>Charming 1923 craftsman. Home loaded with character, including hardwood floors, fireplace, leaded windows, built in cabinets and a rocking chair porch. The warm living rm and dining rm are perfect for entertaining. Two bedrooms on upper level with new carpeting. Unfinished basement over 1000 sq.ft. with full height ceiling ready for your ideas. Close to Green Lake and all the 65th St. and Roosevelt Square shops. Excellent access to the freeway. Zoned for commercial opportunities.</t>
  </si>
  <si>
    <t>Natural Gas, Oil</t>
  </si>
  <si>
    <t>Dishwasher, Dryer, Range/Oven, Washer</t>
  </si>
  <si>
    <t>I-5 North. Take exit 174 (130th/Roosevelt Way). Left onto 130th for .4 miles. Left on Meridian Ave. N. R on N. 128th</t>
  </si>
  <si>
    <t>Cable TV, Fenced-Partially, High Speed Internet, Nat. Gas Available, RV Parking</t>
  </si>
  <si>
    <t>SHORT SALE, 1916 Farm House, 7 bedroom's, 1 3/4 Bathroom's,Hardwood floors,great mill work,formal dining room, kitchen with eating area, Full basement with lots of head room, 8840 SF lot,Wonderful front porch, SOLD AS IS, Make Offer! Great Value!</t>
  </si>
  <si>
    <t>Electric/Lower Level</t>
  </si>
  <si>
    <t>NW 85th to South on 26th Ave NW.</t>
  </si>
  <si>
    <t>A great floorplan makes this a very livable home. Three bedrooms on the main floor and one on the lower level. Low maintenance yard and covered boat/RV storage. Newer roof. Hardwood floors on main level. Kitchen with eating space. Great Loyal Heights location close to Golden Gardens and within walking distance of neighborhood amenities.</t>
  </si>
  <si>
    <t>Hardwood, Slate, Vinyl</t>
  </si>
  <si>
    <t>From 125th, north on 30th, west (left) on 133rd, south (left) on 28th, home is on the right. From 145th, south on 30th, west (right) on 133rd, south (left) on 28th, home is on the right.</t>
  </si>
  <si>
    <t>Fenced-Fully, Patio</t>
  </si>
  <si>
    <t>Welcome Home. This is the remodeled mid-century rambler you've been waiting for! Situated on a large, level lot on a dead end cul-de-sac, this home has been completely updated! Finally, a solid, quality home with modern finishes. New roof, hardwoods, bathroom, kitchen, interior and exterior paint, and hot water heater all in the last 3 years! Copper plumbing, gas heating and cooking, huge sunny backyard, deep attached garage. This is it!</t>
  </si>
  <si>
    <t>Laminate</t>
  </si>
  <si>
    <t>Gas/basement</t>
  </si>
  <si>
    <t>From Lake City Way, turn east on 107th. Left into cul-de-sac on 28th.</t>
  </si>
  <si>
    <t>High Tech Cabling, Security System</t>
  </si>
  <si>
    <t>Fenced-Fully, High Speed Internet, Nat. Gas Available, Patio, Shop</t>
  </si>
  <si>
    <t>This sweet Tudor cottage is nestled on a cul-de-sac with a deep level lot. Period charm abounds in this lovely home - leaded mullioned windows, original single hung windows &amp;amp; lathe &amp;amp; plaster walls. The cheery kitchen overlooks the peaceful back yard where you can dine alfresco on the patio. You'll love the big basement &amp;amp; garage with a workshop area &amp;amp; tons of storage. Good light makes this space a place you will enjoy working or working out. Great Meadowbrook location.</t>
  </si>
  <si>
    <t>D-6</t>
  </si>
  <si>
    <t>Whittier</t>
  </si>
  <si>
    <t>Sunset Hill</t>
  </si>
  <si>
    <t>12314 B 33 Ave NE</t>
  </si>
  <si>
    <t>http://www.windermere.com/index.cfm?fuseaction=Listing.ListingDetail&amp;ListingID=19267034</t>
  </si>
  <si>
    <t>12050 33rd Ave NE B</t>
  </si>
  <si>
    <t>http://www.windermere.com/index.cfm?fuseaction=Listing.ListingDetail&amp;ListingID=19320510</t>
  </si>
  <si>
    <t>14731 31st Ave NE</t>
  </si>
  <si>
    <t>http://www.windermere.com/index.cfm?fuseaction=Listing.ListingDetail&amp;ListingID=19341859</t>
  </si>
  <si>
    <t>Bitter Lake</t>
  </si>
  <si>
    <t>12019 C 32 Ave NE</t>
  </si>
  <si>
    <t>http://www.windermere.com/index.cfm?fuseaction=Listing.ListingDetail&amp;ListingID=19249638</t>
  </si>
  <si>
    <t>12314 A 33 Ave NE</t>
  </si>
  <si>
    <t>http://www.windermere.com/index.cfm?fuseaction=Listing.ListingDetail&amp;ListingID=19267024</t>
  </si>
  <si>
    <t>12721 35th Ave NE B</t>
  </si>
  <si>
    <t>http://www.windermere.com/index.cfm?fuseaction=Listing.ListingDetail&amp;ListingID=19148569</t>
  </si>
  <si>
    <t>12721 35th Ave NE A</t>
  </si>
  <si>
    <t>http://www.windermere.com/index.cfm?fuseaction=Listing.ListingDetail&amp;ListingID=19148568</t>
  </si>
  <si>
    <t>12042 35 Ave NE</t>
  </si>
  <si>
    <t>http://www.windermere.com/index.cfm?fuseaction=Listing.ListingDetail&amp;ListingID=19100576</t>
  </si>
  <si>
    <t>12723 35th Ave NE A</t>
  </si>
  <si>
    <t>http://www.windermere.com/index.cfm?fuseaction=Listing.ListingDetail&amp;ListingID=19148570</t>
  </si>
  <si>
    <t>12316 C 33 Ave NE</t>
  </si>
  <si>
    <t>http://www.windermere.com/index.cfm?fuseaction=Listing.ListingDetail&amp;ListingID=19154257</t>
  </si>
  <si>
    <t>14504 31st Ave NE</t>
  </si>
  <si>
    <t>http://www.windermere.com/index.cfm?fuseaction=Listing.ListingDetail&amp;ListingID=18938966</t>
  </si>
  <si>
    <t>http://www.windermere.com/index.cfm?fuseaction=Listing.ListingDetail&amp;ListingID=19315288</t>
  </si>
  <si>
    <t>14506 31st Ave NE</t>
  </si>
  <si>
    <t>http://www.windermere.com/index.cfm?fuseaction=Listing.ListingDetail&amp;ListingID=18953287</t>
  </si>
  <si>
    <t>14508 31st Ave NE</t>
  </si>
  <si>
    <t>http://www.windermere.com/index.cfm?fuseaction=Listing.ListingDetail&amp;ListingID=19083952</t>
  </si>
  <si>
    <t>North Ballard</t>
  </si>
  <si>
    <t>11517 30th Ave NE</t>
  </si>
  <si>
    <t>http://www.windermere.com/index.cfm?fuseaction=Listing.ListingDetail&amp;ListingID=19358299</t>
  </si>
  <si>
    <t>http://www.windermere.com/index.cfm?fuseaction=Listing.ListingDetail&amp;ListingID=19327601</t>
  </si>
  <si>
    <t>http://www.windermere.com/index.cfm?fuseaction=Listing.ListingDetail&amp;ListingID=18343551</t>
  </si>
  <si>
    <t>4205 88th St NE</t>
  </si>
  <si>
    <t>http://www.windermere.com/index.cfm?fuseaction=Listing.ListingDetail&amp;ListingID=19278247</t>
  </si>
  <si>
    <t>View Ridge</t>
  </si>
  <si>
    <t>4205 NE 75th Street</t>
  </si>
  <si>
    <t>http://www.windermere.com/index.cfm?fuseaction=Listing.ListingDetail&amp;ListingID=18039221</t>
  </si>
  <si>
    <t>4033 NE 88th St</t>
  </si>
  <si>
    <t>http://www.windermere.com/index.cfm?fuseaction=Listing.ListingDetail&amp;ListingID=19220500</t>
  </si>
  <si>
    <t>11520 40th Ave NE</t>
  </si>
  <si>
    <t>http://www.windermere.com/index.cfm?fuseaction=Listing.ListingDetail&amp;ListingID=18667036</t>
  </si>
  <si>
    <t>http://www.windermere.com/index.cfm?fuseaction=Listing.ListingDetail&amp;ListingID=19312784</t>
  </si>
  <si>
    <t>http://www.windermere.com/index.cfm?fuseaction=Listing.ListingDetail&amp;ListingID=19311311</t>
  </si>
  <si>
    <t>12026 40th Ave NE</t>
  </si>
  <si>
    <t>_1972</t>
  </si>
  <si>
    <t>http://www.windermere.com/index.cfm?fuseaction=Listing.ListingDetail&amp;ListingID=19275831</t>
  </si>
  <si>
    <t>3512 NE 105th</t>
  </si>
  <si>
    <t>http://www.windermere.com/index.cfm?fuseaction=Listing.ListingDetail&amp;ListingID=7018919</t>
  </si>
  <si>
    <t>Sand Point</t>
  </si>
  <si>
    <t>7548 44 Ave NE</t>
  </si>
  <si>
    <t>http://www.windermere.com/index.cfm?fuseaction=Listing.ListingDetail&amp;ListingID=18986871</t>
  </si>
  <si>
    <t>http://www.windermere.com/index.cfm?fuseaction=Listing.ListingDetail&amp;ListingID=19342196</t>
  </si>
  <si>
    <t>3261 NE 98th</t>
  </si>
  <si>
    <t>http://www.windermere.com/index.cfm?fuseaction=Listing.ListingDetail&amp;ListingID=19359305</t>
  </si>
  <si>
    <t>2819 NE 117th St</t>
  </si>
  <si>
    <t>_1957</t>
  </si>
  <si>
    <t>http://www.windermere.com/index.cfm?fuseaction=Listing.ListingDetail&amp;ListingID=19013768</t>
  </si>
  <si>
    <t>6715 32 Ave NW</t>
  </si>
  <si>
    <t>http://www.windermere.com/index.cfm?fuseaction=Listing.ListingDetail&amp;ListingID=19253521</t>
  </si>
  <si>
    <t>http://www.windermere.com/index.cfm?fuseaction=Listing.ListingDetail&amp;ListingID=19310141</t>
  </si>
  <si>
    <t>Woodland Park</t>
  </si>
  <si>
    <t>11333 Sand Point Way NE</t>
  </si>
  <si>
    <t>http://www.windermere.com/index.cfm?fuseaction=Listing.ListingDetail&amp;ListingID=19143675</t>
  </si>
  <si>
    <t>6534 B 34th Ave NE</t>
  </si>
  <si>
    <t>http://www.windermere.com/index.cfm?fuseaction=Listing.ListingDetail&amp;ListingID=18293706</t>
  </si>
  <si>
    <t>8018 44th Ave NE</t>
  </si>
  <si>
    <t>http://www.windermere.com/index.cfm?fuseaction=Listing.ListingDetail&amp;ListingID=19241094</t>
  </si>
  <si>
    <t>2754 NE 88th St</t>
  </si>
  <si>
    <t>http://www.windermere.com/index.cfm?fuseaction=Listing.ListingDetail&amp;ListingID=19174633</t>
  </si>
  <si>
    <t>10311 Sand Point Way NE</t>
  </si>
  <si>
    <t>http://www.windermere.com/index.cfm?fuseaction=Listing.ListingDetail&amp;ListingID=19261684</t>
  </si>
  <si>
    <t>Hawthorne Hills</t>
  </si>
  <si>
    <t>6230 40th Ave NE</t>
  </si>
  <si>
    <t>http://www.windermere.com/index.cfm?fuseaction=Listing.ListingDetail&amp;ListingID=19350736</t>
  </si>
  <si>
    <t>4216 NE 120th St</t>
  </si>
  <si>
    <t>http://www.windermere.com/index.cfm?fuseaction=Listing.ListingDetail&amp;ListingID=19318148</t>
  </si>
  <si>
    <t>http://www.windermere.com/index.cfm?fuseaction=Listing.ListingDetail&amp;ListingID=18734876</t>
  </si>
  <si>
    <t>3510 NE 93rd St</t>
  </si>
  <si>
    <t>http://www.windermere.com/index.cfm?fuseaction=Listing.ListingDetail&amp;ListingID=19336224</t>
  </si>
  <si>
    <t>8538 12th Ave NW</t>
  </si>
  <si>
    <t>http://www.windermere.com/index.cfm?fuseaction=Listing.ListingDetail&amp;ListingID=19287429</t>
  </si>
  <si>
    <t>9532 6th Ave NW</t>
  </si>
  <si>
    <t>http://www.windermere.com/index.cfm?fuseaction=Listing.ListingDetail&amp;ListingID=18779676</t>
  </si>
  <si>
    <t>Spacious Loyal Heights Cape Cod</t>
  </si>
  <si>
    <t>7052 Earl Ave NW</t>
  </si>
  <si>
    <t>http://www.windermere.com/index.cfm?fuseaction=Listing.ListingDetail&amp;ListingID=19264293</t>
  </si>
  <si>
    <t>6504 4th Ave NW</t>
  </si>
  <si>
    <t>http://www.windermere.com/index.cfm?fuseaction=Listing.ListingDetail&amp;ListingID=19296030</t>
  </si>
  <si>
    <t>7721 Earl Ave NW</t>
  </si>
  <si>
    <t>http://www.windermere.com/index.cfm?fuseaction=Listing.ListingDetail&amp;ListingID=19219049</t>
  </si>
  <si>
    <t>8012 9th Ave NW</t>
  </si>
  <si>
    <t>http://www.windermere.com/index.cfm?fuseaction=Listing.ListingDetail&amp;ListingID=19326308</t>
  </si>
  <si>
    <t>2716 NW 65th St</t>
  </si>
  <si>
    <t>http://www.windermere.com/index.cfm?fuseaction=Listing.ListingDetail&amp;ListingID=18613160</t>
  </si>
  <si>
    <t>6714 3rd Ave NW</t>
  </si>
  <si>
    <t>http://www.windermere.com/index.cfm?fuseaction=Listing.ListingDetail&amp;ListingID=19304182</t>
  </si>
  <si>
    <t>9602 26th Ave NW</t>
  </si>
  <si>
    <t>http://www.windermere.com/index.cfm?fuseaction=Listing.ListingDetail&amp;ListingID=19347056</t>
  </si>
  <si>
    <t>1203 NW 67th</t>
  </si>
  <si>
    <t>http://www.windermere.com/index.cfm?fuseaction=Listing.ListingDetail&amp;ListingID=18811833</t>
  </si>
  <si>
    <t>7031 3rd Ave NW</t>
  </si>
  <si>
    <t>http://www.windermere.com/index.cfm?fuseaction=Listing.ListingDetail&amp;ListingID=19215921</t>
  </si>
  <si>
    <t>9701 12th Ave NW</t>
  </si>
  <si>
    <t>http://www.windermere.com/index.cfm?fuseaction=Listing.ListingDetail&amp;ListingID=19327126</t>
  </si>
  <si>
    <t>941 NW 96th St</t>
  </si>
  <si>
    <t>_1976</t>
  </si>
  <si>
    <t>http://www.windermere.com/index.cfm?fuseaction=Listing.ListingDetail&amp;ListingID=18370665</t>
  </si>
  <si>
    <t>9202 9th Ave NW</t>
  </si>
  <si>
    <t>http://www.windermere.com/index.cfm?fuseaction=Listing.ListingDetail&amp;ListingID=18631941</t>
  </si>
  <si>
    <t>827 NW 65th St</t>
  </si>
  <si>
    <t>http://www.windermere.com/index.cfm?fuseaction=Listing.ListingDetail&amp;ListingID=19038432</t>
  </si>
  <si>
    <t>632 NW 84th St</t>
  </si>
  <si>
    <t>http://www.windermere.com/index.cfm?fuseaction=Listing.ListingDetail&amp;ListingID=19308826</t>
  </si>
  <si>
    <t>8020 16th Ave NW</t>
  </si>
  <si>
    <t>http://www.windermere.com/index.cfm?fuseaction=Listing.ListingDetail&amp;ListingID=19295724</t>
  </si>
  <si>
    <t>8537 19th Ave NW</t>
  </si>
  <si>
    <t>http://www.windermere.com/index.cfm?fuseaction=Listing.ListingDetail&amp;ListingID=19368908</t>
  </si>
  <si>
    <t>6516 32nd Ave NW</t>
  </si>
  <si>
    <t>http://www.windermere.com/index.cfm?fuseaction=Listing.ListingDetail&amp;ListingID=19187084</t>
  </si>
  <si>
    <t>110 NW 77th St</t>
  </si>
  <si>
    <t>http://www.windermere.com/index.cfm?fuseaction=Listing.ListingDetail&amp;ListingID=19146533</t>
  </si>
  <si>
    <t>Olympic Manor</t>
  </si>
  <si>
    <t>8739 21st Ave NW</t>
  </si>
  <si>
    <t>http://www.windermere.com/index.cfm?fuseaction=Listing.ListingDetail&amp;ListingID=19103376</t>
  </si>
  <si>
    <t>8051 30th Ave NW</t>
  </si>
  <si>
    <t>http://www.windermere.com/index.cfm?fuseaction=Listing.ListingDetail&amp;ListingID=19234794</t>
  </si>
  <si>
    <t>7520 30th Ave NW</t>
  </si>
  <si>
    <t>http://www.windermere.com/index.cfm?fuseaction=Listing.ListingDetail&amp;ListingID=19182010</t>
  </si>
  <si>
    <t>3228 NW 65th St</t>
  </si>
  <si>
    <t>http://www.windermere.com/index.cfm?fuseaction=Listing.ListingDetail&amp;ListingID=19146142</t>
  </si>
  <si>
    <t>8035 30th Ave NW</t>
  </si>
  <si>
    <t>http://www.windermere.com/index.cfm?fuseaction=Listing.ListingDetail&amp;ListingID=19141822</t>
  </si>
  <si>
    <t>8326 Earl Ave NW</t>
  </si>
  <si>
    <t>_1983</t>
  </si>
  <si>
    <t>http://www.windermere.com/index.cfm?fuseaction=Listing.ListingDetail&amp;ListingID=19338665</t>
  </si>
  <si>
    <t>2851 NW 67th St</t>
  </si>
  <si>
    <t>http://www.windermere.com/index.cfm?fuseaction=Listing.ListingDetail&amp;ListingID=19227645</t>
  </si>
  <si>
    <t>7741 29th Ave NW</t>
  </si>
  <si>
    <t>http://www.windermere.com/index.cfm?fuseaction=Listing.ListingDetail&amp;ListingID=19115696</t>
  </si>
  <si>
    <t>6540 2nd Avenue NW</t>
  </si>
  <si>
    <t>http://www.windermere.com/index.cfm?fuseaction=Listing.ListingDetail&amp;ListingID=19262546</t>
  </si>
  <si>
    <t>9615 12th ave NW</t>
  </si>
  <si>
    <t>http://www.windermere.com/index.cfm?fuseaction=Listing.ListingDetail&amp;ListingID=19378194</t>
  </si>
  <si>
    <t>9233 11th Ave NW</t>
  </si>
  <si>
    <t>http://www.windermere.com/index.cfm?fuseaction=Listing.ListingDetail&amp;ListingID=19342514</t>
  </si>
  <si>
    <t>9304 26th Pl NW</t>
  </si>
  <si>
    <t>http://www.windermere.com/index.cfm?fuseaction=Listing.ListingDetail&amp;ListingID=18900215</t>
  </si>
  <si>
    <t>202 NW 70th St</t>
  </si>
  <si>
    <t>http://www.windermere.com/index.cfm?fuseaction=Listing.ListingDetail&amp;ListingID=19356196</t>
  </si>
  <si>
    <t>2852 NW 90th Pl</t>
  </si>
  <si>
    <t>http://www.windermere.com/index.cfm?fuseaction=Listing.ListingDetail&amp;ListingID=19351026</t>
  </si>
  <si>
    <t>6710 Alonzo Ave NW</t>
  </si>
  <si>
    <t>http://www.windermere.com/index.cfm?fuseaction=Listing.ListingDetail&amp;ListingID=18825661</t>
  </si>
  <si>
    <t>7515 27th Ave NW</t>
  </si>
  <si>
    <t>http://www.windermere.com/index.cfm?fuseaction=Listing.ListingDetail&amp;ListingID=18992860</t>
  </si>
  <si>
    <t>132 NW 83rd St</t>
  </si>
  <si>
    <t>http://www.windermere.com/index.cfm?fuseaction=Listing.ListingDetail&amp;ListingID=19092155</t>
  </si>
  <si>
    <t>North Capitol Hill</t>
  </si>
  <si>
    <t>3118 A Franklin Ave E</t>
  </si>
  <si>
    <t>http://www.windermere.com/index.cfm?fuseaction=Listing.ListingDetail&amp;ListingID=19034826</t>
  </si>
  <si>
    <t>612 NW 73rd St</t>
  </si>
  <si>
    <t>http://www.windermere.com/index.cfm?fuseaction=Listing.ListingDetail&amp;ListingID=19243527</t>
  </si>
  <si>
    <t>3124 B Franklin Ave E</t>
  </si>
  <si>
    <t>http://www.windermere.com/index.cfm?fuseaction=Listing.ListingDetail&amp;ListingID=19181506</t>
  </si>
  <si>
    <t>3128 A Franklin Ave E</t>
  </si>
  <si>
    <t>http://www.windermere.com/index.cfm?fuseaction=Listing.ListingDetail&amp;ListingID=19181512</t>
  </si>
  <si>
    <t>3128 B Franklin Ave E</t>
  </si>
  <si>
    <t>http://www.windermere.com/index.cfm?fuseaction=Listing.ListingDetail&amp;ListingID=19181513</t>
  </si>
  <si>
    <t>3124 A Franklin Ave E</t>
  </si>
  <si>
    <t>http://www.windermere.com/index.cfm?fuseaction=Listing.ListingDetail&amp;ListingID=19181505</t>
  </si>
  <si>
    <t>8720 21st Ave NW</t>
  </si>
  <si>
    <t>http://www.windermere.com/index.cfm?fuseaction=Listing.ListingDetail&amp;ListingID=19373391</t>
  </si>
  <si>
    <t>3126 B Franklin Ave E</t>
  </si>
  <si>
    <t>http://www.windermere.com/index.cfm?fuseaction=Listing.ListingDetail&amp;ListingID=19181511</t>
  </si>
  <si>
    <t>3126 A Franklin Ave E</t>
  </si>
  <si>
    <t>http://www.windermere.com/index.cfm?fuseaction=Listing.ListingDetail&amp;ListingID=19181507</t>
  </si>
  <si>
    <t>2511 NW North Beach Dr</t>
  </si>
  <si>
    <t>http://www.windermere.com/index.cfm?fuseaction=Listing.ListingDetail&amp;ListingID=19143759</t>
  </si>
  <si>
    <t>Phinney Ridge Brick Classic</t>
  </si>
  <si>
    <t>6706 Sycamore Ave NW</t>
  </si>
  <si>
    <t>http://www.windermere.com/index.cfm?fuseaction=Listing.ListingDetail&amp;ListingID=19233166</t>
  </si>
  <si>
    <t>3118 B Franklin Ave E</t>
  </si>
  <si>
    <t>http://www.windermere.com/index.cfm?fuseaction=Listing.ListingDetail&amp;ListingID=18675948</t>
  </si>
  <si>
    <t>3251 NW Esplanade</t>
  </si>
  <si>
    <t>http://www.windermere.com/index.cfm?fuseaction=Listing.ListingDetail&amp;ListingID=19315379</t>
  </si>
  <si>
    <t>9226 Alvin Pl NW</t>
  </si>
  <si>
    <t>http://www.windermere.com/index.cfm?fuseaction=Listing.ListingDetail&amp;ListingID=19213443</t>
  </si>
  <si>
    <t>8322 25th Ave NW</t>
  </si>
  <si>
    <t>http://www.windermere.com/index.cfm?fuseaction=Listing.ListingDetail&amp;ListingID=18576148</t>
  </si>
  <si>
    <t>9215 20th Ave NW</t>
  </si>
  <si>
    <t>http://www.windermere.com/index.cfm?fuseaction=Listing.ListingDetail&amp;ListingID=19191851</t>
  </si>
  <si>
    <t>321 NW 81st St</t>
  </si>
  <si>
    <t>http://www.windermere.com/index.cfm?fuseaction=Listing.ListingDetail&amp;ListingID=18844447</t>
  </si>
  <si>
    <t>9514 12th Ave NW</t>
  </si>
  <si>
    <t>http://www.windermere.com/index.cfm?fuseaction=Listing.ListingDetail&amp;ListingID=19082599</t>
  </si>
  <si>
    <t>1906 NW 97th St</t>
  </si>
  <si>
    <t>http://www.windermere.com/index.cfm?fuseaction=Listing.ListingDetail&amp;ListingID=19361391</t>
  </si>
  <si>
    <t>349 NW 86th St</t>
  </si>
  <si>
    <t>http://www.windermere.com/index.cfm?fuseaction=Listing.ListingDetail&amp;ListingID=19247573</t>
  </si>
  <si>
    <t>6707 7th Ave NW</t>
  </si>
  <si>
    <t>http://www.windermere.com/index.cfm?fuseaction=Listing.ListingDetail&amp;ListingID=19311701</t>
  </si>
  <si>
    <t>8332 20th Ave NW</t>
  </si>
  <si>
    <t>http://www.windermere.com/index.cfm?fuseaction=Listing.ListingDetail&amp;ListingID=19280114</t>
  </si>
  <si>
    <t>8045 25th Ave NW</t>
  </si>
  <si>
    <t>http://www.windermere.com/index.cfm?fuseaction=Listing.ListingDetail&amp;ListingID=19305262</t>
  </si>
  <si>
    <t>7526 32nd Ave NW</t>
  </si>
  <si>
    <t>http://www.windermere.com/index.cfm?fuseaction=Listing.ListingDetail&amp;ListingID=19280039</t>
  </si>
  <si>
    <t>9648 26th Ave NW</t>
  </si>
  <si>
    <t>http://www.windermere.com/index.cfm?fuseaction=Listing.ListingDetail&amp;ListingID=19308744</t>
  </si>
  <si>
    <t>8812 Golden Gardens Dr NW</t>
  </si>
  <si>
    <t>http://www.windermere.com/index.cfm?fuseaction=Listing.ListingDetail&amp;ListingID=19048331</t>
  </si>
  <si>
    <t>2822 NW 68th St</t>
  </si>
  <si>
    <t>http://www.windermere.com/index.cfm?fuseaction=Listing.ListingDetail&amp;ListingID=18893411</t>
  </si>
  <si>
    <t>128 NW 75th St</t>
  </si>
  <si>
    <t>http://www.windermere.com/index.cfm?fuseaction=Listing.ListingDetail&amp;ListingID=19370188</t>
  </si>
  <si>
    <t>3422 NW 66th St</t>
  </si>
  <si>
    <t>http://www.windermere.com/index.cfm?fuseaction=Listing.ListingDetail&amp;ListingID=19147071</t>
  </si>
  <si>
    <t>9277 20th Ave NW</t>
  </si>
  <si>
    <t>_1966</t>
  </si>
  <si>
    <t>http://www.windermere.com/index.cfm?fuseaction=Listing.ListingDetail&amp;ListingID=18821044</t>
  </si>
  <si>
    <t>9037 View Ave NW</t>
  </si>
  <si>
    <t>http://www.windermere.com/index.cfm?fuseaction=Listing.ListingDetail&amp;ListingID=18622733</t>
  </si>
  <si>
    <t>2636 NW Esplanade Dr</t>
  </si>
  <si>
    <t>http://www.windermere.com/index.cfm?fuseaction=Listing.ListingDetail&amp;ListingID=18930143</t>
  </si>
  <si>
    <t>3303 NW 71 St</t>
  </si>
  <si>
    <t>9111 View Ave NW</t>
  </si>
  <si>
    <t>_1970</t>
  </si>
  <si>
    <t>http://www.windermere.com/index.cfm?fuseaction=Listing.ListingDetail&amp;ListingID=19229227</t>
  </si>
  <si>
    <t>Verified List Date</t>
  </si>
  <si>
    <t>Red Fin Days</t>
  </si>
  <si>
    <t>Good sized lot</t>
  </si>
  <si>
    <t>In the neighborhood, bad pictures</t>
  </si>
  <si>
    <t>Duplex right on 522</t>
  </si>
  <si>
    <t>Other 1/2 of the duplex</t>
  </si>
  <si>
    <t>Ugly duplex</t>
  </si>
  <si>
    <t>Lots of wood panelling, big lot, right on 125th.</t>
  </si>
  <si>
    <t>Big lot, but right by a school</t>
  </si>
  <si>
    <t>New house near Sunset Park</t>
  </si>
  <si>
    <t>Good sized lot near Sunset Park, 70s house</t>
  </si>
  <si>
    <t>Not pretty, but cheap</t>
  </si>
  <si>
    <t>Not a bad townhouse.  Pretty far north, brand new.</t>
  </si>
  <si>
    <t>Brand new townhouse, right off aurora</t>
  </si>
  <si>
    <t>right against I-5, redone inside</t>
  </si>
  <si>
    <t>New townhouse off 85th &amp; I-5</t>
  </si>
  <si>
    <t>New townhouse, seems like a good location</t>
  </si>
  <si>
    <t>Townhouse</t>
  </si>
  <si>
    <t>Nice house on a good sized lot by Sunset Park.  Built in 2002</t>
  </si>
  <si>
    <t>Right on Aurora, Business location?</t>
  </si>
  <si>
    <t>Beater townhouse right on I-5</t>
  </si>
  <si>
    <t>Small lot</t>
  </si>
  <si>
    <t>Big lot, oil heat, probably a tear down</t>
  </si>
  <si>
    <t>Small lot, just on the other side of Aurora afrom green lake</t>
  </si>
  <si>
    <t>10708 12th Ave NE</t>
  </si>
  <si>
    <t>http://www.windermere.com/index.cfm?fuseaction=Listing.ListingDetail&amp;ListingID=19386011</t>
  </si>
  <si>
    <t>222 NW 95</t>
  </si>
  <si>
    <t>http://www.windermere.com/index.cfm?fuseaction=Listing.ListingDetail&amp;ListingID=19386709</t>
  </si>
  <si>
    <t>9511 College Way N</t>
  </si>
  <si>
    <t>http://www.windermere.com/index.cfm?fuseaction=Listing.ListingDetail&amp;ListingID=19385109</t>
  </si>
  <si>
    <t>Temp</t>
  </si>
  <si>
    <t>Quiet neighborhood.  Oil heat.  Unfinished basement.  Dave likes.  New windows\</t>
  </si>
  <si>
    <t>OK for a rental.  Would need to update kitchen, and floors before resale.  Good layout.  Low basement ceiling… 6'?</t>
  </si>
  <si>
    <t>Angela likes.  Nice remodel, but dicey neighbors.  In the cranberry bog.</t>
  </si>
  <si>
    <t>Lots of wood panelling, on a very busy street.  Good neighborhood, with fenced yard.</t>
  </si>
  <si>
    <t>TBD</t>
  </si>
  <si>
    <t>Big lot.  Not many pictures.  Ang doesn't like it</t>
  </si>
  <si>
    <t>Right across from college.  Good sized lot.  Reasonably updated.</t>
  </si>
  <si>
    <t>too much wood panelling.</t>
  </si>
  <si>
    <t>On 105th, near a park.  Small old lady house.  Close to 522</t>
  </si>
  <si>
    <t>Calc Days</t>
  </si>
  <si>
    <t>1 bed, 1 bath, tiny lot</t>
  </si>
  <si>
    <t>14014 Courtland Pl N</t>
  </si>
  <si>
    <t>http://www.windermere.com/index.cfm?fuseaction=Listing.ListingDetail&amp;ListingID=19387987</t>
  </si>
  <si>
    <t>9535 Fremont Ave N</t>
  </si>
  <si>
    <t>http://www.windermere.com/index.cfm?fuseaction=Listing.ListingDetail&amp;ListingID=19389689</t>
  </si>
  <si>
    <t>1029 B NE 123rd</t>
  </si>
  <si>
    <t>http://www.windermere.com/index.cfm?fuseaction=Listing.ListingDetail&amp;ListingID=19390786</t>
  </si>
  <si>
    <t>1027 B NE 123rd</t>
  </si>
  <si>
    <t>http://www.windermere.com/index.cfm?fuseaction=Listing.ListingDetail&amp;ListingID=19390529</t>
  </si>
  <si>
    <t>1029 A NE 123rd</t>
  </si>
  <si>
    <t>http://www.windermere.com/index.cfm?fuseaction=Listing.ListingDetail&amp;ListingID=19390872</t>
  </si>
  <si>
    <t>3636 NE 117 St</t>
  </si>
  <si>
    <t>http://www.windermere.com/index.cfm?fuseaction=Listing.ListingDetail&amp;ListingID=19389098</t>
  </si>
  <si>
    <t>http://www.windermere.com/index.cfm?fuseaction=Listing.ListingDetail&amp;ListingID=19391774</t>
  </si>
  <si>
    <t>2302 NE 92nd St</t>
  </si>
  <si>
    <t>3826 NE 120 St</t>
  </si>
  <si>
    <t>http://www.windermere.com/index.cfm?fuseaction=Listing.ListingDetail&amp;ListingID=19390333</t>
  </si>
  <si>
    <t>13317 17th Ave NE</t>
  </si>
  <si>
    <t>_1969</t>
  </si>
  <si>
    <t>http://www.windermere.com/index.cfm?fuseaction=Listing.ListingDetail&amp;ListingID=19223951</t>
  </si>
  <si>
    <t>4108 Greenwood (Not Busy) Ave N</t>
  </si>
  <si>
    <t>6725 10th Ave NW</t>
  </si>
  <si>
    <t>http://www.windermere.com/index.cfm?fuseaction=Listing.ListingDetail&amp;ListingID=19390093</t>
  </si>
  <si>
    <t>2500 sq ft lot.  Would need some work.  Not a bad neighborhood</t>
  </si>
  <si>
    <t>Early 90s house, on small lot in Fremont</t>
  </si>
  <si>
    <t>Everything in the house is dated.</t>
  </si>
  <si>
    <t>Nice on the inside, good sized lot</t>
  </si>
  <si>
    <t>Nice on the inside.  Townhome.  Really weird outside.</t>
  </si>
  <si>
    <t>Nice townhome by QFC in ballard</t>
  </si>
  <si>
    <t>Nice brick home near Greenlake.  Small house on small lot.</t>
  </si>
  <si>
    <t>Not much on photos.  2 story with small-medium lot.</t>
  </si>
  <si>
    <t>Reasonable sized lot, but no pictures</t>
  </si>
  <si>
    <t>Nice, but small house on reasonably sized lot</t>
  </si>
  <si>
    <t>Kinda funky house, on a big lot in Cedar Park.  Worth a look?</t>
  </si>
  <si>
    <t>Nice living space, on reasonably sized lot</t>
  </si>
  <si>
    <t>Nicely updated kitchen, though seems like a lot to spend for Lake City</t>
  </si>
  <si>
    <t>Split level in Jackson park, with no updates</t>
  </si>
  <si>
    <t>Mid-quality updates, and new paint.  Oil heat.</t>
  </si>
  <si>
    <t>9210 2nd Ave NW</t>
  </si>
  <si>
    <t>http://www.windermere.com/index.cfm?fuseaction=Listing.ListingDetail&amp;ListingID=19394909</t>
  </si>
  <si>
    <t>11014 C Greenwood Ave N</t>
  </si>
  <si>
    <t>http://www.windermere.com/index.cfm?fuseaction=Listing.ListingDetail&amp;ListingID=19398213</t>
  </si>
  <si>
    <t>14714 23rd Ave NE</t>
  </si>
  <si>
    <t>http://www.windermere.com/index.cfm?fuseaction=Listing.ListingDetail&amp;ListingID=19397485</t>
  </si>
  <si>
    <t>939 N 91st St</t>
  </si>
  <si>
    <t>http://www.windermere.com/index.cfm?fuseaction=Listing.ListingDetail&amp;ListingID=19393632</t>
  </si>
  <si>
    <t>2207 NW 70th St</t>
  </si>
  <si>
    <t>http://www.windermere.com/index.cfm?fuseaction=Listing.ListingDetail&amp;ListingID=19394453</t>
  </si>
  <si>
    <t>11054 19th Ave NE</t>
  </si>
  <si>
    <t>http://www.windermere.com/index.cfm?fuseaction=Listing.ListingDetail&amp;ListingID=19395167</t>
  </si>
  <si>
    <t>Cheap house, but small, on good sized lot.</t>
  </si>
  <si>
    <t>90s style townhouse.  Not bad looking</t>
  </si>
  <si>
    <t>Brand new townhouse on Greenwood</t>
  </si>
  <si>
    <t>Great view.  Brand new townhouse on greenwood</t>
  </si>
  <si>
    <t>Went STI, then came off</t>
  </si>
  <si>
    <t>Strange looking house, with many needed updates</t>
  </si>
  <si>
    <t>New townhouse</t>
  </si>
  <si>
    <t>Oil heat, two story.  Potential remodel</t>
  </si>
  <si>
    <t>Fixer or tear down on 6k sq ft lot</t>
  </si>
  <si>
    <t>Nice lot, strange house</t>
  </si>
  <si>
    <t>Good sized lot, but needs updating, and right on Aurora</t>
  </si>
  <si>
    <t>Tiny house, on tiny lot.  Nice updates.</t>
  </si>
  <si>
    <t>x</t>
  </si>
  <si>
    <t>Start here</t>
  </si>
  <si>
    <t>7741 14th Ave NW</t>
  </si>
  <si>
    <t>http://www.windermere.com/index.cfm?fuseaction=Listing.ListingDetail&amp;ListingID=19400611</t>
  </si>
  <si>
    <t>346 NW 103 St</t>
  </si>
  <si>
    <t>http://www.windermere.com/index.cfm?fuseaction=Listing.ListingDetail&amp;ListingID=19402080</t>
  </si>
  <si>
    <t>611 N 46 St B</t>
  </si>
  <si>
    <t>http://www.windermere.com/index.cfm?fuseaction=Listing.ListingDetail&amp;ListingID=19403464</t>
  </si>
  <si>
    <t>http://www.windermere.com/index.cfm?fuseaction=Listing.ListingDetail&amp;ListingID=19403826</t>
  </si>
  <si>
    <t>102 NW 104th St</t>
  </si>
  <si>
    <t>_1963</t>
  </si>
  <si>
    <t>http://www.windermere.com/index.cfm?fuseaction=Listing.ListingDetail&amp;ListingID=19404486</t>
  </si>
  <si>
    <t>227 NW 41st St</t>
  </si>
  <si>
    <t>http://www.windermere.com/index.cfm?fuseaction=Listing.ListingDetail&amp;ListingID=19399436</t>
  </si>
  <si>
    <t>931 N 35th St A</t>
  </si>
  <si>
    <t>http://www.windermere.com/index.cfm?fuseaction=Listing.ListingDetail&amp;ListingID=19403814</t>
  </si>
  <si>
    <t>2040 NW 61st St</t>
  </si>
  <si>
    <t>http://www.windermere.com/index.cfm?fuseaction=Listing.ListingDetail&amp;ListingID=19224161</t>
  </si>
  <si>
    <t>6538 38th Ave NE</t>
  </si>
  <si>
    <t>http://www.windermere.com/index.cfm?fuseaction=Listing.ListingDetail&amp;ListingID=19398832</t>
  </si>
  <si>
    <t>105 NW 76th St</t>
  </si>
  <si>
    <t>http://www.windermere.com/index.cfm?fuseaction=Listing.ListingDetail&amp;ListingID=19403828</t>
  </si>
  <si>
    <t>New Construction in North Beach</t>
  </si>
  <si>
    <t>Price dropped.  Check lot size.</t>
  </si>
  <si>
    <t>New Townhouse</t>
  </si>
  <si>
    <t>Dated house, updated kitchen.  Good sized lot, a bit far north.</t>
  </si>
  <si>
    <t>Nice new townhouse, but next to Aurora</t>
  </si>
  <si>
    <t>Small house, small lot in Fremont</t>
  </si>
  <si>
    <t>Five year old townhome</t>
  </si>
  <si>
    <t>May be worth checking out if in the neighborhood.  Check lotsize</t>
  </si>
  <si>
    <t>Pretty small lot, and wood panelling, but looks like a nice area.  Might be worth a look.  Just came back from STI</t>
  </si>
  <si>
    <t>Nice new townhouse.</t>
  </si>
  <si>
    <t>In the process of remodel.  Foreclosure.  Keep an eye on.</t>
  </si>
  <si>
    <t>Older townhouse</t>
  </si>
  <si>
    <t>Nice townhouse with a decent view.  Not new</t>
  </si>
  <si>
    <t>Funky looking townhouse in Fremont</t>
  </si>
  <si>
    <t>Split level</t>
  </si>
  <si>
    <t>Nice updates, and location, but small lot, and small house</t>
  </si>
  <si>
    <t>Under construction</t>
  </si>
  <si>
    <t>Reasonably sized lot, 90s style interior</t>
  </si>
  <si>
    <t>Nice neighborhood.  Appears to be a small lot</t>
  </si>
  <si>
    <t>2407 NE 145th St</t>
  </si>
  <si>
    <t>http://www.windermere.com/index.cfm?fuseaction=Listing.ListingDetail&amp;ListingID=19408082</t>
  </si>
  <si>
    <t>http://www.windermere.com/index.cfm?fuseaction=Listing.ListingDetail&amp;ListingID=19408389</t>
  </si>
  <si>
    <t>2505 NE 140th St</t>
  </si>
  <si>
    <t>http://www.windermere.com/index.cfm?fuseaction=Listing.ListingDetail&amp;ListingID=19407034</t>
  </si>
  <si>
    <t>4319 Latona Ave NE</t>
  </si>
  <si>
    <t>http://www.windermere.com/index.cfm?fuseaction=Listing.ListingDetail&amp;ListingID=19409882</t>
  </si>
  <si>
    <t>204 N 39th St</t>
  </si>
  <si>
    <t>2319 N 65th St</t>
  </si>
  <si>
    <t>http://www.windermere.com/index.cfm?fuseaction=Listing.ListingDetail&amp;ListingID=19409141</t>
  </si>
  <si>
    <t>5762 25th Ave NE</t>
  </si>
  <si>
    <t>3906 Whitman Ave N</t>
  </si>
  <si>
    <t>http://www.windermere.com/index.cfm?fuseaction=Listing.ListingDetail&amp;ListingID=19407733</t>
  </si>
  <si>
    <t>3900 Whitman Ave N</t>
  </si>
  <si>
    <t>http://www.windermere.com/index.cfm?fuseaction=Listing.ListingDetail&amp;ListingID=19407101</t>
  </si>
  <si>
    <t>http://www.windermere.com/index.cfm?fuseaction=Listing.ListingDetail&amp;ListingID=19408406</t>
  </si>
  <si>
    <t>6614 28th Ave NW</t>
  </si>
  <si>
    <t>http://www.windermere.com/index.cfm?fuseaction=Listing.ListingDetail&amp;ListingID=19406599</t>
  </si>
  <si>
    <t>4669 1st Ave NE</t>
  </si>
  <si>
    <t>http://www.windermere.com/index.cfm?fuseaction=Listing.ListingDetail&amp;ListingID=19406985</t>
  </si>
  <si>
    <t>13621 4th Ave NE</t>
  </si>
  <si>
    <t>http://www.windermere.com/index.cfm?fuseaction=Listing.ListingDetail&amp;ListingID=19409788</t>
  </si>
  <si>
    <t>13724 Midvale Ave N</t>
  </si>
  <si>
    <t>http://www.windermere.com/index.cfm?fuseaction=Listing.ListingDetail&amp;ListingID=19412092</t>
  </si>
  <si>
    <t>2655 NW 90th St</t>
  </si>
  <si>
    <t>http://www.windermere.com/index.cfm?fuseaction=Listing.ListingDetail&amp;ListingID=19409790</t>
  </si>
  <si>
    <t>8015 19th Ave NW</t>
  </si>
  <si>
    <t>http://www.windermere.com/index.cfm?fuseaction=Listing.ListingDetail&amp;ListingID=19409140</t>
  </si>
  <si>
    <t>Listing Removed</t>
  </si>
  <si>
    <t>Listing Exists</t>
  </si>
  <si>
    <t>821 A NW 53rd St</t>
  </si>
  <si>
    <t>http://www.windermere.com/index.cfm?fuseaction=Listing.ListingDetail&amp;ListingID=19412399</t>
  </si>
  <si>
    <t>10205 B 1st Ave NW</t>
  </si>
  <si>
    <t>http://www.windermere.com/index.cfm?fuseaction=Listing.ListingDetail&amp;ListingID=19438383</t>
  </si>
  <si>
    <t>13906 2nd Ave NE</t>
  </si>
  <si>
    <t>http://www.windermere.com/index.cfm?fuseaction=Listing.ListingDetail&amp;ListingID=19437800</t>
  </si>
  <si>
    <t>9521 Wallingford Ave N</t>
  </si>
  <si>
    <t>http://www.windermere.com/index.cfm?fuseaction=Listing.ListingDetail&amp;ListingID=19413443</t>
  </si>
  <si>
    <t>10507 Palatine Ave N</t>
  </si>
  <si>
    <t>http://www.windermere.com/index.cfm?fuseaction=Listing.ListingDetail&amp;ListingID=19438316</t>
  </si>
  <si>
    <t>2623 NW 57th St</t>
  </si>
  <si>
    <t>http://www.windermere.com/index.cfm?fuseaction=Listing.ListingDetail&amp;ListingID=19438452</t>
  </si>
  <si>
    <t>13701 20th Ave NE</t>
  </si>
  <si>
    <t>http://www.windermere.com/index.cfm?fuseaction=Listing.ListingDetail&amp;ListingID=19414449</t>
  </si>
  <si>
    <t>6248 27th Ave NE</t>
  </si>
  <si>
    <t>http://www.windermere.com/index.cfm?fuseaction=Listing.ListingDetail&amp;ListingID=19416957</t>
  </si>
  <si>
    <t>7711 16th Ave NE</t>
  </si>
  <si>
    <t>http://www.windermere.com/index.cfm?fuseaction=Listing.ListingDetail&amp;ListingID=19416095</t>
  </si>
  <si>
    <t>832 NE 57th St</t>
  </si>
  <si>
    <t>http://www.windermere.com/index.cfm?fuseaction=Listing.ListingDetail&amp;ListingID=19420266</t>
  </si>
  <si>
    <t>6518 Cleopatra Pl NW</t>
  </si>
  <si>
    <t>http://www.windermere.com/index.cfm?fuseaction=Listing.ListingDetail&amp;ListingID=19419027</t>
  </si>
  <si>
    <t>7215 6th Ave NW</t>
  </si>
  <si>
    <t>http://www.windermere.com/index.cfm?fuseaction=Listing.ListingDetail&amp;ListingID=19416193</t>
  </si>
  <si>
    <t>11030 A Greenwood Ave N</t>
  </si>
  <si>
    <t>http://www.windermere.com/index.cfm?fuseaction=Listing.ListingDetail&amp;ListingID=19449307</t>
  </si>
  <si>
    <t>http://www.windermere.com/index.cfm?fuseaction=Listing.ListingDetail&amp;ListingID=19444295</t>
  </si>
  <si>
    <t>http://www.windermere.com/index.cfm?fuseaction=Listing.ListingDetail&amp;ListingID=19447885</t>
  </si>
  <si>
    <t>5806 4th Ave NW</t>
  </si>
  <si>
    <t>http://www.windermere.com/index.cfm?fuseaction=Listing.ListingDetail&amp;ListingID=19444687</t>
  </si>
  <si>
    <t>718 N 100th St</t>
  </si>
  <si>
    <t>_1993</t>
  </si>
  <si>
    <t>http://www.windermere.com/index.cfm?fuseaction=Listing.ListingDetail&amp;ListingID=19443392</t>
  </si>
  <si>
    <t>13733 36th Ave NE</t>
  </si>
  <si>
    <t>http://www.windermere.com/index.cfm?fuseaction=Listing.ListingDetail&amp;ListingID=19444689</t>
  </si>
  <si>
    <t>7502 24th Ave NE</t>
  </si>
  <si>
    <t>http://www.windermere.com/index.cfm?fuseaction=Listing.ListingDetail&amp;ListingID=19449958</t>
  </si>
  <si>
    <t>6122 8 Ave NW</t>
  </si>
  <si>
    <t>http://www.windermere.com/index.cfm?fuseaction=Listing.ListingDetail&amp;ListingID=19439266</t>
  </si>
  <si>
    <t>5914 8th Ave NW</t>
  </si>
  <si>
    <t>http://www.windermere.com/index.cfm?fuseaction=Listing.ListingDetail&amp;ListingID=19445556</t>
  </si>
  <si>
    <t>1123 NW 64th St</t>
  </si>
  <si>
    <t>http://www.windermere.com/index.cfm?fuseaction=Listing.ListingDetail&amp;ListingID=19441098</t>
  </si>
  <si>
    <t>8216 15th Ave NE</t>
  </si>
  <si>
    <t>http://www.windermere.com/index.cfm?fuseaction=Listing.ListingDetail&amp;ListingID=19444419</t>
  </si>
  <si>
    <t>5738 28th Ave NE</t>
  </si>
  <si>
    <t>http://www.windermere.com/index.cfm?fuseaction=Listing.ListingDetail&amp;ListingID=19444422</t>
  </si>
  <si>
    <t>801 NE 85 St</t>
  </si>
  <si>
    <t>http://www.windermere.com/index.cfm?fuseaction=Listing.ListingDetail&amp;ListingID=19439314</t>
  </si>
  <si>
    <t>332 82nd St</t>
  </si>
  <si>
    <t>http://www.windermere.com/index.cfm?fuseaction=Listing.ListingDetail&amp;ListingID=19443385</t>
  </si>
  <si>
    <t>http://www.windermere.com/index.cfm?fuseaction=Listing.ListingDetail&amp;ListingID=19444303</t>
  </si>
  <si>
    <t>330 NE 55th St</t>
  </si>
  <si>
    <t>http://www.windermere.com/index.cfm?fuseaction=Listing.ListingDetail&amp;ListingID=19447251</t>
  </si>
  <si>
    <t>10505 Whitman Ave N</t>
  </si>
  <si>
    <t>http://www.windermere.com/index.cfm?fuseaction=Listing.ListingDetail&amp;ListingID=18991194</t>
  </si>
  <si>
    <t>6744 11th Ave NW</t>
  </si>
  <si>
    <t>http://www.windermere.com/index.cfm?fuseaction=Listing.ListingDetail&amp;ListingID=19447573</t>
  </si>
  <si>
    <t>http://www.windermere.com/index.cfm?fuseaction=Listing.ListingDetail&amp;ListingID=19448225</t>
  </si>
  <si>
    <t>6731 Division Ave NW</t>
  </si>
  <si>
    <t>http://www.windermere.com/index.cfm?fuseaction=Listing.ListingDetail&amp;ListingID=19445431</t>
  </si>
  <si>
    <t>http://www.windermere.com/index.cfm?fuseaction=Listing.ListingDetail&amp;ListingID=19441832</t>
  </si>
  <si>
    <t>2155 N 117th St</t>
  </si>
  <si>
    <t>http://www.windermere.com/index.cfm?fuseaction=Listing.ListingDetail&amp;ListingID=19453125</t>
  </si>
  <si>
    <t>14356 19th Ave NE</t>
  </si>
  <si>
    <t>8839 8 th Ave NW</t>
  </si>
  <si>
    <t>http://www.windermere.com/index.cfm?fuseaction=Listing.ListingDetail&amp;ListingID=19451207</t>
  </si>
  <si>
    <t>729 N 80th St</t>
  </si>
  <si>
    <t>http://www.windermere.com/index.cfm?fuseaction=Listing.ListingDetail&amp;ListingID=19452854</t>
  </si>
  <si>
    <t>3050 NE Blakeley St</t>
  </si>
  <si>
    <t>http://www.windermere.com/index.cfm?fuseaction=Listing.ListingDetail&amp;ListingID=19456959</t>
  </si>
  <si>
    <t>5233 Russell Ave NW A</t>
  </si>
  <si>
    <t>http://www.windermere.com/index.cfm?fuseaction=Listing.ListingDetail&amp;ListingID=19453226</t>
  </si>
  <si>
    <t>2302 N 59th St</t>
  </si>
  <si>
    <t>http://www.windermere.com/index.cfm?fuseaction=Listing.ListingDetail&amp;ListingID=19453712</t>
  </si>
  <si>
    <t>5035 12th Ave NE A</t>
  </si>
  <si>
    <t>http://www.windermere.com/index.cfm?fuseaction=Listing.ListingDetail&amp;ListingID=19147713</t>
  </si>
  <si>
    <t>5035 12th Ave NE B</t>
  </si>
  <si>
    <t>http://www.windermere.com/index.cfm?fuseaction=Listing.ListingDetail&amp;ListingID=19254876</t>
  </si>
  <si>
    <t>townhouse</t>
  </si>
  <si>
    <t>Merge</t>
  </si>
  <si>
    <t>Skip</t>
  </si>
  <si>
    <t>10726 15th Ave NE</t>
  </si>
  <si>
    <t>http://www.windermere.com/index.cfm?fuseaction=Listing.ListingDetail&amp;ListingID=19461946</t>
  </si>
  <si>
    <t>3003 NE 130th St</t>
  </si>
  <si>
    <t>http://www.windermere.com/index.cfm?fuseaction=Listing.ListingDetail&amp;ListingID=19461955</t>
  </si>
  <si>
    <t>1017 B NE 123rd St</t>
  </si>
  <si>
    <t>http://www.windermere.com/index.cfm?fuseaction=Listing.ListingDetail&amp;ListingID=19461894</t>
  </si>
  <si>
    <t>12719 C Greenwood (not busy back</t>
  </si>
  <si>
    <t>http://www.windermere.com/index.cfm?fuseaction=Listing.ListingDetail&amp;ListingID=19457484</t>
  </si>
  <si>
    <t>6505 NW 56th St C</t>
  </si>
  <si>
    <t>http://www.windermere.com/index.cfm?fuseaction=Listing.ListingDetail&amp;ListingID=19463328</t>
  </si>
  <si>
    <t>11743 Sand Point Way NE</t>
  </si>
  <si>
    <t>http://www.windermere.com/index.cfm?fuseaction=Listing.ListingDetail&amp;ListingID=19461116</t>
  </si>
  <si>
    <t>http://www.windermere.com/index.cfm?fuseaction=Listing.ListingDetail&amp;ListingID=19460715</t>
  </si>
  <si>
    <t>7032 22nd Ave NW</t>
  </si>
  <si>
    <t>http://www.windermere.com/index.cfm?fuseaction=Listing.ListingDetail&amp;ListingID=19463575</t>
  </si>
  <si>
    <t>10717 Sand Point Way NE</t>
  </si>
  <si>
    <t>http://www.windermere.com/index.cfm?fuseaction=Listing.ListingDetail&amp;ListingID=19459409</t>
  </si>
  <si>
    <t>3617 C Albion Pl N</t>
  </si>
  <si>
    <t>http://www.windermere.com/index.cfm?fuseaction=Listing.ListingDetail&amp;ListingID=19461123</t>
  </si>
  <si>
    <t>3425 Meridian Ave N</t>
  </si>
  <si>
    <t>http://www.windermere.com/index.cfm?fuseaction=Listing.ListingDetail&amp;ListingID=19461700</t>
  </si>
  <si>
    <t>3615 B Albion Pl N</t>
  </si>
  <si>
    <t>http://www.windermere.com/index.cfm?fuseaction=Listing.ListingDetail&amp;ListingID=18942170</t>
  </si>
  <si>
    <t>3617 B Albion Pl N</t>
  </si>
  <si>
    <t>http://www.windermere.com/index.cfm?fuseaction=Listing.ListingDetail&amp;ListingID=18892760</t>
  </si>
  <si>
    <t>5709 25th Ave NE</t>
  </si>
  <si>
    <t>http://www.windermere.com/index.cfm?fuseaction=Listing.ListingDetail&amp;ListingID=19463894</t>
  </si>
  <si>
    <t>4809 B Stoneway Ave N.</t>
  </si>
  <si>
    <t>http://www.windermere.com/index.cfm?fuseaction=Listing.ListingDetail&amp;ListingID=19460759</t>
  </si>
  <si>
    <t>1308 NW 70th St</t>
  </si>
  <si>
    <t>http://www.windermere.com/index.cfm?fuseaction=Listing.ListingDetail&amp;ListingID=19461135</t>
  </si>
  <si>
    <t>3605 B Interlake Ave N</t>
  </si>
  <si>
    <t>http://www.windermere.com/index.cfm?fuseaction=Listing.ListingDetail&amp;ListingID=19460087</t>
  </si>
  <si>
    <t>611 N 46 St D</t>
  </si>
  <si>
    <t>http://www.windermere.com/index.cfm?fuseaction=Listing.ListingDetail&amp;ListingID=19461867</t>
  </si>
  <si>
    <t>1010 N 39th St</t>
  </si>
  <si>
    <t>http://www.windermere.com/index.cfm?fuseaction=Listing.ListingDetail&amp;ListingID=19463710</t>
  </si>
  <si>
    <t>13735 Roosevelt Way N</t>
  </si>
  <si>
    <t>http://www.windermere.com/index.cfm?fuseaction=Listing.ListingDetail&amp;ListingID=19463629</t>
  </si>
  <si>
    <t>3611 A Albion Pl N</t>
  </si>
  <si>
    <t>http://www.windermere.com/index.cfm?fuseaction=Listing.ListingDetail&amp;ListingID=19247744</t>
  </si>
  <si>
    <t>1024 N 36th St</t>
  </si>
  <si>
    <t>http://www.windermere.com/index.cfm?fuseaction=Listing.ListingDetail&amp;ListingID=18672127</t>
  </si>
  <si>
    <t>2824 NW 57th St</t>
  </si>
  <si>
    <t>http://www.windermere.com/index.cfm?fuseaction=Listing.ListingDetail&amp;ListingID=19459882</t>
  </si>
  <si>
    <t>10014 Interlake Ave N</t>
  </si>
  <si>
    <t>http://www.windermere.com/index.cfm?fuseaction=Listing.ListingDetail&amp;ListingID=19460964</t>
  </si>
  <si>
    <t>509 NE 71st St D</t>
  </si>
  <si>
    <t>http://www.windermere.com/index.cfm?fuseaction=Listing.ListingDetail&amp;ListingID=19332845</t>
  </si>
  <si>
    <t>http://www.windermere.com/index.cfm?fuseaction=Listing.ListingDetail&amp;ListingID=19358432</t>
  </si>
  <si>
    <t>Open March 2, 1-4 p.m. North Beach View</t>
  </si>
  <si>
    <t>8334 20th Ave NW</t>
  </si>
  <si>
    <t>http://www.windermere.com/index.cfm?fuseaction=Listing.ListingDetail&amp;ListingID=19462672</t>
  </si>
  <si>
    <t>http://www.windermere.com/index.cfm?fuseaction=Listing.ListingDetail&amp;ListingID=19461870</t>
  </si>
  <si>
    <t>Small sink, livable downstairs.  Decent sized lot.  Some road noise from 34th</t>
  </si>
  <si>
    <t>Green</t>
  </si>
  <si>
    <t>Yellow</t>
  </si>
  <si>
    <t>OK backyard, house nice on inside, noisy neighbor</t>
  </si>
  <si>
    <t>Nice neighborhood, with sidewalks.  Bedrooms are very small.  Electrical updated in some parts of house.  French drain.  Bathroom off kitchen.  Sun porch</t>
  </si>
  <si>
    <t>Red</t>
  </si>
  <si>
    <t>Kitchen too small, loud street.  Upstairs is useless -- staircase too narrow</t>
  </si>
  <si>
    <t>2 units.  Old kitchen with slab granite.  No dishwasher.  2nd unit hard to rent</t>
  </si>
  <si>
    <t>Kitchen too small, and too close to 85th</t>
  </si>
  <si>
    <t>Way too small, washer in kitchen</t>
  </si>
  <si>
    <t>No</t>
  </si>
  <si>
    <t>Entertainment</t>
  </si>
  <si>
    <t>http://seattle.entertainment.com/discount/dining.shtml?category=Informal+%26+Carryout&amp;Nao=&lt;REPLACE_WITH_START_INDEX&gt;&amp;N=25+80</t>
  </si>
  <si>
    <t>CarryOut</t>
  </si>
  <si>
    <t>Casual</t>
  </si>
  <si>
    <t>http://seattle.entertainment.com/discount/dining.shtml?category=Casual+Dining&amp;Nao=&lt;REPLACE_WITH_START_INDEX&gt;&amp;N=25+39</t>
  </si>
  <si>
    <t>Name</t>
  </si>
  <si>
    <t>Discount</t>
  </si>
  <si>
    <t>Link</t>
  </si>
  <si>
    <t>Mad Pizza</t>
  </si>
  <si>
    <t>50% Off Pizza</t>
  </si>
  <si>
    <t>Azteca Mexican Restaurants</t>
  </si>
  <si>
    <t>Special Value</t>
  </si>
  <si>
    <t>Floyd's Place</t>
  </si>
  <si>
    <t>2-for-1 Lunch or Dinner</t>
  </si>
  <si>
    <t>Galerias Gourmet Mexican Restaurant</t>
  </si>
  <si>
    <t>2-for-1 Lunch</t>
  </si>
  <si>
    <t>Paragon Restaurant &amp; Bar</t>
  </si>
  <si>
    <t>Jup Jup Jup Thai Restaurant</t>
  </si>
  <si>
    <t>Mirch Masala</t>
  </si>
  <si>
    <t>Annapurna Cafe</t>
  </si>
  <si>
    <t>Johnny Rockets</t>
  </si>
  <si>
    <t>10% Off Discount</t>
  </si>
  <si>
    <t>Wild Tiger Pizza &amp; Salads</t>
  </si>
  <si>
    <t>2-for-1 Pizza</t>
  </si>
  <si>
    <t>Maharaja Cuisine of India</t>
  </si>
  <si>
    <t>2-for-1 Entree</t>
  </si>
  <si>
    <t>Mediterranean Express</t>
  </si>
  <si>
    <t>Eastlake Bar &amp; Grill</t>
  </si>
  <si>
    <t>RoRo BBQ &amp; Grill</t>
  </si>
  <si>
    <t>20% Off Total Bill</t>
  </si>
  <si>
    <t>Maxwell's</t>
  </si>
  <si>
    <t>The Fishermans Restaurant &amp; Bar</t>
  </si>
  <si>
    <t>Romios Pizza &amp; Pasta</t>
  </si>
  <si>
    <t>Ivar's Seafood Bars</t>
  </si>
  <si>
    <t>Alberona's</t>
  </si>
  <si>
    <t>Ivar's Seafood Bar</t>
  </si>
  <si>
    <t>Hawaiian Breeze Restaurant</t>
  </si>
  <si>
    <t>Olympia Pizza &amp; Spaghetti House</t>
  </si>
  <si>
    <t>2-for-1 Discount</t>
  </si>
  <si>
    <t>Wallingford Pizza House</t>
  </si>
  <si>
    <t>50% Off Total Bill</t>
  </si>
  <si>
    <t>Rusty Pelican Cafe</t>
  </si>
  <si>
    <t>2-for-1 Dinner</t>
  </si>
  <si>
    <t>La Palma</t>
  </si>
  <si>
    <t>China First</t>
  </si>
  <si>
    <t>Treehouse Bar &amp; Grill</t>
  </si>
  <si>
    <t>Anita's Crepes</t>
  </si>
  <si>
    <t>Cheeky Cafe</t>
  </si>
  <si>
    <t>Hot Iron Mongolian Grill</t>
  </si>
  <si>
    <t>Jewel of India</t>
  </si>
  <si>
    <t>Dante's</t>
  </si>
  <si>
    <t>Mondello</t>
  </si>
  <si>
    <t>Krittikas Noodles &amp; Thai Cuisine</t>
  </si>
  <si>
    <t>Zayda Buddy's Pizza</t>
  </si>
  <si>
    <t>Krittikas Noodles &amp; Thurst Lounge</t>
  </si>
  <si>
    <t>Thrive</t>
  </si>
  <si>
    <t>Bengal Tiger</t>
  </si>
  <si>
    <t>Blue Dog Kitchen</t>
  </si>
  <si>
    <t>2-for-1 Breakfast or Lunch</t>
  </si>
  <si>
    <t>Snoose Junction Pizzeria</t>
  </si>
  <si>
    <t>Greenlake Bar &amp; Grill</t>
  </si>
  <si>
    <t>Harissa Mediterranean Cuisine</t>
  </si>
  <si>
    <t>Beth's Cafe</t>
  </si>
  <si>
    <t>DaVinci's Pizza e Pasta</t>
  </si>
  <si>
    <t>Wing Dome</t>
  </si>
  <si>
    <t>Kabab House</t>
  </si>
  <si>
    <t>LC's Kitchen</t>
  </si>
  <si>
    <t>King Falafel Grill</t>
  </si>
  <si>
    <t>La Botana</t>
  </si>
  <si>
    <t>Thai Siam Restaurant</t>
  </si>
  <si>
    <t>Willie's Taste of Soul BBQ</t>
  </si>
  <si>
    <t>Seven Seas</t>
  </si>
  <si>
    <t>Bamboo Bar &amp; Grill</t>
  </si>
  <si>
    <t>Rocksport Bar &amp; Grill</t>
  </si>
  <si>
    <t>Snoose Junction Pizzeria Part Dieu</t>
  </si>
  <si>
    <t>Oishii Teriyaki &amp; Sushi</t>
  </si>
  <si>
    <t>Rickshaw Restaurant</t>
  </si>
  <si>
    <t>Aventura Mexican Restaurant</t>
  </si>
  <si>
    <t>Marco Polo Bar &amp; Grill</t>
  </si>
  <si>
    <t>Grill Xpress A Mediterranean Signature</t>
  </si>
  <si>
    <t>Olympia Pizza &amp; Pasta</t>
  </si>
  <si>
    <t>Masala of India Cuisine</t>
  </si>
  <si>
    <t>Indo Cafe</t>
  </si>
  <si>
    <t>Island Soul Authentic Carribean Cuisine</t>
  </si>
  <si>
    <t>Jones Original Barbeque</t>
  </si>
  <si>
    <t>Kallaloo</t>
  </si>
  <si>
    <t>Daimonji Japanese Restaurant</t>
  </si>
  <si>
    <t>Safari Restaurant</t>
  </si>
  <si>
    <t>Atrium Bistro</t>
  </si>
  <si>
    <t>Amante Pizza &amp; Pasta</t>
  </si>
  <si>
    <t>Mehak Indian Cuisine</t>
  </si>
  <si>
    <t>Brief Encounter Cafe</t>
  </si>
  <si>
    <t>Erawan Bangkok Thai Cuisine</t>
  </si>
  <si>
    <t>Garlic Crush Fresh Mediterranean Grill</t>
  </si>
  <si>
    <t>Thai Palms</t>
  </si>
  <si>
    <t>Danube Bistro</t>
  </si>
  <si>
    <t>Special Offer</t>
  </si>
  <si>
    <t>Hanuman Thai Cafe</t>
  </si>
  <si>
    <t>Lucia</t>
  </si>
  <si>
    <t>Los Tinos</t>
  </si>
  <si>
    <t>Plaza Garcia</t>
  </si>
  <si>
    <t>Star India Restaurant</t>
  </si>
  <si>
    <t>The Goose Pub &amp; Eatery</t>
  </si>
  <si>
    <t>Casper's A Taste of the South</t>
  </si>
  <si>
    <t>The Everest Kitchen</t>
  </si>
  <si>
    <t>Shari's Restaurant</t>
  </si>
  <si>
    <t>Vince's Italian Restaurant &amp; Pizzeria</t>
  </si>
  <si>
    <t>Brickhouse Pub</t>
  </si>
  <si>
    <t>Taqueria La Fondita</t>
  </si>
  <si>
    <t>Pho 99</t>
  </si>
  <si>
    <t>Mezcall Grill</t>
  </si>
  <si>
    <t>Isla Bonita</t>
  </si>
  <si>
    <t>Westside Pizza</t>
  </si>
  <si>
    <t>Maya's Family Mexican Restaurant</t>
  </si>
  <si>
    <t>Jimmy G's 70th Street Grill</t>
  </si>
  <si>
    <t>Pegasus Pizza &amp; Pasta</t>
  </si>
  <si>
    <t>Pub 85</t>
  </si>
  <si>
    <t>Jersey's Great Food &amp; Spirits</t>
  </si>
  <si>
    <t>Goldbergs' Famous Delicatessen</t>
  </si>
  <si>
    <t>Great China Restaurant</t>
  </si>
  <si>
    <t>Steve's Bar &amp; Grill</t>
  </si>
  <si>
    <t>Thai Bistro</t>
  </si>
  <si>
    <t>Lake Forest Bar &amp; Grill</t>
  </si>
  <si>
    <t>Danny's Pub &amp; Eatery</t>
  </si>
  <si>
    <t>Round Table Pizza</t>
  </si>
  <si>
    <t>Fortune Inn</t>
  </si>
  <si>
    <t>Kabab Palace</t>
  </si>
  <si>
    <t>Crossroads Bar &amp; Grill</t>
  </si>
  <si>
    <t>India Gate</t>
  </si>
  <si>
    <t>Celtic Bayou</t>
  </si>
  <si>
    <t>Skyway Park Bowl Casino &amp; Wok 52 Bistro</t>
  </si>
  <si>
    <t>America's Diner</t>
  </si>
  <si>
    <t>Venice Pizza &amp; Pasta</t>
  </si>
  <si>
    <t>Mick Finster's Pub &amp; Grill</t>
  </si>
  <si>
    <t>Oddfellow's Grill on Leary</t>
  </si>
  <si>
    <t>Mehfil Fine Indian Dining</t>
  </si>
  <si>
    <t>Iyara Thai Cuisine</t>
  </si>
  <si>
    <t>Desert Fire</t>
  </si>
  <si>
    <t>Jerzy's Wine Bar</t>
  </si>
  <si>
    <t>El Pique</t>
  </si>
  <si>
    <t>Alexa's Cafe &amp; Catering</t>
  </si>
  <si>
    <t>Jade Dragon Cuisine</t>
  </si>
  <si>
    <t>Skipper's Seafood &amp; Chowder</t>
  </si>
  <si>
    <t>Sparta's Pizza &amp; Spaghetti House</t>
  </si>
  <si>
    <t>Chang's Mongolian Grill</t>
  </si>
  <si>
    <t>La Costa Mexican Restaurant</t>
  </si>
  <si>
    <t>Sal's Deli</t>
  </si>
  <si>
    <t>Mark Restaurant and Bar</t>
  </si>
  <si>
    <t>Redhook Ale Brewery</t>
  </si>
  <si>
    <t>No Bull Saloon</t>
  </si>
  <si>
    <t>Plum Delicious Family Restaurant</t>
  </si>
  <si>
    <t>La Fuente</t>
  </si>
  <si>
    <t>Mai Place Asian Fusion Bistro</t>
  </si>
  <si>
    <t>Hi-Line Lanes</t>
  </si>
  <si>
    <t>2-for-1 Menu Item</t>
  </si>
  <si>
    <t>Texas Smokehouse Bar-B-Q</t>
  </si>
  <si>
    <t>Royal Orchid</t>
  </si>
  <si>
    <t>Dog &amp; Pony Alehouse &amp; Grill</t>
  </si>
  <si>
    <t>Irene Family Thai Restaurant</t>
  </si>
  <si>
    <t>Casa Durango</t>
  </si>
  <si>
    <t>Pickled Onion British Style Pub</t>
  </si>
  <si>
    <t>A Terrible Beauty Irish Pub &amp; Restaurant</t>
  </si>
  <si>
    <t>Rubattino's</t>
  </si>
  <si>
    <t>Cedar River Smokehouse</t>
  </si>
  <si>
    <t>Whistle Stop Ale House</t>
  </si>
  <si>
    <t>Thai Woodinville</t>
  </si>
  <si>
    <t>Rainforest Café</t>
  </si>
  <si>
    <t>Ginger Palace</t>
  </si>
  <si>
    <t>Channel Marker Pub &amp; Grill</t>
  </si>
  <si>
    <t>Johnny's Sports Bar &amp; Grill</t>
  </si>
  <si>
    <t>Mayflower of China</t>
  </si>
  <si>
    <t>Lynnwood Bowl and Skate Cafe</t>
  </si>
  <si>
    <t>BlackAngus Steakhouse</t>
  </si>
  <si>
    <t>Asian Wok</t>
  </si>
  <si>
    <t>La Raza Taqueria Mexicana</t>
  </si>
  <si>
    <t>Just Left Pub &amp; Grill</t>
  </si>
  <si>
    <t>Alfy's Pizza &amp; Pasta</t>
  </si>
  <si>
    <t>Cloverleaf Sports Bar &amp; Grill</t>
  </si>
  <si>
    <t>Los Cabos</t>
  </si>
  <si>
    <t>Real Mexican Flavor</t>
  </si>
  <si>
    <t>Dave's Diner &amp; Brew</t>
  </si>
  <si>
    <t>Rachel's on the East Side</t>
  </si>
  <si>
    <t>Aloha Hawaiian Grill</t>
  </si>
  <si>
    <t>Kelvin G's Tropic Blast &amp; Tiki Bar</t>
  </si>
  <si>
    <t>Taqueria Los Cazadores</t>
  </si>
  <si>
    <t>Yucatan Mexican Family Restaurant &amp; Cantina</t>
  </si>
  <si>
    <t>Rancho Grande</t>
  </si>
  <si>
    <t>Pho Alderwood</t>
  </si>
  <si>
    <t>Gaslamp Bar &amp; Grill</t>
  </si>
  <si>
    <t>Cucina! Cucina! Italian Cafe</t>
  </si>
  <si>
    <t>Marco's Restaurant &amp; Lounge</t>
  </si>
  <si>
    <t>La Casita</t>
  </si>
  <si>
    <t>Casa Corona</t>
  </si>
  <si>
    <t>Avanti Pizza &amp; Pasta</t>
  </si>
  <si>
    <t>Field of Champions Sports Bar &amp; Grill</t>
  </si>
  <si>
    <t>La Costa</t>
  </si>
  <si>
    <t>Mr. Moo's BBQ</t>
  </si>
  <si>
    <t>Tuscany at Des Moines Creek</t>
  </si>
  <si>
    <t>Lighthouse Lounge</t>
  </si>
  <si>
    <t>Pho Hai Son Vietnamese</t>
  </si>
  <si>
    <t>All-Star Sports Bar</t>
  </si>
  <si>
    <t>Lago Azul</t>
  </si>
  <si>
    <t>Todamgol Korean Restaurant</t>
  </si>
  <si>
    <t>13th Ave. Pub &amp; Eatery</t>
  </si>
  <si>
    <t>Athens Pizza &amp; Pasta of Des Moines</t>
  </si>
  <si>
    <t>La Bamba</t>
  </si>
  <si>
    <t>All Star Lanes &amp; Casino</t>
  </si>
  <si>
    <t>Agave Cocina &amp; Tequilas</t>
  </si>
  <si>
    <t>Yacht Club</t>
  </si>
  <si>
    <t>el Huarache</t>
  </si>
  <si>
    <t>Juanito's Taco Shop</t>
  </si>
  <si>
    <t>Taqueria Tequila</t>
  </si>
  <si>
    <t>El Incapaz Burritos</t>
  </si>
  <si>
    <t>Jimmy T's Sports Bar &amp; Grill</t>
  </si>
  <si>
    <t>Pat's Bar &amp; Grill</t>
  </si>
  <si>
    <t>Wild Wheat Bakery Cafe &amp; Restaurant</t>
  </si>
  <si>
    <t>India Combo</t>
  </si>
  <si>
    <t>Kings Mongolian Grill</t>
  </si>
  <si>
    <t>Guadalajara Tacos Y Mariscos</t>
  </si>
  <si>
    <t>Shawn O'Donnell's American Grill &amp; Irish Pub</t>
  </si>
  <si>
    <t>Duvall Grill</t>
  </si>
  <si>
    <t>Sushi Spott</t>
  </si>
  <si>
    <t>Mongos at Clearview</t>
  </si>
  <si>
    <t>Wine 101 The Gathering Place</t>
  </si>
  <si>
    <t>Frida's Gourmet Mexican Cuisine</t>
  </si>
  <si>
    <t>New Eng's Restaurant &amp; Bar</t>
  </si>
  <si>
    <t>Central Ave. Pub &amp; Eatery</t>
  </si>
  <si>
    <t>Carnation Golf Course</t>
  </si>
  <si>
    <t>Avocados Mexican Restaurant</t>
  </si>
  <si>
    <t>El Paraiso Mexican Grill</t>
  </si>
  <si>
    <t>Mariscos Los Pinos</t>
  </si>
  <si>
    <t>Foxys Pub &amp; Eatery</t>
  </si>
  <si>
    <t>Mariachi Alegre</t>
  </si>
  <si>
    <t>La Hacienda</t>
  </si>
  <si>
    <t>Chihuahua's</t>
  </si>
  <si>
    <t>Panaderia y Marisqueria Guadalajara</t>
  </si>
  <si>
    <t>Gonzo's Bar &amp; Grill</t>
  </si>
  <si>
    <t>El Caporal Fall City</t>
  </si>
  <si>
    <t>Flights Pub</t>
  </si>
  <si>
    <t>Fall City Roadhouse</t>
  </si>
  <si>
    <t>Mezcal Family Mexican Restaurant</t>
  </si>
  <si>
    <t>Pho Hoang Vietnamese Restaurant</t>
  </si>
  <si>
    <t>Pac Island Grill</t>
  </si>
  <si>
    <t>Steiner Diner</t>
  </si>
  <si>
    <t>Blue Cannon Pizza Co.</t>
  </si>
  <si>
    <t>Pizza from Paradize</t>
  </si>
  <si>
    <t>Saigon Palace Pho &amp; Vietnamese Cuisine</t>
  </si>
  <si>
    <t>Ringo Wok Teriyaki</t>
  </si>
  <si>
    <t>Cozy Roadhouse</t>
  </si>
  <si>
    <t>Finaghty's Irish Pub &amp; Restaurant</t>
  </si>
  <si>
    <t>Rainbow Cafe</t>
  </si>
  <si>
    <t>Evergreen Lanes Restaurant</t>
  </si>
  <si>
    <t>Spunky Monkey Bar &amp; Grill</t>
  </si>
  <si>
    <t>Pho Mimosa</t>
  </si>
  <si>
    <t>El Tapatio Family Mexican Restaurant</t>
  </si>
  <si>
    <t>Eddie's Trackside Bar &amp; Grill</t>
  </si>
  <si>
    <t>Time Out Ale House</t>
  </si>
  <si>
    <t>Patty's Eggnest</t>
  </si>
  <si>
    <t>Totem Family Dining</t>
  </si>
  <si>
    <t>Hacienda Del Mar Family Mexican Restaurant</t>
  </si>
  <si>
    <t>Hong Kong Gardens</t>
  </si>
  <si>
    <t>Marimba</t>
  </si>
  <si>
    <t>Hunan Palace</t>
  </si>
  <si>
    <t>Balefire</t>
  </si>
  <si>
    <t>The Hat Trick Pizzeria &amp; Grill</t>
  </si>
  <si>
    <t>Curry Bistro</t>
  </si>
  <si>
    <t>Chew Chew Cafe &amp; Candy</t>
  </si>
  <si>
    <t>Snoqualmie Brewery &amp; Taproom</t>
  </si>
  <si>
    <t>Kate's Greek &amp; American</t>
  </si>
  <si>
    <t>Pour At Four</t>
  </si>
  <si>
    <t>Alfred's Cafe</t>
  </si>
  <si>
    <t>Twedes Cafe</t>
  </si>
  <si>
    <t>Luca's Pizzeria Ristorante</t>
  </si>
  <si>
    <t>Somphou Thai Restaurant</t>
  </si>
  <si>
    <t>Manila Center Diner</t>
  </si>
  <si>
    <t>48th Street Pub and Grill</t>
  </si>
  <si>
    <t>Creekside</t>
  </si>
  <si>
    <t>El Rey</t>
  </si>
  <si>
    <t>O'Henry's Clubhouse &amp; Grill</t>
  </si>
  <si>
    <t>Johnny's Bar &amp; Grill</t>
  </si>
  <si>
    <t>Riverside Pub &amp; Eatery</t>
  </si>
  <si>
    <t>Alder Street Cafe</t>
  </si>
  <si>
    <t>Stonegate Pizza &amp; Bar</t>
  </si>
  <si>
    <t>Village Restaurant</t>
  </si>
  <si>
    <t>Patty's Burgers &amp; Milkshakes</t>
  </si>
  <si>
    <t>Dixie's Home Cookin</t>
  </si>
  <si>
    <t>Sam's Taqueria</t>
  </si>
  <si>
    <t>Pacific Rim Restaurant &amp; Nightclub</t>
  </si>
  <si>
    <t>Fanny's Restaurant</t>
  </si>
  <si>
    <t>Sparks Firehouse Deli</t>
  </si>
  <si>
    <t>Noble Palace Chinese Restaurant &amp; Lounge</t>
  </si>
  <si>
    <t>Anahuac Family Restaurant</t>
  </si>
  <si>
    <t>Cedarcrest Grill</t>
  </si>
  <si>
    <t>Bowlero Lanes Restaurant &amp; Lounge</t>
  </si>
  <si>
    <t>Mai's Thai Cuisine</t>
  </si>
  <si>
    <t>Fan Club Sports Bar</t>
  </si>
  <si>
    <t>Black Angus Steakhouse</t>
  </si>
  <si>
    <t>Hop Jack's</t>
  </si>
  <si>
    <t>Andre's Bar &amp; Grill</t>
  </si>
  <si>
    <t>Trellis Cafe</t>
  </si>
  <si>
    <t>Reynas Mexican Restaurant</t>
  </si>
  <si>
    <t>Ali'i &amp; Sumo's Hawaiian Grill</t>
  </si>
  <si>
    <t>El Gitano</t>
  </si>
  <si>
    <t>Paraiso</t>
  </si>
  <si>
    <t>Mae Phim Thai Restaurant</t>
  </si>
  <si>
    <t>Padres Taqueria &amp; Tequila Bar</t>
  </si>
  <si>
    <t>Olympia Pizza House</t>
  </si>
  <si>
    <t>Las Coronas Restaurant &amp; Cantina</t>
  </si>
  <si>
    <t>Nadine's All American Restaurant</t>
  </si>
  <si>
    <t>Aces Casino and Sports Bar</t>
  </si>
  <si>
    <t>R &amp; R LIVE Sports Bar &amp; Grill</t>
  </si>
  <si>
    <t>The Local Scoop Cafe</t>
  </si>
  <si>
    <t>Pizza Factory</t>
  </si>
  <si>
    <t>Mirkwood &amp; Shire Cafe</t>
  </si>
  <si>
    <t>Dos Reales Taqueria</t>
  </si>
  <si>
    <t>Gerry Andal's</t>
  </si>
  <si>
    <t>Conway Boxcar Grill</t>
  </si>
  <si>
    <t>NorthFork Bar &amp; Grill</t>
  </si>
  <si>
    <t>Mayan Family Mexican Restaurant</t>
  </si>
  <si>
    <t>Mayan</t>
  </si>
  <si>
    <t>Beau Legs Fish N Chips</t>
  </si>
  <si>
    <t>EL SARAPE</t>
  </si>
  <si>
    <t>Tofu Hut Asian Fusion Restaurant</t>
  </si>
  <si>
    <t>Mi Pueblo Grill</t>
  </si>
  <si>
    <t>Valle Azul Family Mexican Restaurant</t>
  </si>
  <si>
    <t>Inferno Burgers Brew &amp; More</t>
  </si>
  <si>
    <t>Artie's Restaurant</t>
  </si>
  <si>
    <t>Pizza Time</t>
  </si>
  <si>
    <t>Angels Thai Cuisine</t>
  </si>
  <si>
    <t>Flanagan's Apple Irish Pub</t>
  </si>
  <si>
    <t>Tacos Gaby</t>
  </si>
  <si>
    <t>Doby's Gourmet Pizza Kitchen</t>
  </si>
  <si>
    <t>FineDining</t>
  </si>
  <si>
    <t>http://seattle.entertainment.com/discount/dining.shtml?category=Fine+Dining&amp;Nao=&lt;REPLACE_WITH_START_INDEX&gt;&amp;N=25+42</t>
  </si>
  <si>
    <t>China Harbor</t>
  </si>
  <si>
    <t>Asian Breeze</t>
  </si>
  <si>
    <t>Pasta Bella</t>
  </si>
  <si>
    <t>Chutney's Queen Anne</t>
  </si>
  <si>
    <t>T. S. McHugh's</t>
  </si>
  <si>
    <t>ENZA Cucina Siciliana</t>
  </si>
  <si>
    <t>Cafe Amore</t>
  </si>
  <si>
    <t>MAMA'S MEXICAN KITCHEN</t>
  </si>
  <si>
    <t>Coldwater Bar &amp; Grill</t>
  </si>
  <si>
    <t>El Farol Mexican Restaurant</t>
  </si>
  <si>
    <t>Terrace Garden</t>
  </si>
  <si>
    <t>Shuckers</t>
  </si>
  <si>
    <t>The Georgian</t>
  </si>
  <si>
    <t>Ivar's Acres of Clams</t>
  </si>
  <si>
    <t>Ivar's Salmon House</t>
  </si>
  <si>
    <t>Cafe Bengodi</t>
  </si>
  <si>
    <t>DeNunzio's Trattoria</t>
  </si>
  <si>
    <t>Al Boccalino</t>
  </si>
  <si>
    <t>Shalimar</t>
  </si>
  <si>
    <t>Mikado Teppanyaki Steak Seafood &amp; Sushi Bar</t>
  </si>
  <si>
    <t>Bombay Grill</t>
  </si>
  <si>
    <t>Cedars Restaurant on Brooklyn</t>
  </si>
  <si>
    <t>Tandoor Restaurant</t>
  </si>
  <si>
    <t>Taste of India</t>
  </si>
  <si>
    <t>Casa Patron Mexican &amp; Latin Food</t>
  </si>
  <si>
    <t>Crepe Cafe &amp; Wine Bar</t>
  </si>
  <si>
    <t>Rosita's Mexican Grill</t>
  </si>
  <si>
    <t>Kalia Indian Cuisine - Greenwood</t>
  </si>
  <si>
    <t>Mandarin Gate</t>
  </si>
  <si>
    <t>Saffron Grill</t>
  </si>
  <si>
    <t>Afrikando Afrikando</t>
  </si>
  <si>
    <t>Chutney's of Bellevue</t>
  </si>
  <si>
    <t>The Orexi Restaurant</t>
  </si>
  <si>
    <t>Jonah's Restaurant &amp; Bar</t>
  </si>
  <si>
    <t>Moghul Palace</t>
  </si>
  <si>
    <t>Angelo's Ristorante</t>
  </si>
  <si>
    <t>Island Grill</t>
  </si>
  <si>
    <t>North City Bistro</t>
  </si>
  <si>
    <t>Ken Zaburo Sushi Bar &amp; Asian Grill</t>
  </si>
  <si>
    <t>Mia Roma</t>
  </si>
  <si>
    <t>The House Restaurant</t>
  </si>
  <si>
    <t>TEA Palace Asian Restaurant &amp; Banquet</t>
  </si>
  <si>
    <t>Racha Thai &amp; Asian Kitchen</t>
  </si>
  <si>
    <t>Northwest Landing</t>
  </si>
  <si>
    <t>Seven Hills Grille</t>
  </si>
  <si>
    <t>Cafe de Paris</t>
  </si>
  <si>
    <t>Pabla India Grill</t>
  </si>
  <si>
    <t>McCarthy's Bar &amp; Grill</t>
  </si>
  <si>
    <t>Kalia Indian Cuisine - Lynnwood</t>
  </si>
  <si>
    <t>Masala Bar &amp; Grill</t>
  </si>
  <si>
    <t>Bamiyan Restaurant</t>
  </si>
  <si>
    <t>Tantalus Restaurant</t>
  </si>
  <si>
    <t>Suthanya Thai Renaissance Bistro</t>
  </si>
  <si>
    <t>Villa Nuova Ristorante Italiano</t>
  </si>
  <si>
    <t>Los Cazadores Mexican Restaurant</t>
  </si>
  <si>
    <t>Zen Garden Restaurant</t>
  </si>
  <si>
    <t>Capri Ristorante Italiano</t>
  </si>
  <si>
    <t>Bob's Burger &amp; Brew</t>
  </si>
  <si>
    <t>Lanna Thai Restaurant</t>
  </si>
  <si>
    <t>Ristorante Isabella</t>
  </si>
  <si>
    <t>Ivar's Mukilteo Landing</t>
  </si>
  <si>
    <t>Sockeye's Restaurant &amp; Bar</t>
  </si>
  <si>
    <t>2-for-1 Brunch</t>
  </si>
  <si>
    <t>Uncorked Wine Bar &amp; Restaurant</t>
  </si>
  <si>
    <t>La Fondita Mexican Restaurant</t>
  </si>
  <si>
    <t>Six Olives Lounge</t>
  </si>
  <si>
    <t>Johnny's Dock</t>
  </si>
  <si>
    <t>Ports of Call Restaurant &amp; Lounge</t>
  </si>
  <si>
    <t>The Cellar</t>
  </si>
  <si>
    <t>Thai Mekong</t>
  </si>
  <si>
    <t>Cebu Restaurant</t>
  </si>
  <si>
    <t>Discount_Detail</t>
  </si>
  <si>
    <t>UP TO $15.00 VALUE</t>
  </si>
  <si>
    <t>UP TO $25.00 VALUE</t>
  </si>
  <si>
    <t>$12.00 VALUE</t>
  </si>
  <si>
    <t>UP TO $13.00 VALUE</t>
  </si>
  <si>
    <t>UP TO $16.00 VALUE</t>
  </si>
  <si>
    <t>UP TO $10.00 VALUE</t>
  </si>
  <si>
    <t>$10.00 VALUE</t>
  </si>
  <si>
    <t>UP TO $18.00 VALUE</t>
  </si>
  <si>
    <t>$32.00 VALUE</t>
  </si>
  <si>
    <t>$39.00 VALUE</t>
  </si>
  <si>
    <t>$25.00 VALUE</t>
  </si>
  <si>
    <t>UP TO $14.00 VALUE</t>
  </si>
  <si>
    <t>10% OFF</t>
  </si>
  <si>
    <t>UP TO $7.00 VALUE</t>
  </si>
  <si>
    <t>UP TO $12.00 VALUE</t>
  </si>
  <si>
    <t>$15.00 VALUE</t>
  </si>
  <si>
    <t>UP TO $11.00 VALUE</t>
  </si>
  <si>
    <t>UP TO $17.00 VALUE</t>
  </si>
  <si>
    <t>FREE</t>
  </si>
  <si>
    <t>UP TO $8.00 VALUE</t>
  </si>
  <si>
    <t>FREE PIZZA</t>
  </si>
  <si>
    <t>UP TO $9.00 VALUE</t>
  </si>
  <si>
    <t>$5.00 VALUE</t>
  </si>
  <si>
    <t>50% OFF</t>
  </si>
  <si>
    <t>$7.00 VALUE</t>
  </si>
  <si>
    <t>20% OFF</t>
  </si>
  <si>
    <t>FREE CLASSIC PIE</t>
  </si>
  <si>
    <t>UP TO $6.00 VALUE</t>
  </si>
  <si>
    <t>15% OFF</t>
  </si>
  <si>
    <t>FREE ENTRÉE</t>
  </si>
  <si>
    <t>ONE CUP OF OUR AWARD WINNING CHOWDER</t>
  </si>
  <si>
    <t>25% OFF</t>
  </si>
  <si>
    <t>FREE MENU ITEM</t>
  </si>
  <si>
    <t>UP TO $4.00 VALUE</t>
  </si>
  <si>
    <t>$8.00 VALUE</t>
  </si>
  <si>
    <t>FREE ENTREE</t>
  </si>
  <si>
    <t>FREE TWO PIECE FISH</t>
  </si>
  <si>
    <t>UP TO $5.00 VALUE</t>
  </si>
  <si>
    <t>Steamers Seafood Cafe</t>
  </si>
  <si>
    <t>Domino's</t>
  </si>
  <si>
    <t>FREE OVEN BAKED SANDWICH</t>
  </si>
  <si>
    <t>Custom Smoothie &amp; Sports Nutrition</t>
  </si>
  <si>
    <t>The Frankfurter</t>
  </si>
  <si>
    <t>Subway</t>
  </si>
  <si>
    <t>Caffe Ladro</t>
  </si>
  <si>
    <t>Kidd Valley</t>
  </si>
  <si>
    <t>SPECIAL OFFER</t>
  </si>
  <si>
    <t>Emerald City Smoothie</t>
  </si>
  <si>
    <t>FREE SIZE UPGRADE</t>
  </si>
  <si>
    <t>Bhima's</t>
  </si>
  <si>
    <t>Tully's Coffee</t>
  </si>
  <si>
    <t>50% Off Discount</t>
  </si>
  <si>
    <t>Seattle Gold Coffee</t>
  </si>
  <si>
    <t>Pike Place Chowder</t>
  </si>
  <si>
    <t>Mrs. Field's Cookies</t>
  </si>
  <si>
    <t>RECEIVE A COMPLIMENTARY COOKIE!</t>
  </si>
  <si>
    <t>FREE BOOSTER OR ENHANCER</t>
  </si>
  <si>
    <t>Charley's Grilled Subs</t>
  </si>
  <si>
    <t>FREE SUB</t>
  </si>
  <si>
    <t>FREE FLAVORED LATTE</t>
  </si>
  <si>
    <t>The Bagel Deli</t>
  </si>
  <si>
    <t>Sisters European Snacks</t>
  </si>
  <si>
    <t>I Love New York Deli</t>
  </si>
  <si>
    <t>Shy Giant Frozen Desserts</t>
  </si>
  <si>
    <t>Cupcake Royale</t>
  </si>
  <si>
    <t>3 FREE CUPCAKES</t>
  </si>
  <si>
    <t>Chocolati Cafe</t>
  </si>
  <si>
    <t>50% Off Food/Beverage</t>
  </si>
  <si>
    <t>Lama G's Cafe</t>
  </si>
  <si>
    <t>Frankly Sweets</t>
  </si>
  <si>
    <t>Philadelphia Fevre Steak &amp; Hoagie Shop</t>
  </si>
  <si>
    <t>2-for-1 Sandwich</t>
  </si>
  <si>
    <t>Trabant Coffee &amp; Chai</t>
  </si>
  <si>
    <t>Katy's Corner Cafe</t>
  </si>
  <si>
    <t>Short Stop Coffee</t>
  </si>
  <si>
    <t>Q Cafe</t>
  </si>
  <si>
    <t>50% Off Beverage</t>
  </si>
  <si>
    <t>Fainting Goat Gelato</t>
  </si>
  <si>
    <t>Arosa Espresso &amp; Waffle Cafe</t>
  </si>
  <si>
    <t>Melt Cafe</t>
  </si>
  <si>
    <t>ampm</t>
  </si>
  <si>
    <t>Ballard Grill &amp; Alehouse</t>
  </si>
  <si>
    <t>50% Off Food</t>
  </si>
  <si>
    <t>Haagen-Dazs</t>
  </si>
  <si>
    <t>FREE SINGLE SCOOP</t>
  </si>
  <si>
    <t>Soho Coffee</t>
  </si>
  <si>
    <t>Catfish Corner</t>
  </si>
  <si>
    <t>Corner Store &amp; Deli</t>
  </si>
  <si>
    <t>FREE SANDWICH</t>
  </si>
  <si>
    <t>Maui Wowi Hawaiian</t>
  </si>
  <si>
    <t>Da Vinci Subs</t>
  </si>
  <si>
    <t>Jack in the Box</t>
  </si>
  <si>
    <t>FREE JACK'S SPICY CHICKEN(R)</t>
  </si>
  <si>
    <t>Wing Zone</t>
  </si>
  <si>
    <t>Star Life on The Oasis</t>
  </si>
  <si>
    <t>FREE ULTIMATE CHEESEBURGER(TM)</t>
  </si>
  <si>
    <t>Seattle Pie Company</t>
  </si>
  <si>
    <t>Taste of Chicago</t>
  </si>
  <si>
    <t>FREE LARGE PIZZA</t>
  </si>
  <si>
    <t>FREE TWO TACOS</t>
  </si>
  <si>
    <t>Ballard Brothers Seafood &amp; Burgers</t>
  </si>
  <si>
    <t>Cafe Lulu</t>
  </si>
  <si>
    <t>Charlie's Flame Broiled Burgers</t>
  </si>
  <si>
    <t>FREE KIDS SMOOTHIE</t>
  </si>
  <si>
    <t>Oberto Factory Store</t>
  </si>
  <si>
    <t>Great Harvest Bread Co.</t>
  </si>
  <si>
    <t>FREE LOAF OF HONEY WHOLE WHEAT BREAD</t>
  </si>
  <si>
    <t>Savour</t>
  </si>
  <si>
    <t>Beacon Shell Food Mart Deli</t>
  </si>
  <si>
    <t>Stackers Pizza &amp; Subs</t>
  </si>
  <si>
    <t>Finch Cafe</t>
  </si>
  <si>
    <t>Ravenna Alehouse</t>
  </si>
  <si>
    <t>Scooter's Burgers &amp; Shakes</t>
  </si>
  <si>
    <t>Garlic Jim's Famous Gourmet Pizza</t>
  </si>
  <si>
    <t>Totem House Seafood &amp; Chowder</t>
  </si>
  <si>
    <t>Couth Buzzard Espresso Buono</t>
  </si>
  <si>
    <t>Cafe Kopi</t>
  </si>
  <si>
    <t>$6.00 VALUE</t>
  </si>
  <si>
    <t>Mr Gyros</t>
  </si>
  <si>
    <t>Sweet on You</t>
  </si>
  <si>
    <t>Stacia's Gourmet Pizza &amp; Pasta</t>
  </si>
  <si>
    <t>Mojo on the Go</t>
  </si>
  <si>
    <t>20% Off Beverage</t>
  </si>
  <si>
    <t>Armstrong Espresso</t>
  </si>
  <si>
    <t>Brger Madness - Seattle</t>
  </si>
  <si>
    <t>Chuck's 85th St. Market</t>
  </si>
  <si>
    <t>50% Off Ice Cream</t>
  </si>
  <si>
    <t>Emerald City Fish &amp; Chips</t>
  </si>
  <si>
    <t>Wheatless In Seattle</t>
  </si>
  <si>
    <t>Hotwire Online Coffeehouse</t>
  </si>
  <si>
    <t>Good Guys Pizza</t>
  </si>
  <si>
    <t>Jumpin Java Bistro Boutique</t>
  </si>
  <si>
    <t>Yummy Teriyaki</t>
  </si>
  <si>
    <t>Arby's</t>
  </si>
  <si>
    <t>FREE CHICKEN SANDWICH</t>
  </si>
  <si>
    <t>Auntie Anne's</t>
  </si>
  <si>
    <t>FREE SMALL LEMONADE MIXER</t>
  </si>
  <si>
    <t>Gyro Hut</t>
  </si>
  <si>
    <t>Michigan Street Deli</t>
  </si>
  <si>
    <t>BUY ONE GET ONE FREE</t>
  </si>
  <si>
    <t>Cafe Lati</t>
  </si>
  <si>
    <t>Eymans Pizza &amp; Cafe</t>
  </si>
  <si>
    <t>FREE DOMINO'S BREADBOWL PASTA(TM)</t>
  </si>
  <si>
    <t>Fatburger</t>
  </si>
  <si>
    <t>FREE REGULAR SINGLE SCOOP CONE</t>
  </si>
  <si>
    <t>Aurora Donuts</t>
  </si>
  <si>
    <t>T Station Cafe</t>
  </si>
  <si>
    <t>Red Star Pizza</t>
  </si>
  <si>
    <t>Blazing Bagels</t>
  </si>
  <si>
    <t>St. James Espresso</t>
  </si>
  <si>
    <t>Woody's Coffee &amp; Espresso</t>
  </si>
  <si>
    <t>Woody's Chicago Style Hot Dogs</t>
  </si>
  <si>
    <t>Gyro House</t>
  </si>
  <si>
    <t>A-Pizza Mart</t>
  </si>
  <si>
    <t>UP TO $19.00 VALUE</t>
  </si>
  <si>
    <t>Dubsea Coffee</t>
  </si>
  <si>
    <t>Big Apple Bagels</t>
  </si>
  <si>
    <t>FREE GRILLBURGER(TM) (1/4 LB)</t>
  </si>
  <si>
    <t>Bella Kitchen</t>
  </si>
  <si>
    <t>Tino's Pizza</t>
  </si>
  <si>
    <t>FREE 12OZ. BLIZZARD(R) TREAT</t>
  </si>
  <si>
    <t>TCBY</t>
  </si>
  <si>
    <t>Gee Burgers &amp; Wraps</t>
  </si>
  <si>
    <t>Jitters</t>
  </si>
  <si>
    <t>Honey Bear Bakery</t>
  </si>
  <si>
    <t>Burney Brothers BBQ</t>
  </si>
  <si>
    <t>Geno's Coffee Shop &amp; Bakery</t>
  </si>
  <si>
    <t>FREE BREAKFAST BURRITO</t>
  </si>
  <si>
    <t>FREE MEDIUM ONE-TOPPING PIZZA</t>
  </si>
  <si>
    <t>Froots</t>
  </si>
  <si>
    <t>Samurai Sam's</t>
  </si>
  <si>
    <t>FREE POLAR SWIRL</t>
  </si>
  <si>
    <t>Village Yarn &amp; Tea Shop</t>
  </si>
  <si>
    <t>Sweet Decadence</t>
  </si>
  <si>
    <t>FREE BEEF 'N CHEDDAR SANDWICH</t>
  </si>
  <si>
    <t>Soul Food Books &amp; Cafe</t>
  </si>
  <si>
    <t>Everyday Joe</t>
  </si>
  <si>
    <t>Hancock's Bakery</t>
  </si>
  <si>
    <t>50% Off Baked Goods</t>
  </si>
  <si>
    <t>Cafe Village Espresso</t>
  </si>
  <si>
    <t>$3.00 VALUE</t>
  </si>
  <si>
    <t>FREE GRILLED CHICKEN SANDWICH</t>
  </si>
  <si>
    <t>Paoli's Pizza and Pasta</t>
  </si>
  <si>
    <t>The Australian Pie Co.</t>
  </si>
  <si>
    <t>B-Town Burgers &amp; Shakes</t>
  </si>
  <si>
    <t>Simply Fresh Bakery</t>
  </si>
  <si>
    <t>Club Java</t>
  </si>
  <si>
    <t>Taqueria El Asadero</t>
  </si>
  <si>
    <t>Liberty Cafe</t>
  </si>
  <si>
    <t>Tot Spot Cafe</t>
  </si>
  <si>
    <t>Popeyes</t>
  </si>
  <si>
    <t>FREE CONEY DOG</t>
  </si>
  <si>
    <t>Family Fun Center &amp; Bullwinkle's Restaurant</t>
  </si>
  <si>
    <t>Nature's Table Café</t>
  </si>
  <si>
    <t>FREE FRESH FRUIT SMOOTHIE</t>
  </si>
  <si>
    <t>Uncle Peteza's</t>
  </si>
  <si>
    <t>Walnut Street Coffee</t>
  </si>
  <si>
    <t>FREE BEVERAGE</t>
  </si>
  <si>
    <t>The Pizza Man</t>
  </si>
  <si>
    <t>Marie's Pizza</t>
  </si>
  <si>
    <t>Toshi's Teriyaki</t>
  </si>
  <si>
    <t>Wetzels Pretzels</t>
  </si>
  <si>
    <t>FREE PRETZEL DIP</t>
  </si>
  <si>
    <t>Village Hot Dog</t>
  </si>
  <si>
    <t>Engel's Deli</t>
  </si>
  <si>
    <t>Elle &amp; Bee Frozen Yogurt &amp; Ice Cream</t>
  </si>
  <si>
    <t>Pop! Gourmet Popcorn</t>
  </si>
  <si>
    <t>Baskin-Robbins Ice Cream</t>
  </si>
  <si>
    <t>FREE REGULAR 2 SCOOP SUNDAE</t>
  </si>
  <si>
    <t>Cove To Go Gourmet Meals</t>
  </si>
  <si>
    <t>Benson's Best Bites</t>
  </si>
  <si>
    <t>Doc's Hideaway Grill</t>
  </si>
  <si>
    <t>Aloha Cafe</t>
  </si>
  <si>
    <t>Espresso Buono</t>
  </si>
  <si>
    <t>Dave's Burgers</t>
  </si>
  <si>
    <t>Popeyes Chicken and Biscuits</t>
  </si>
  <si>
    <t>Rumbar Cafe</t>
  </si>
  <si>
    <t>Corner Coffee Bar &amp; Café</t>
  </si>
  <si>
    <t>FREE HOMEMADE ONION RINGS</t>
  </si>
  <si>
    <t>RECEIVE $2.00 OFF A BIG COOKIE CAKE</t>
  </si>
  <si>
    <t>Coffee Oasis</t>
  </si>
  <si>
    <t>Double Wired Espresso</t>
  </si>
  <si>
    <t>Rock N Roll Burger</t>
  </si>
  <si>
    <t>Mad Moose Pizza</t>
  </si>
  <si>
    <t>Saffron Deli &amp; Pastry</t>
  </si>
  <si>
    <t>Issaquah Coffee Company</t>
  </si>
  <si>
    <t>Java Hut Espresso</t>
  </si>
  <si>
    <t>Extreme Pizza</t>
  </si>
  <si>
    <t>Snap Dogs Diner</t>
  </si>
  <si>
    <t>20% Off Food</t>
  </si>
  <si>
    <t>Des Moines Dog House</t>
  </si>
  <si>
    <t>Kidz-n-Coffee</t>
  </si>
  <si>
    <t>Suzy Q's Espresso</t>
  </si>
  <si>
    <t>Something Delicious Bakery</t>
  </si>
  <si>
    <t>Hope In Christ Ministries - The Coffee Oasis</t>
  </si>
  <si>
    <t>Elliott Bay Pizza</t>
  </si>
  <si>
    <t>Christale's Java Hut</t>
  </si>
  <si>
    <t>UP TO 50% OFF</t>
  </si>
  <si>
    <t>Cafe Siena</t>
  </si>
  <si>
    <t>FREE 16 OZ. CAPPUCCINO BLAST</t>
  </si>
  <si>
    <t>Baskin Robbins Cafe N' Donuts</t>
  </si>
  <si>
    <t>Urbia Fresh Cafe</t>
  </si>
  <si>
    <t>Kona Kai Coffee Company</t>
  </si>
  <si>
    <t>Port of Subs</t>
  </si>
  <si>
    <t>Baily's C C Espresso &amp; Ice Creamery</t>
  </si>
  <si>
    <t>20% Off Discount</t>
  </si>
  <si>
    <t>Celtic Coffee Shop &amp; Deli</t>
  </si>
  <si>
    <t>Julianito's Mexican Food</t>
  </si>
  <si>
    <t>Haley's Corner Bakery</t>
  </si>
  <si>
    <t>Maya's Peppered Pizza</t>
  </si>
  <si>
    <t>Baskin-Robbins</t>
  </si>
  <si>
    <t>Sandy's Espresso &amp; Sandwich Shop</t>
  </si>
  <si>
    <t>Gelatoicious</t>
  </si>
  <si>
    <t>Z's Burger</t>
  </si>
  <si>
    <t>FREE 20 OZ. ROOT BEER OR SMALL ICE CREAM CONE</t>
  </si>
  <si>
    <t>Los Bigotes De Villa Taqueria</t>
  </si>
  <si>
    <t>Marble Slab Creamery</t>
  </si>
  <si>
    <t>Baskin RobbinsIce Cream</t>
  </si>
  <si>
    <t>Mukilteo Chocolate Co.</t>
  </si>
  <si>
    <t>Gyros House</t>
  </si>
  <si>
    <t>Chicago Willy's Gourmet Burgers</t>
  </si>
  <si>
    <t>Burger Madness - Monroe</t>
  </si>
  <si>
    <t>Paesano's Coffee</t>
  </si>
  <si>
    <t>The Burger &amp; More</t>
  </si>
  <si>
    <t>Wienerschnitzel</t>
  </si>
  <si>
    <t>Simply Sweet Cupcakes</t>
  </si>
  <si>
    <t>Java Inn Coffee Roaster</t>
  </si>
  <si>
    <t>Hot Dog Cafe at Pegasus Shops</t>
  </si>
  <si>
    <t>S &amp; S Sub Shop</t>
  </si>
  <si>
    <t>The Chocolate Moose</t>
  </si>
  <si>
    <t>Manifesto Espresso</t>
  </si>
  <si>
    <t>Tolino Coffee</t>
  </si>
  <si>
    <t>i Burger &amp; Grill</t>
  </si>
  <si>
    <t>Mix It Up! Ice Creamery</t>
  </si>
  <si>
    <t>Zola's Cafe &amp; Coffee</t>
  </si>
  <si>
    <t>Kitsch-en</t>
  </si>
  <si>
    <t>A.K.A. Wired Espresso &amp; Deli</t>
  </si>
  <si>
    <t>Beetlejuice Java Cafe</t>
  </si>
  <si>
    <t>Sweet Indulgence</t>
  </si>
  <si>
    <t>The Great Steak &amp; Potato Co.</t>
  </si>
  <si>
    <t>Pizza Brava</t>
  </si>
  <si>
    <t>Wade's Cafe</t>
  </si>
  <si>
    <t>Donel's Espresso - Zipperdoodle</t>
  </si>
  <si>
    <t>Serious Soul Food</t>
  </si>
  <si>
    <t>Pazzo Coffee</t>
  </si>
  <si>
    <t>Bob's Pier - Bob's Pier</t>
  </si>
  <si>
    <t>The Coffee Corral</t>
  </si>
  <si>
    <t>FREE ESPRESSO DRINK</t>
  </si>
  <si>
    <t>Barry's Catering &amp; Cafe</t>
  </si>
  <si>
    <t>Zippy's Java Lounge</t>
  </si>
  <si>
    <t>KoKo Beans Coffee House</t>
  </si>
  <si>
    <t>Pappy's Pizza</t>
  </si>
  <si>
    <t>Infinite Soups</t>
  </si>
  <si>
    <t>Sahara Pizza</t>
  </si>
  <si>
    <t>Shakabrah</t>
  </si>
  <si>
    <t>Mocha Java Central</t>
  </si>
  <si>
    <t>New York Stone Pizza &amp; Sandwiches</t>
  </si>
  <si>
    <t>Legendary Doughnuts</t>
  </si>
  <si>
    <t>Sawdust Coffee Co.</t>
  </si>
  <si>
    <t>Harry's Pizza Parlor</t>
  </si>
  <si>
    <t>20% Off Pizza</t>
  </si>
  <si>
    <t>Espresso Yourself</t>
  </si>
  <si>
    <t>Wheelz Skate Arena</t>
  </si>
  <si>
    <t>Doc's Dream Cafe</t>
  </si>
  <si>
    <t>Paoli's Pizza &amp; Pasta</t>
  </si>
  <si>
    <t>Lindsey's Lattes</t>
  </si>
  <si>
    <t>Dutch Bakery Inc.</t>
  </si>
  <si>
    <t>Steph's Pizza</t>
  </si>
  <si>
    <t>Marielle's Taste of Asia</t>
  </si>
  <si>
    <t>Bagel Boyz Bistro</t>
  </si>
  <si>
    <t>Bambrew Espresso</t>
  </si>
  <si>
    <t>Pioneer Bakery</t>
  </si>
  <si>
    <t>Caffe Sorelle</t>
  </si>
  <si>
    <t>Bleachers Burgers Place</t>
  </si>
  <si>
    <t>Caffe Adamo</t>
  </si>
  <si>
    <t>Jet City Pizza Co.</t>
  </si>
  <si>
    <t>Deli at Marysville Shell</t>
  </si>
  <si>
    <t>Rhodies Smokin BBQ</t>
  </si>
  <si>
    <t>Old 99 Espresso</t>
  </si>
  <si>
    <t>Steilacoom Pub &amp; Grill</t>
  </si>
  <si>
    <t>Espresso by the bay</t>
  </si>
  <si>
    <t>PJ's Espresso</t>
  </si>
  <si>
    <t>Main Street Coffee House</t>
  </si>
  <si>
    <t>Rainier Pizza</t>
  </si>
  <si>
    <t>Paradise Burgers &amp; Deli</t>
  </si>
  <si>
    <t>Flying J Cafe</t>
  </si>
  <si>
    <t>Miyako's Teriyaki and Wok</t>
  </si>
  <si>
    <t>Coastal Vie Espresso</t>
  </si>
  <si>
    <t>Scandia Coffee House</t>
  </si>
  <si>
    <t>Saras Deli</t>
  </si>
  <si>
    <t>Julia's Bakery &amp; Cafe</t>
  </si>
  <si>
    <t>The Buzz</t>
  </si>
  <si>
    <t>Yummies' Eats &amp; Treats</t>
  </si>
  <si>
    <t>Lotus Tea Bar &amp; Studio</t>
  </si>
  <si>
    <t>Fusion Smoothie</t>
  </si>
  <si>
    <t>C&amp;D Gourmet Coffee Company</t>
  </si>
  <si>
    <t>All American Ice Cream and Frozen Yogurt</t>
  </si>
  <si>
    <t>State</t>
  </si>
  <si>
    <t>Seattle Center House</t>
  </si>
  <si>
    <t>WA</t>
  </si>
  <si>
    <t>714 Taylor Ave N</t>
  </si>
  <si>
    <t>428 Westlake Ave N</t>
  </si>
  <si>
    <t>305 Harrison</t>
  </si>
  <si>
    <t>305 Harrison St.</t>
  </si>
  <si>
    <t>2002 Fairview Avenue</t>
  </si>
  <si>
    <t>600 Queen Anne Ave. N.</t>
  </si>
  <si>
    <t>25 West Mercer Ave.</t>
  </si>
  <si>
    <t>531 Queen Anne Ave. N.</t>
  </si>
  <si>
    <t>2240 Eastlake Avenue E.</t>
  </si>
  <si>
    <t>1220 Howell St.</t>
  </si>
  <si>
    <t>2205 Queen Anne Ave. N.</t>
  </si>
  <si>
    <t>2231 Queen Anne Ave N</t>
  </si>
  <si>
    <t>428 Broadway East</t>
  </si>
  <si>
    <t>401 Broadway E.</t>
  </si>
  <si>
    <t>150 W Harrison St</t>
  </si>
  <si>
    <t>97 Denny Way</t>
  </si>
  <si>
    <t>2423 2Nd Avenue</t>
  </si>
  <si>
    <t>1800 8Th Ave.</t>
  </si>
  <si>
    <t>2822 Western Ave</t>
  </si>
  <si>
    <t>305 Lenora</t>
  </si>
  <si>
    <t>5049 Broadway St</t>
  </si>
  <si>
    <t>801 Pine St.</t>
  </si>
  <si>
    <t>600 Pine Street</t>
  </si>
  <si>
    <t>1601 5th Ave</t>
  </si>
  <si>
    <t>400 Pine St #301</t>
  </si>
  <si>
    <t>400 pine st #305</t>
  </si>
  <si>
    <t>400 Pine St. # 336</t>
  </si>
  <si>
    <t>725 Pike St</t>
  </si>
  <si>
    <t>2000 1st Ave</t>
  </si>
  <si>
    <t>3400 Stone Way</t>
  </si>
  <si>
    <t>800 Convention Pl</t>
  </si>
  <si>
    <t>2001 Western Ave Ste 110a</t>
  </si>
  <si>
    <t>435 - 15th Ave. E.</t>
  </si>
  <si>
    <t>811 E. Pike</t>
  </si>
  <si>
    <t>824 E Pike St</t>
  </si>
  <si>
    <t>601 Union St</t>
  </si>
  <si>
    <t>340 15th Ave. E.</t>
  </si>
  <si>
    <t>1530 Post Alley</t>
  </si>
  <si>
    <t>1427 Broadway</t>
  </si>
  <si>
    <t>1401 4th Ave</t>
  </si>
  <si>
    <t>106 Pike</t>
  </si>
  <si>
    <t>93 Pike St #4</t>
  </si>
  <si>
    <t>1500 Pike Place #16</t>
  </si>
  <si>
    <t>1414 Third Ave.</t>
  </si>
  <si>
    <t>925 Seneca St</t>
  </si>
  <si>
    <t>1111 E. Pike St.</t>
  </si>
  <si>
    <t>108 Union St.</t>
  </si>
  <si>
    <t>101 Nickerson St</t>
  </si>
  <si>
    <t>746 19th Ave E</t>
  </si>
  <si>
    <t>501 Seneca St</t>
  </si>
  <si>
    <t>462 N 34th</t>
  </si>
  <si>
    <t>1222 Post Aly</t>
  </si>
  <si>
    <t>1000 4th Ave.</t>
  </si>
  <si>
    <t>452 N. 36th St.</t>
  </si>
  <si>
    <t>1015 3rd Ave</t>
  </si>
  <si>
    <t>Pier 56</t>
  </si>
  <si>
    <t>1060 N 39th st</t>
  </si>
  <si>
    <t>806 12Th Ave.</t>
  </si>
  <si>
    <t>1003 Alaskan Way</t>
  </si>
  <si>
    <t>806 3Rd Ave.</t>
  </si>
  <si>
    <t>808 2nd Ave</t>
  </si>
  <si>
    <t>701 5th Ave Ste 205</t>
  </si>
  <si>
    <t>701 5th Ave</t>
  </si>
  <si>
    <t>821 2nd Ave Ste 402</t>
  </si>
  <si>
    <t>2332 E. Madison St.</t>
  </si>
  <si>
    <t>602 2nd Ave.</t>
  </si>
  <si>
    <t>2000 E. Union St.</t>
  </si>
  <si>
    <t>103 Yesler Way</t>
  </si>
  <si>
    <t>2743 E Madison</t>
  </si>
  <si>
    <t>336 NW 40th</t>
  </si>
  <si>
    <t>Capitol Hill</t>
  </si>
  <si>
    <t>408 2nd Ave S</t>
  </si>
  <si>
    <t>3223 15th Avenue West</t>
  </si>
  <si>
    <t>1716 N. 45th St.</t>
  </si>
  <si>
    <t>1903 North 45th Street</t>
  </si>
  <si>
    <t>2100 N 45th St</t>
  </si>
  <si>
    <t>2309 N 45Th St</t>
  </si>
  <si>
    <t>3121 E. Madison Street</t>
  </si>
  <si>
    <t>2818 Thorndyke Ave W</t>
  </si>
  <si>
    <t>665 23rd Avenue</t>
  </si>
  <si>
    <t>625 5th Ave S</t>
  </si>
  <si>
    <t>4300 Leary Way Nw</t>
  </si>
  <si>
    <t>4215 University Way Ne</t>
  </si>
  <si>
    <t>4336 Roosevelt Way</t>
  </si>
  <si>
    <t>3201 20th Ave West</t>
  </si>
  <si>
    <t>4910 Greenlake Way N.</t>
  </si>
  <si>
    <t>4301 University Way N.E.</t>
  </si>
  <si>
    <t>1918 East Yesler Way</t>
  </si>
  <si>
    <t>1309 NE 45th St.</t>
  </si>
  <si>
    <t>4507 Brooklyn Ave NE</t>
  </si>
  <si>
    <t>2726 E. Cherry St.</t>
  </si>
  <si>
    <t>1720 S Jackson St.</t>
  </si>
  <si>
    <t>4518 University Way</t>
  </si>
  <si>
    <t>4725 University Ave</t>
  </si>
  <si>
    <t>4700 University Way NE</t>
  </si>
  <si>
    <t>1101 34th Ave.</t>
  </si>
  <si>
    <t>4749 University Way Ne</t>
  </si>
  <si>
    <t>5042 Roosevelt Way N.E.</t>
  </si>
  <si>
    <t>1405 N.E. 50th St.</t>
  </si>
  <si>
    <t>999 Nw Leary Way</t>
  </si>
  <si>
    <t>5200 Roosevelt Way NE</t>
  </si>
  <si>
    <t>2301 So Jackson #201</t>
  </si>
  <si>
    <t>3111 W. McGraw</t>
  </si>
  <si>
    <t>4036 E Madison St</t>
  </si>
  <si>
    <t>3223 W McGraw St</t>
  </si>
  <si>
    <t>3320 Mcgraw</t>
  </si>
  <si>
    <t>5259 University Way N.E.</t>
  </si>
  <si>
    <t>2724 Ne 45th St</t>
  </si>
  <si>
    <t>4915 25th Ave NE Suite 100-W</t>
  </si>
  <si>
    <t>1907 4Th Ave S</t>
  </si>
  <si>
    <t>3042 NE 45th St Ste A</t>
  </si>
  <si>
    <t>5305 15th Avenue NW</t>
  </si>
  <si>
    <t>2200 Fourth Avenue So</t>
  </si>
  <si>
    <t>6417 Latona Ave. NE</t>
  </si>
  <si>
    <t>2608 South Judkins St</t>
  </si>
  <si>
    <t>5502 25th N.E.</t>
  </si>
  <si>
    <t>5404 Leary Ave NW</t>
  </si>
  <si>
    <t>1715 Rainier Ave. S.</t>
  </si>
  <si>
    <t>1027 Ne 65Th St. Su 22</t>
  </si>
  <si>
    <t>2052 N.W. Market St.</t>
  </si>
  <si>
    <t>2060 NW Market St</t>
  </si>
  <si>
    <t>2218 N.W. Market St.</t>
  </si>
  <si>
    <t>2242 NW Market St</t>
  </si>
  <si>
    <t>1505 NE 65th St</t>
  </si>
  <si>
    <t>2424 Beacon Ave. S.</t>
  </si>
  <si>
    <t>4800 Sand Point Way NE</t>
  </si>
  <si>
    <t>6421 15th Ave NW</t>
  </si>
  <si>
    <t>7220 Woodlawn Ave NE</t>
  </si>
  <si>
    <t>2258 NE 65th</t>
  </si>
  <si>
    <t>5802 24th Avenue NW</t>
  </si>
  <si>
    <t>2400 N.E. 65th St.</t>
  </si>
  <si>
    <t>3058 NW 54th St</t>
  </si>
  <si>
    <t>3100 Airport Way S</t>
  </si>
  <si>
    <t>7710 Aurora Ave. N.</t>
  </si>
  <si>
    <t>7810 E. Greenlake Dr. N.</t>
  </si>
  <si>
    <t>5408 Sand Point Way</t>
  </si>
  <si>
    <t>4203 Admiral Way Sw</t>
  </si>
  <si>
    <t>2601 S Mcclellan St</t>
  </si>
  <si>
    <t>8001 15Th Ave. Ne</t>
  </si>
  <si>
    <t>8319 Greenwood Ave. N.</t>
  </si>
  <si>
    <t>8310 Greenwood Ave N</t>
  </si>
  <si>
    <t>8056 Lake City Way NE</t>
  </si>
  <si>
    <t>8502 Aurora Ave N</t>
  </si>
  <si>
    <t>950 N 85th St</t>
  </si>
  <si>
    <t>8411 Greenwood Ave N</t>
  </si>
  <si>
    <t>8420 Greenwood Ave North</t>
  </si>
  <si>
    <t>7347 35Th Ave. #F</t>
  </si>
  <si>
    <t>3829 Delridge C-205</t>
  </si>
  <si>
    <t>305 N.W. 85th St.</t>
  </si>
  <si>
    <t>333 NW 85th St</t>
  </si>
  <si>
    <t>4117 Fourth Ave S</t>
  </si>
  <si>
    <t>656 NW 85TH St.</t>
  </si>
  <si>
    <t>2629 SW Andover St</t>
  </si>
  <si>
    <t>8525 15th Ave NW</t>
  </si>
  <si>
    <t>3642 33rd Avenue S</t>
  </si>
  <si>
    <t>3756 Rainier Ave. S. #A</t>
  </si>
  <si>
    <t>2676 Alki Ave SW</t>
  </si>
  <si>
    <t>10003 Greenwood Ave. N.</t>
  </si>
  <si>
    <t>4410 California Ave. S.W.</t>
  </si>
  <si>
    <t>10330 Aurora Ave. N</t>
  </si>
  <si>
    <t>4400 Rainier Ave S</t>
  </si>
  <si>
    <t>4556 California Ave. S.W.</t>
  </si>
  <si>
    <t>10504 Aurora Ave N</t>
  </si>
  <si>
    <t>4831 35th Ave SW</t>
  </si>
  <si>
    <t>4709 California Ave. S.W.</t>
  </si>
  <si>
    <t>4746 California Ave SW</t>
  </si>
  <si>
    <t>5603 4Th Avenue S.</t>
  </si>
  <si>
    <t>5613 4th Ave. South</t>
  </si>
  <si>
    <t>10733 Meridian Ave. N.</t>
  </si>
  <si>
    <t>8805 Points Dr NE</t>
  </si>
  <si>
    <t>Clyde Hill</t>
  </si>
  <si>
    <t>5903 1St Ave S</t>
  </si>
  <si>
    <t>4820 Rainier Ave</t>
  </si>
  <si>
    <t>401 NE Northgate Way</t>
  </si>
  <si>
    <t>401 Ne Northgate Way</t>
  </si>
  <si>
    <t>10822 Roosevelt Wy NE</t>
  </si>
  <si>
    <t>11020 8th Ave N.E.</t>
  </si>
  <si>
    <t>7679 Se 27Th</t>
  </si>
  <si>
    <t>Mercer Island</t>
  </si>
  <si>
    <t>7803 SE 27th St. Ste 176</t>
  </si>
  <si>
    <t>MercerIsland</t>
  </si>
  <si>
    <t>7810 SE 27th St</t>
  </si>
  <si>
    <t>600 South Michigan St.</t>
  </si>
  <si>
    <t>5620 Martin Luther Jr Wa</t>
  </si>
  <si>
    <t>11003 35th Ave NE</t>
  </si>
  <si>
    <t>5607 Rainier Ave. S.</t>
  </si>
  <si>
    <t>6760 W. Marginal Way Sw</t>
  </si>
  <si>
    <t>6501 35th Ave SW</t>
  </si>
  <si>
    <t>12515 Aurora Ave N</t>
  </si>
  <si>
    <t>4205 SW Morgan St</t>
  </si>
  <si>
    <t>302 N 125th St</t>
  </si>
  <si>
    <t>6505 California Avenue</t>
  </si>
  <si>
    <t>6540 California Ave Sw</t>
  </si>
  <si>
    <t>Space 2040 Bellevue Square</t>
  </si>
  <si>
    <t>Bellevue</t>
  </si>
  <si>
    <t>7200 E. Marginal Way So</t>
  </si>
  <si>
    <t>2002 Bellevue Square Mall</t>
  </si>
  <si>
    <t>2240 Carillon Point</t>
  </si>
  <si>
    <t>Kirkland</t>
  </si>
  <si>
    <t>2033 Bellevue Sq</t>
  </si>
  <si>
    <t>700 Bellevue Way NE Ste 140</t>
  </si>
  <si>
    <t>7301 Delridge Way SW</t>
  </si>
  <si>
    <t>12500 Ne Lake City Way</t>
  </si>
  <si>
    <t>10575 Ne 12th St</t>
  </si>
  <si>
    <t>10500 NE 8th St</t>
  </si>
  <si>
    <t>7011 California Ave. S.W.</t>
  </si>
  <si>
    <t>10445 Ne 4Th St Ste. M</t>
  </si>
  <si>
    <t>120 Bellevue Way N.E.</t>
  </si>
  <si>
    <t>13201 Aurora Ave. N Suite C</t>
  </si>
  <si>
    <t>13201 Aurora Avenue North</t>
  </si>
  <si>
    <t>103 Bellevue Way NE #3</t>
  </si>
  <si>
    <t>5910 Lake Washington Blvd. N.E.</t>
  </si>
  <si>
    <t>12 Bellevue Way Se</t>
  </si>
  <si>
    <t>1120 106Th Ave. Ne R-2</t>
  </si>
  <si>
    <t>7514 35th Ave S.W.</t>
  </si>
  <si>
    <t>555 108th Ave. NE</t>
  </si>
  <si>
    <t>3009 112th Ave. N.E.</t>
  </si>
  <si>
    <t>333 108th Ave. N.E.</t>
  </si>
  <si>
    <t>10812 Main St</t>
  </si>
  <si>
    <t>13055 Lake City Way</t>
  </si>
  <si>
    <t>11022 Ne 8Th St.</t>
  </si>
  <si>
    <t>104 Central Way</t>
  </si>
  <si>
    <t>164 Lake St S</t>
  </si>
  <si>
    <t>255 Central Way</t>
  </si>
  <si>
    <t>14303 Aurora Ave. N.</t>
  </si>
  <si>
    <t>355 Kirkland Ave</t>
  </si>
  <si>
    <t>14424 N Greenwood Ave</t>
  </si>
  <si>
    <t>14346 15th Ave NE</t>
  </si>
  <si>
    <t>11611 NE 8th St</t>
  </si>
  <si>
    <t>8819 14 Ave S #A</t>
  </si>
  <si>
    <t>11959 Northup Way</t>
  </si>
  <si>
    <t>512 Park Place</t>
  </si>
  <si>
    <t>1125 N. 152nd St. Suite A</t>
  </si>
  <si>
    <t>15905 Westminster Avenue</t>
  </si>
  <si>
    <t>9452 SW 35th Ave</t>
  </si>
  <si>
    <t>9910 8th Ave SW</t>
  </si>
  <si>
    <t>12903 NE 20th St</t>
  </si>
  <si>
    <t>677-120th Ave. N.E.</t>
  </si>
  <si>
    <t>10050 16th Ave. SW</t>
  </si>
  <si>
    <t>9102 Rainier Ave S</t>
  </si>
  <si>
    <t>Bothell</t>
  </si>
  <si>
    <t>10256 16TH AVE SW</t>
  </si>
  <si>
    <t>SEATTLE</t>
  </si>
  <si>
    <t>8522 122Nd Ave. Ne #B-5</t>
  </si>
  <si>
    <t>8556 122nd Ave. NE</t>
  </si>
  <si>
    <t>1517 SW 104th St</t>
  </si>
  <si>
    <t>278 Winslow Way E #206</t>
  </si>
  <si>
    <t>Bainbridge Island</t>
  </si>
  <si>
    <t>9435 Rainier Avenue S.</t>
  </si>
  <si>
    <t>13055 N E 70Th Pl</t>
  </si>
  <si>
    <t>13100 NE 70th Pl</t>
  </si>
  <si>
    <t>6811 132ND AVE NE</t>
  </si>
  <si>
    <t>KIRKLAND</t>
  </si>
  <si>
    <t>13948 NE 20th</t>
  </si>
  <si>
    <t>3610-C Factoria Blvd. S.E.</t>
  </si>
  <si>
    <t>3700 Factoria Blvd SE</t>
  </si>
  <si>
    <t>3700 C Factoria Blvd.</t>
  </si>
  <si>
    <t>3720 128th Avenue SE</t>
  </si>
  <si>
    <t>17505 Aurora Ave N</t>
  </si>
  <si>
    <t>12803 SE 38th Street</t>
  </si>
  <si>
    <t>4004 128th Ave. S.E.</t>
  </si>
  <si>
    <t>13520 100th Ave NE</t>
  </si>
  <si>
    <t>10004 NE 137TH ST</t>
  </si>
  <si>
    <t>17720 15th Ave Ne</t>
  </si>
  <si>
    <t>11322 Ne 124th</t>
  </si>
  <si>
    <t>17171 Bothell Way NE</t>
  </si>
  <si>
    <t>Lake Forest Park</t>
  </si>
  <si>
    <t>17171 Bothell Way N.E.</t>
  </si>
  <si>
    <t>11450 NE 124th St</t>
  </si>
  <si>
    <t>12401 Wayzata Blvd</t>
  </si>
  <si>
    <t>18002 15th Ave NE Ste A</t>
  </si>
  <si>
    <t>18002 15th Ave. N.E.</t>
  </si>
  <si>
    <t>11620 Ambaum Blvd SW</t>
  </si>
  <si>
    <t>Burien</t>
  </si>
  <si>
    <t>18213 Aurora Ave N</t>
  </si>
  <si>
    <t>14650 Bell Red Road</t>
  </si>
  <si>
    <t>1900 148Th Ave Ne</t>
  </si>
  <si>
    <t>2200 148th Ave. N.E.</t>
  </si>
  <si>
    <t>Redmond</t>
  </si>
  <si>
    <t>11600 124th Avenue NE</t>
  </si>
  <si>
    <t>12409 Ne 116Th St</t>
  </si>
  <si>
    <t>18501 Aurora Ave North</t>
  </si>
  <si>
    <t>15025 N.E. 24th St.</t>
  </si>
  <si>
    <t>15001 Ne 24Th Avenue</t>
  </si>
  <si>
    <t>12475 Totem Lake Blvd NE</t>
  </si>
  <si>
    <t>15115 N.E. 24th Ave.</t>
  </si>
  <si>
    <t>2560 152nd Ave NE Ste C</t>
  </si>
  <si>
    <t>12039 NE 128th Street</t>
  </si>
  <si>
    <t>15259 N.E. Bel-Red Rd.</t>
  </si>
  <si>
    <t>Renton</t>
  </si>
  <si>
    <t>6100 Ne Bothell Way</t>
  </si>
  <si>
    <t>Kenmore</t>
  </si>
  <si>
    <t>1410 156Th Ne</t>
  </si>
  <si>
    <t>15600 N.E. 8th</t>
  </si>
  <si>
    <t>15600 NE 8th St</t>
  </si>
  <si>
    <t>6434 Bothell Way N.E.</t>
  </si>
  <si>
    <t>1127 Sw 128Th St</t>
  </si>
  <si>
    <t>12805 1St Ave So Unit A</t>
  </si>
  <si>
    <t>6702 NE Bothell Way</t>
  </si>
  <si>
    <t>19553 Aurora Ave. N.</t>
  </si>
  <si>
    <t>14712 Ne 91St St. Suite 500</t>
  </si>
  <si>
    <t>3080 148TH AVE SE</t>
  </si>
  <si>
    <t>BELLEVUE</t>
  </si>
  <si>
    <t>3080 148th Ave SE Ste 113</t>
  </si>
  <si>
    <t>3080 148 Ave Se Su 111</t>
  </si>
  <si>
    <t>7016 Ne Bothell Way</t>
  </si>
  <si>
    <t>9015 Willows Road</t>
  </si>
  <si>
    <t>15920 Ne 8th St</t>
  </si>
  <si>
    <t>2810 160th Pl NE</t>
  </si>
  <si>
    <t>15100c Se 38th St</t>
  </si>
  <si>
    <t>15210 SE 37th St</t>
  </si>
  <si>
    <t>12835 Newcastle Way</t>
  </si>
  <si>
    <t>Newcastle</t>
  </si>
  <si>
    <t>3179 156Th Ave Se</t>
  </si>
  <si>
    <t>13450 1st Ave S</t>
  </si>
  <si>
    <t>6046 W Lake Sammamish Pkwy Ne</t>
  </si>
  <si>
    <t>13515 Ambaum Blvd SW</t>
  </si>
  <si>
    <t>1275 N 205th St.</t>
  </si>
  <si>
    <t>8425 244th St. S.W.</t>
  </si>
  <si>
    <t>Edmonds</t>
  </si>
  <si>
    <t>15748 Redmond Way</t>
  </si>
  <si>
    <t>6966 Coal Creek Pky SE</t>
  </si>
  <si>
    <t>1901 NE 205th Street</t>
  </si>
  <si>
    <t>9649 Firdale Ave</t>
  </si>
  <si>
    <t>9695 Firdale Ave</t>
  </si>
  <si>
    <t>16001 Redmond Way</t>
  </si>
  <si>
    <t>17208 Bothell Way NE</t>
  </si>
  <si>
    <t>13050 Interurban Ave S</t>
  </si>
  <si>
    <t>Tukwila</t>
  </si>
  <si>
    <t>16349 NE 74th St</t>
  </si>
  <si>
    <t>16260 Redmond Way</t>
  </si>
  <si>
    <t>23830 Highway 99 Ste 118</t>
  </si>
  <si>
    <t>8862 161st Ave NE</t>
  </si>
  <si>
    <t>17716 Bothell Way N.E.</t>
  </si>
  <si>
    <t>14206 1St Ave S(Fred Meyer Pl)</t>
  </si>
  <si>
    <t>16280 Ne 87Th St</t>
  </si>
  <si>
    <t>16564 Cleveland St.</t>
  </si>
  <si>
    <t>14310 AMBAUM BLVD SW</t>
  </si>
  <si>
    <t>BURIEN</t>
  </si>
  <si>
    <t>16805 Redmond Way</t>
  </si>
  <si>
    <t>16989 REDMOND WAY</t>
  </si>
  <si>
    <t>REDMOND</t>
  </si>
  <si>
    <t>1201 Lake Washington Blvd.</t>
  </si>
  <si>
    <t>17192 Redmond Way</t>
  </si>
  <si>
    <t>126 SW 148th St. Ste C 170</t>
  </si>
  <si>
    <t>3742 S 144Th St</t>
  </si>
  <si>
    <t>18610 Bothell Way N.E.</t>
  </si>
  <si>
    <t>18811 Bothell Way Ne</t>
  </si>
  <si>
    <t>22941 Highway 99</t>
  </si>
  <si>
    <t>10016 Edmonds Way</t>
  </si>
  <si>
    <t>15050 1st Ave S</t>
  </si>
  <si>
    <t>6975 176th Ave. NE</t>
  </si>
  <si>
    <t>14638 Pacific Hwy S</t>
  </si>
  <si>
    <t>425 S. W. 152nd.</t>
  </si>
  <si>
    <t>822 SW 152nd St.</t>
  </si>
  <si>
    <t>12121 Ne Northrup Way</t>
  </si>
  <si>
    <t>1190 Sunset Blvd. NE</t>
  </si>
  <si>
    <t>6536 E Lake Sammamish Parkway</t>
  </si>
  <si>
    <t>251 Rainer Ave N</t>
  </si>
  <si>
    <t>22726 44Th Ave. W.</t>
  </si>
  <si>
    <t>Mountlake Terrace</t>
  </si>
  <si>
    <t>2828 Sunset Ln. NE</t>
  </si>
  <si>
    <t>15730 1st Ave. S.</t>
  </si>
  <si>
    <t>14481 Woodinville Redmond Rd NE</t>
  </si>
  <si>
    <t>Woodinville</t>
  </si>
  <si>
    <t>2813 Sunset Blvd Ne</t>
  </si>
  <si>
    <t>2705 Sunset Blvd NE</t>
  </si>
  <si>
    <t>15822 First Ave. S.</t>
  </si>
  <si>
    <t>7030 220th St SW</t>
  </si>
  <si>
    <t>314-C Park Ave. N.</t>
  </si>
  <si>
    <t>17445 131St Ave Ne</t>
  </si>
  <si>
    <t>261 Rainier Ave S</t>
  </si>
  <si>
    <t>21919 66Th Ave. West #A</t>
  </si>
  <si>
    <t>13023 NE 175th St</t>
  </si>
  <si>
    <t>14800 Starfire Way</t>
  </si>
  <si>
    <t>17831 131ST AVE NE</t>
  </si>
  <si>
    <t>WOODINVILLE</t>
  </si>
  <si>
    <t>16060 Pacific Hwy. S.</t>
  </si>
  <si>
    <t>Seatac</t>
  </si>
  <si>
    <t>1222 Bronson Way N #140</t>
  </si>
  <si>
    <t>5800 Southcenter Blvd</t>
  </si>
  <si>
    <t>479 Rainier Ave S</t>
  </si>
  <si>
    <t>1537 Duvall Ave NE</t>
  </si>
  <si>
    <t>926 S. 3rd Street</t>
  </si>
  <si>
    <t>105 S.W. 7th St.</t>
  </si>
  <si>
    <t>604 Rainier Ave. S.</t>
  </si>
  <si>
    <t>16260 Military Rd S</t>
  </si>
  <si>
    <t>7300 Fun Center Way</t>
  </si>
  <si>
    <t>20309 Northcreek Parkway</t>
  </si>
  <si>
    <t>7530 212TH ST SW</t>
  </si>
  <si>
    <t>EDMONDS</t>
  </si>
  <si>
    <t>546 Southcenter Mall</t>
  </si>
  <si>
    <t>8403 Main St.</t>
  </si>
  <si>
    <t>21130 Hwy 99</t>
  </si>
  <si>
    <t>17600 140th Ave. N.E.</t>
  </si>
  <si>
    <t>985 Southcenter Mall</t>
  </si>
  <si>
    <t>18480 Suquamish Way Ne</t>
  </si>
  <si>
    <t>Suquamish</t>
  </si>
  <si>
    <t>22624 Meridian Ave S</t>
  </si>
  <si>
    <t>2900 NE Third St</t>
  </si>
  <si>
    <t>1120 Southcenter Mall</t>
  </si>
  <si>
    <t>410 Walnut St.</t>
  </si>
  <si>
    <t>14245 Ne Woodinville-Duvall Rd</t>
  </si>
  <si>
    <t>21210 44th Ave. W.</t>
  </si>
  <si>
    <t>Mt. Lake Terrace</t>
  </si>
  <si>
    <t>21201 44th Avenue W</t>
  </si>
  <si>
    <t>710 S Grady Way</t>
  </si>
  <si>
    <t>800 S. Grady Way</t>
  </si>
  <si>
    <t>22910 Bothell Everett Hwy #111A</t>
  </si>
  <si>
    <t>Lynnwood</t>
  </si>
  <si>
    <t>20829 Hwy. 99 Ste. C</t>
  </si>
  <si>
    <t>2600 Southcenter Mall Fc-6</t>
  </si>
  <si>
    <t>210 5th Ave S</t>
  </si>
  <si>
    <t>11523 Avondale Rd. N.E.</t>
  </si>
  <si>
    <t>11523 Avondale Rd Ne Su #104</t>
  </si>
  <si>
    <t>3555 Monte Villa Parkway</t>
  </si>
  <si>
    <t>22736 Bothell Everett Hwy</t>
  </si>
  <si>
    <t>804-238 St SE</t>
  </si>
  <si>
    <t>115 - 5th Ave. S.</t>
  </si>
  <si>
    <t>22615 Bothell Everett Hwy</t>
  </si>
  <si>
    <t>160 W. Dayton Street</t>
  </si>
  <si>
    <t>4020 NE 4th</t>
  </si>
  <si>
    <t>Westfield Southcenter Mall</t>
  </si>
  <si>
    <t>993 WestField Southcenter Mall</t>
  </si>
  <si>
    <t>15252 Tukwila Itntl Blvd</t>
  </si>
  <si>
    <t>4004 NE 4th St. Ste 104</t>
  </si>
  <si>
    <t>4020 Ne 4th St</t>
  </si>
  <si>
    <t>16400 W Valley Hwy</t>
  </si>
  <si>
    <t>17825 1st Ave. S.</t>
  </si>
  <si>
    <t>Normandy Park</t>
  </si>
  <si>
    <t>17851 First Ave. S.</t>
  </si>
  <si>
    <t>17105 Southcenter Parkway</t>
  </si>
  <si>
    <t>4701 NE 4TH ST</t>
  </si>
  <si>
    <t>RENTON</t>
  </si>
  <si>
    <t>4810 Ne 4Th St</t>
  </si>
  <si>
    <t>1600 Woods Rd Se</t>
  </si>
  <si>
    <t>Port Orchard</t>
  </si>
  <si>
    <t>6808 196th St. S.W.</t>
  </si>
  <si>
    <t>6815 196th St. S.W. #5</t>
  </si>
  <si>
    <t>6314 - 196th St. SW.</t>
  </si>
  <si>
    <t>15520 NE Woodinville Duv</t>
  </si>
  <si>
    <t>5106 196th St Sw</t>
  </si>
  <si>
    <t>4910 196th St. S.W.</t>
  </si>
  <si>
    <t>4812 196th St</t>
  </si>
  <si>
    <t>4323 196Th St Sw</t>
  </si>
  <si>
    <t>1616 Ne Bentley Dr</t>
  </si>
  <si>
    <t>Bremerton</t>
  </si>
  <si>
    <t>19509 44th Ave. West</t>
  </si>
  <si>
    <t>7599 State Route 303</t>
  </si>
  <si>
    <t>1554 Ne Fairground Rd</t>
  </si>
  <si>
    <t>5050 St Hwy 303 Ne</t>
  </si>
  <si>
    <t>1100 Wheaton Way Ste D</t>
  </si>
  <si>
    <t>1620 NE Riddell Rd</t>
  </si>
  <si>
    <t>3100 196th St.</t>
  </si>
  <si>
    <t>S.W. Lynnwood</t>
  </si>
  <si>
    <t>4219 Wheaton Way</t>
  </si>
  <si>
    <t>2840 S 188Th St</t>
  </si>
  <si>
    <t>17408 Vashon Hwy. Sw</t>
  </si>
  <si>
    <t>Vashon Island</t>
  </si>
  <si>
    <t>3560 Wheaton Way</t>
  </si>
  <si>
    <t>2027 196th St Sw</t>
  </si>
  <si>
    <t>Highway 14</t>
  </si>
  <si>
    <t>20806 Bothell-Everett Hwy</t>
  </si>
  <si>
    <t>1412 SW 43rd St.</t>
  </si>
  <si>
    <t>1250 Sw 43Rd #E</t>
  </si>
  <si>
    <t>20511 BOTHELL EVERETT HWY SE</t>
  </si>
  <si>
    <t>BOTHELL</t>
  </si>
  <si>
    <t>10978 State Hwy. 104</t>
  </si>
  <si>
    <t>Kingston</t>
  </si>
  <si>
    <t>10978 Hwy 104</t>
  </si>
  <si>
    <t>70 Washington Ave</t>
  </si>
  <si>
    <t>8829 S 180Th St</t>
  </si>
  <si>
    <t>Kent</t>
  </si>
  <si>
    <t>16420 Se 128Th St.</t>
  </si>
  <si>
    <t>22631 NE Inglewood Hill Rd</t>
  </si>
  <si>
    <t>Sammamish</t>
  </si>
  <si>
    <t>1403 NW Sammamish Rd</t>
  </si>
  <si>
    <t>Issaquah</t>
  </si>
  <si>
    <t>1467 Olney Ave</t>
  </si>
  <si>
    <t>1171 NW Sammamish Rd</t>
  </si>
  <si>
    <t>703 228Th Avenue Ne</t>
  </si>
  <si>
    <t>620 228Th Ave Ne</t>
  </si>
  <si>
    <t>1590 N.W. Gilman Blvd.</t>
  </si>
  <si>
    <t>462 228th Ave Ne</t>
  </si>
  <si>
    <t>16840 116th Ave Se</t>
  </si>
  <si>
    <t>3001 Mile Hill Dr. #140</t>
  </si>
  <si>
    <t>3001 Mile Hill Dr.</t>
  </si>
  <si>
    <t>3000 184th St SW Ste 358</t>
  </si>
  <si>
    <t>3000 184th St. SW</t>
  </si>
  <si>
    <t>822 Burwell St</t>
  </si>
  <si>
    <t>2615 184 St SW</t>
  </si>
  <si>
    <t>10622 SE Carr Rd</t>
  </si>
  <si>
    <t>1235 NW Maple St.</t>
  </si>
  <si>
    <t>17636 108th Ave SE</t>
  </si>
  <si>
    <t>17824 108TH AVE SE</t>
  </si>
  <si>
    <t>22310 N.E. Marketplace Dr.</t>
  </si>
  <si>
    <t>3050 228Th Ave. Se</t>
  </si>
  <si>
    <t>17906 Ash Way</t>
  </si>
  <si>
    <t>3289 Se Lund Ave</t>
  </si>
  <si>
    <t>17425 Highway 99</t>
  </si>
  <si>
    <t>1704 6th St</t>
  </si>
  <si>
    <t>3231 SE Lund Ave</t>
  </si>
  <si>
    <t>740 Nw Gilman Blvd</t>
  </si>
  <si>
    <t>730 N.W. Gilman Blvd.</t>
  </si>
  <si>
    <t>1800 SE Mile Hill Drive</t>
  </si>
  <si>
    <t>19118 Ne Woodinville Duvall Rd</t>
  </si>
  <si>
    <t>19150 Ne Woodinville-Duvall Rd.</t>
  </si>
  <si>
    <t>woodinville</t>
  </si>
  <si>
    <t>17211 Hwy 99</t>
  </si>
  <si>
    <t>17210 Highway 99</t>
  </si>
  <si>
    <t>19918 68 Ave So</t>
  </si>
  <si>
    <t>700 NW Gilman Blvd.</t>
  </si>
  <si>
    <t>2101 6th St</t>
  </si>
  <si>
    <t>2119 6th St</t>
  </si>
  <si>
    <t>21216 SR 9</t>
  </si>
  <si>
    <t>Snohomish Unincorp</t>
  </si>
  <si>
    <t>16722 HWY 99</t>
  </si>
  <si>
    <t>LYNNWOOD</t>
  </si>
  <si>
    <t>PSNS- Naval Exchange Bldg. #863</t>
  </si>
  <si>
    <t>317 NW Gilman</t>
  </si>
  <si>
    <t>4800 Jackson Ave SE</t>
  </si>
  <si>
    <t>17200 140th Ave SE</t>
  </si>
  <si>
    <t>Des Moines</t>
  </si>
  <si>
    <t>23525 NE Novelty Hill Rd. Ste A103</t>
  </si>
  <si>
    <t>3609 164th St. SW</t>
  </si>
  <si>
    <t>660 Front Street North</t>
  </si>
  <si>
    <t>3311 Bethel Road Se</t>
  </si>
  <si>
    <t>18945 HWY 305 NE</t>
  </si>
  <si>
    <t>POULSBO</t>
  </si>
  <si>
    <t>18960 State Hwy 305 Ne</t>
  </si>
  <si>
    <t>Poulsbo</t>
  </si>
  <si>
    <t>3750 Kitsap Way</t>
  </si>
  <si>
    <t>108 Front St N</t>
  </si>
  <si>
    <t>1515 164th Ave SW</t>
  </si>
  <si>
    <t>15244 Silverdale Way NW</t>
  </si>
  <si>
    <t>3850 Kitsap Way</t>
  </si>
  <si>
    <t>1212 164Th St Sw</t>
  </si>
  <si>
    <t>22302 Marine View Dr. S.</t>
  </si>
  <si>
    <t>3995 Bethel Rd SE Ste 2b</t>
  </si>
  <si>
    <t>2238 NW Bucklin Rd Ste. 102</t>
  </si>
  <si>
    <t>Silverdale</t>
  </si>
  <si>
    <t>511 164th St. SW</t>
  </si>
  <si>
    <t>21100 84th Ave S. Ste 102</t>
  </si>
  <si>
    <t>8433 S. 212Th St.Suite 101</t>
  </si>
  <si>
    <t>19653 7th Ave Ne</t>
  </si>
  <si>
    <t>22633 Marine View Dr S</t>
  </si>
  <si>
    <t>9500 RIDGETOP BLVD NW</t>
  </si>
  <si>
    <t>SILVERDALE</t>
  </si>
  <si>
    <t>21214 84th Ave S</t>
  </si>
  <si>
    <t>21224 - 84th Ave. S</t>
  </si>
  <si>
    <t>4305 Kitsap Way</t>
  </si>
  <si>
    <t>11140 Bethel Rd</t>
  </si>
  <si>
    <t>4510 Klahanie Drive</t>
  </si>
  <si>
    <t>Mill Creek</t>
  </si>
  <si>
    <t>20746 108Th Ave Se</t>
  </si>
  <si>
    <t>2600 Nw Randall Way</t>
  </si>
  <si>
    <t>1200-10th Ave. N.E.</t>
  </si>
  <si>
    <t>10735 Silverdale Way Nw</t>
  </si>
  <si>
    <t>1020 Ne Park Dr</t>
  </si>
  <si>
    <t>10726 Silverdale Way</t>
  </si>
  <si>
    <t>16314 Bothell Everett Hwy</t>
  </si>
  <si>
    <t>16310-A Bothell-Everett Hwy</t>
  </si>
  <si>
    <t>10315 Silverdale Way NW</t>
  </si>
  <si>
    <t>2912 NW Bucklin Hill Rd</t>
  </si>
  <si>
    <t>5000 KITSAP WAY</t>
  </si>
  <si>
    <t>BREMERTON</t>
  </si>
  <si>
    <t>23241 Pacific Hwy S</t>
  </si>
  <si>
    <t>23321 Pacific Hwy. S.</t>
  </si>
  <si>
    <t>211 BRAVO TER</t>
  </si>
  <si>
    <t>PORT ORCHARD</t>
  </si>
  <si>
    <t>23609 Pacific Hwy S</t>
  </si>
  <si>
    <t>19890 Viking Ave Nw</t>
  </si>
  <si>
    <t>24001 Pacific Hwy.</t>
  </si>
  <si>
    <t>435 Sw Sedgewick Rd</t>
  </si>
  <si>
    <t>6721 Kitsap Way Ste B</t>
  </si>
  <si>
    <t>21555 Olhava Way Nw</t>
  </si>
  <si>
    <t>21200 Olhava Way Nw</t>
  </si>
  <si>
    <t>24705 38th Ave S</t>
  </si>
  <si>
    <t>1809 W Meeker St</t>
  </si>
  <si>
    <t>24530 Russell Rd. S.</t>
  </si>
  <si>
    <t>Snohomish</t>
  </si>
  <si>
    <t>1313 Meeker Street</t>
  </si>
  <si>
    <t>110 Washington Ave. N</t>
  </si>
  <si>
    <t>415 Central Ave. N.</t>
  </si>
  <si>
    <t>317 E. Smith St.</t>
  </si>
  <si>
    <t>221 Central Ave N</t>
  </si>
  <si>
    <t>2601 Ohio Street</t>
  </si>
  <si>
    <t>124 - 4th Avenue S.</t>
  </si>
  <si>
    <t>14606 Main St Ne</t>
  </si>
  <si>
    <t>Duvall</t>
  </si>
  <si>
    <t>23911 104Th Ave Se</t>
  </si>
  <si>
    <t>701 128th St SW</t>
  </si>
  <si>
    <t>Everett</t>
  </si>
  <si>
    <t>10615 Se 240Th</t>
  </si>
  <si>
    <t>429 128th St SW</t>
  </si>
  <si>
    <t>15321 Main St Ne</t>
  </si>
  <si>
    <t>13314 Bothell Everett Hwy</t>
  </si>
  <si>
    <t>227 128th St. SW</t>
  </si>
  <si>
    <t>230 128TH ST SW</t>
  </si>
  <si>
    <t>EVERETT</t>
  </si>
  <si>
    <t>13300 Bothell-Everett Hwy. #301</t>
  </si>
  <si>
    <t>15525 Main St. N.E.</t>
  </si>
  <si>
    <t>3825 Harbour Pt Blvd SW</t>
  </si>
  <si>
    <t>Mukilted</t>
  </si>
  <si>
    <t>1515 132Nd St Se</t>
  </si>
  <si>
    <t>11800 Mukilteo Speedway</t>
  </si>
  <si>
    <t>Mukilteo</t>
  </si>
  <si>
    <t>2002 132nd S.E.</t>
  </si>
  <si>
    <t>11706 Mukilteo Speedway #A101</t>
  </si>
  <si>
    <t>13131 Bothell Everett Hw</t>
  </si>
  <si>
    <t>11707a Mukilteo Speedway</t>
  </si>
  <si>
    <t>11601 Harbour Pointe Blvd. Ste E</t>
  </si>
  <si>
    <t>11820 Evergreen Way</t>
  </si>
  <si>
    <t>11632 Hwy 99</t>
  </si>
  <si>
    <t>11400 Evergreen Way</t>
  </si>
  <si>
    <t>25206 104TH AVE SE</t>
  </si>
  <si>
    <t>KENT</t>
  </si>
  <si>
    <t>27020 Pacific Hwy S.</t>
  </si>
  <si>
    <t>25415 - 104th Ave. SE</t>
  </si>
  <si>
    <t>25445 - 104th Avenue SE</t>
  </si>
  <si>
    <t>1810 S 272Nd St</t>
  </si>
  <si>
    <t>27202 Pacific Highway S</t>
  </si>
  <si>
    <t>Federal Way</t>
  </si>
  <si>
    <t>10216 SE 256th St.</t>
  </si>
  <si>
    <t>10228 256 St #102</t>
  </si>
  <si>
    <t>1306 112th Street SW</t>
  </si>
  <si>
    <t>10402 SE 256th St</t>
  </si>
  <si>
    <t>5006 132nd St. SE</t>
  </si>
  <si>
    <t>5714 134 Pl Se #A-2</t>
  </si>
  <si>
    <t>26019 104th Ave Se</t>
  </si>
  <si>
    <t>26027 104 Ave SE</t>
  </si>
  <si>
    <t>711 112th St SE</t>
  </si>
  <si>
    <t>9999 Mukilteo Speedway</t>
  </si>
  <si>
    <t>Everett Mall Food Court</t>
  </si>
  <si>
    <t>530 S.W. Everett Mall Way</t>
  </si>
  <si>
    <t>4650 Tolt Ave.</t>
  </si>
  <si>
    <t>Carnation</t>
  </si>
  <si>
    <t>220 SE Everett Mall Way</t>
  </si>
  <si>
    <t>28851 Military Rd S</t>
  </si>
  <si>
    <t>9640 Evergreen Way</t>
  </si>
  <si>
    <t>305 SE Everett Mall Way #11</t>
  </si>
  <si>
    <t>500 SE Everett Mall Way Suite# A6</t>
  </si>
  <si>
    <t>9931 19th Ave SE</t>
  </si>
  <si>
    <t>1201-D S.E. Everett Mall Way</t>
  </si>
  <si>
    <t>3003 W Casino Rd</t>
  </si>
  <si>
    <t>8307 Mukilteo Speedway</t>
  </si>
  <si>
    <t>12925 Se Kent Kangley Rd #104</t>
  </si>
  <si>
    <t>1402 S.E. Everett Mall Way</t>
  </si>
  <si>
    <t>1402 Se Everett Mall Way</t>
  </si>
  <si>
    <t>1505 Se Everett Mall Way</t>
  </si>
  <si>
    <t>13003 SE Kent Kangley Rd</t>
  </si>
  <si>
    <t>901 W Casino Rd</t>
  </si>
  <si>
    <t>3648 Auburn Way N</t>
  </si>
  <si>
    <t>Auburn</t>
  </si>
  <si>
    <t>8520 Evergreen Way</t>
  </si>
  <si>
    <t>30420 Pacific Hwy S Suite #3</t>
  </si>
  <si>
    <t>7915 Evergreen Way</t>
  </si>
  <si>
    <t>1646-C Dash Point Road</t>
  </si>
  <si>
    <t>31130 Pacific Hwy S</t>
  </si>
  <si>
    <t>23330 Maple Valley Hwy.</t>
  </si>
  <si>
    <t>Maple Valley</t>
  </si>
  <si>
    <t>7601 Evergreen Way</t>
  </si>
  <si>
    <t>Covington</t>
  </si>
  <si>
    <t>16757 Se 272Nd St</t>
  </si>
  <si>
    <t>17051 SE 272nd St Ste 11</t>
  </si>
  <si>
    <t>17432 Se 270Th Pl.</t>
  </si>
  <si>
    <t>23714 222nd Place SE</t>
  </si>
  <si>
    <t>31855 Pacific Hwy S</t>
  </si>
  <si>
    <t>17450 SE 272nd St</t>
  </si>
  <si>
    <t>1770 S. 320th St.</t>
  </si>
  <si>
    <t>2020 S. 320th St. Ste E</t>
  </si>
  <si>
    <t>FederalWay</t>
  </si>
  <si>
    <t>2008 S Commons #C-7</t>
  </si>
  <si>
    <t>1902A S Commons Way</t>
  </si>
  <si>
    <t>1702 Auburn Way N.</t>
  </si>
  <si>
    <t>3910 S 320th St</t>
  </si>
  <si>
    <t>2008 Seatac Mall</t>
  </si>
  <si>
    <t>1945 S. Commons Mall</t>
  </si>
  <si>
    <t>27 15th St NE</t>
  </si>
  <si>
    <t>220 15TH AVE N E</t>
  </si>
  <si>
    <t>AUBURN</t>
  </si>
  <si>
    <t>340 15Th St Ne</t>
  </si>
  <si>
    <t>1426 S 324th St</t>
  </si>
  <si>
    <t>6521 EVERGREEN WAY</t>
  </si>
  <si>
    <t>1202 Auburn Way N.</t>
  </si>
  <si>
    <t>32925 1St Ave. S. #M</t>
  </si>
  <si>
    <t>14655 Fryelands Blvd. SE Suite#151</t>
  </si>
  <si>
    <t>Monroe</t>
  </si>
  <si>
    <t>11430 51St Ave Ste 100</t>
  </si>
  <si>
    <t>Gig Harbor</t>
  </si>
  <si>
    <t>Suite 1016 Auburn SuperMall</t>
  </si>
  <si>
    <t>102 Avenue D</t>
  </si>
  <si>
    <t>5905 Evergreen Way</t>
  </si>
  <si>
    <t>12065 1st Street</t>
  </si>
  <si>
    <t>1101 First Street</t>
  </si>
  <si>
    <t>1003 First Street</t>
  </si>
  <si>
    <t>12722 S.E. 312Th Ste. B</t>
  </si>
  <si>
    <t>202 N Division St</t>
  </si>
  <si>
    <t>2150 SW 336th St</t>
  </si>
  <si>
    <t>2148 SW 336th St.</t>
  </si>
  <si>
    <t>2400 Sw 336Th St</t>
  </si>
  <si>
    <t>2305 SW 336TH ST</t>
  </si>
  <si>
    <t>FEDERAL WAY</t>
  </si>
  <si>
    <t>2317 Sw 336th St</t>
  </si>
  <si>
    <t>33610 21st Ave SW</t>
  </si>
  <si>
    <t>7726 Center Blvd SE. Ste. 100</t>
  </si>
  <si>
    <t>Snoqualmie</t>
  </si>
  <si>
    <t>7726 Center Blvd S.E.</t>
  </si>
  <si>
    <t>7726 Center Blvd. S.E.</t>
  </si>
  <si>
    <t>13739 Roosevelt Road SE</t>
  </si>
  <si>
    <t>402 E. Main Street</t>
  </si>
  <si>
    <t>141 A Place SE</t>
  </si>
  <si>
    <t>714 Avenue D</t>
  </si>
  <si>
    <t>27203 216Th Ave Se Ste. #4</t>
  </si>
  <si>
    <t>Naples Alley</t>
  </si>
  <si>
    <t>650 Sw Campus Drive</t>
  </si>
  <si>
    <t>827 Ave D</t>
  </si>
  <si>
    <t>4830 Evergreen Way</t>
  </si>
  <si>
    <t>524 A St Se</t>
  </si>
  <si>
    <t>23415 Se 262 St.</t>
  </si>
  <si>
    <t>4717 Evergreen Way</t>
  </si>
  <si>
    <t>Ste 1016 Auburn SuperMall</t>
  </si>
  <si>
    <t>620 Auburn Way S</t>
  </si>
  <si>
    <t>707 Pine Avenue</t>
  </si>
  <si>
    <t>34520 16 Ave So</t>
  </si>
  <si>
    <t>19510 HWY 2</t>
  </si>
  <si>
    <t>MONROE</t>
  </si>
  <si>
    <t>19555 SR2</t>
  </si>
  <si>
    <t>902 S AUBURN WAY</t>
  </si>
  <si>
    <t>1202 Super Mall Way Sw #101</t>
  </si>
  <si>
    <t>19636 State Route 2</t>
  </si>
  <si>
    <t>1118 Super Mall Way SW</t>
  </si>
  <si>
    <t>1423 Avenue D</t>
  </si>
  <si>
    <t>19819 State Route 2</t>
  </si>
  <si>
    <t>1610 S 347Th Pl</t>
  </si>
  <si>
    <t>19905 State Route 2</t>
  </si>
  <si>
    <t>1420 Bickford Ave.</t>
  </si>
  <si>
    <t>1507 S. 348th St</t>
  </si>
  <si>
    <t>Enchanted Parkway</t>
  </si>
  <si>
    <t>34960 Enchanted Pkwy. S.</t>
  </si>
  <si>
    <t>1404 A Street S.E.</t>
  </si>
  <si>
    <t>1243 Auburn Way S</t>
  </si>
  <si>
    <t>23924 SE KENT KANGLY RD</t>
  </si>
  <si>
    <t>MAPLE VALLEY</t>
  </si>
  <si>
    <t>26919 Maple Valley/B.D. Hwy</t>
  </si>
  <si>
    <t>4030 Rucker Ave</t>
  </si>
  <si>
    <t>27006 Maple Valley Black Diamond Rd.</t>
  </si>
  <si>
    <t>MapleValley</t>
  </si>
  <si>
    <t>35503 21st Ave SW</t>
  </si>
  <si>
    <t>35501 21st Ave SW</t>
  </si>
  <si>
    <t>2621 Bickford Avenue Ste. A</t>
  </si>
  <si>
    <t>6335 Se Storkson</t>
  </si>
  <si>
    <t>Clinton</t>
  </si>
  <si>
    <t>6330 S STORKSON DR</t>
  </si>
  <si>
    <t>CLINTON</t>
  </si>
  <si>
    <t>3710 Broadway #105</t>
  </si>
  <si>
    <t>2790 Auburn Way S</t>
  </si>
  <si>
    <t>3312 Auburn Way S.</t>
  </si>
  <si>
    <t>3320 E. 11th St.</t>
  </si>
  <si>
    <t>Tacoma</t>
  </si>
  <si>
    <t>3102 Rucker Ave.</t>
  </si>
  <si>
    <t>22715 S.R. 2</t>
  </si>
  <si>
    <t>5500 Olympic Drive</t>
  </si>
  <si>
    <t>2505 Pacifiic Ave.</t>
  </si>
  <si>
    <t>1606 Hewitt Ave</t>
  </si>
  <si>
    <t>1620 Hewitt Ave</t>
  </si>
  <si>
    <t>1804 Hewitt Ave.</t>
  </si>
  <si>
    <t>402 Seattle Blvd N</t>
  </si>
  <si>
    <t>Pacific</t>
  </si>
  <si>
    <t>8010 Railroad Ave. S.E.</t>
  </si>
  <si>
    <t>425 ELLINGSON RD</t>
  </si>
  <si>
    <t>PACIFIC</t>
  </si>
  <si>
    <t>401 Ellingson Rd</t>
  </si>
  <si>
    <t>2707 Colby Ave</t>
  </si>
  <si>
    <t>5118 POINT FOSDICK DR NW</t>
  </si>
  <si>
    <t>GIG HARBOR</t>
  </si>
  <si>
    <t>2106 Everett Ave</t>
  </si>
  <si>
    <t>4017 "A" Street SE</t>
  </si>
  <si>
    <t>2312 N 30th St</t>
  </si>
  <si>
    <t>4804 Point Fosdick Rd</t>
  </si>
  <si>
    <t>4800 Point Fosdick Dr Nw</t>
  </si>
  <si>
    <t>2000 W. Marine View Drive</t>
  </si>
  <si>
    <t>24 N Tacoma Ave</t>
  </si>
  <si>
    <t>2606 N Stevens St</t>
  </si>
  <si>
    <t>3001 N PEARL ST</t>
  </si>
  <si>
    <t>TACOMA</t>
  </si>
  <si>
    <t>1806 Broadway</t>
  </si>
  <si>
    <t>23701 Ne Hwy 3</t>
  </si>
  <si>
    <t>Belfair</t>
  </si>
  <si>
    <t>2729 N Pearl St.</t>
  </si>
  <si>
    <t>2647 North Pearl</t>
  </si>
  <si>
    <t>445 Tacoma Avenue South #B</t>
  </si>
  <si>
    <t>2601 N. Pearl</t>
  </si>
  <si>
    <t>744 Commerce</t>
  </si>
  <si>
    <t>764 Broadway</t>
  </si>
  <si>
    <t>719 Meridian St East</t>
  </si>
  <si>
    <t>Edgewood</t>
  </si>
  <si>
    <t>902 Broadway Plaza</t>
  </si>
  <si>
    <t>2800 Milton Way</t>
  </si>
  <si>
    <t>Milton</t>
  </si>
  <si>
    <t>920 MERIDIAN E</t>
  </si>
  <si>
    <t>MILTON</t>
  </si>
  <si>
    <t>2006 Sixth Avenue</t>
  </si>
  <si>
    <t>2054 6Th Ave</t>
  </si>
  <si>
    <t>31525 - 3rd Avenue</t>
  </si>
  <si>
    <t>Black Diamond</t>
  </si>
  <si>
    <t>2618 6th Ave</t>
  </si>
  <si>
    <t>1112 South 11Th St</t>
  </si>
  <si>
    <t>1427 Pacific Ave</t>
  </si>
  <si>
    <t>1498 Pacific Ave. Ste 305</t>
  </si>
  <si>
    <t>5156 Pacific Highway East</t>
  </si>
  <si>
    <t>Fife</t>
  </si>
  <si>
    <t>4221 Pacific Hwy. E.</t>
  </si>
  <si>
    <t>3402 E Pacific Hwy</t>
  </si>
  <si>
    <t>902 N Broadway Suite D</t>
  </si>
  <si>
    <t>902 N. Broadway</t>
  </si>
  <si>
    <t>1410 Lake Tapps Pkwy E.</t>
  </si>
  <si>
    <t>1101 North Pearl St</t>
  </si>
  <si>
    <t>1440 Puyallup Ave</t>
  </si>
  <si>
    <t>1910 Pacific Ave</t>
  </si>
  <si>
    <t>5104 6th Avenue Suite 112</t>
  </si>
  <si>
    <t>5217 20th E</t>
  </si>
  <si>
    <t>1112 PUYALLUP AVE</t>
  </si>
  <si>
    <t>2098 54TH AVE E</t>
  </si>
  <si>
    <t>FIFE</t>
  </si>
  <si>
    <t>5955 6Th Ave #B-5</t>
  </si>
  <si>
    <t>5977 6th Ave.</t>
  </si>
  <si>
    <t>6240 6th Ave.</t>
  </si>
  <si>
    <t>6330 Sixth Ave.</t>
  </si>
  <si>
    <t>461 S. Fork Ave. S.W.</t>
  </si>
  <si>
    <t>North Bend</t>
  </si>
  <si>
    <t>1402 Lake Tapps Pkwy</t>
  </si>
  <si>
    <t>6702 6Th Ave</t>
  </si>
  <si>
    <t>2420 Pacific Ave</t>
  </si>
  <si>
    <t>18273 SR525</t>
  </si>
  <si>
    <t>Freeland</t>
  </si>
  <si>
    <t>113 Bendigo Blvd. North</t>
  </si>
  <si>
    <t>NorthBend</t>
  </si>
  <si>
    <t>1002 S. Pearl Street</t>
  </si>
  <si>
    <t>124 North T Street</t>
  </si>
  <si>
    <t>303 91st Ave Ne</t>
  </si>
  <si>
    <t>Lake Stevens</t>
  </si>
  <si>
    <t>8933 Market Place Ste E</t>
  </si>
  <si>
    <t>507 91St Ave Ne</t>
  </si>
  <si>
    <t>3202 S. 23Rd St. #2</t>
  </si>
  <si>
    <t>6501 S 19th St Bldg #11</t>
  </si>
  <si>
    <t>2013 Mildred St Ste. B</t>
  </si>
  <si>
    <t>Fircrest</t>
  </si>
  <si>
    <t>1009 Regents Blvd.</t>
  </si>
  <si>
    <t>2101 Mildred St #D</t>
  </si>
  <si>
    <t>2110 MILDRED ST W</t>
  </si>
  <si>
    <t>UNIVERSITY PLACE</t>
  </si>
  <si>
    <t>8802 Sixth Ave</t>
  </si>
  <si>
    <t>1905 Bridgeport Way W</t>
  </si>
  <si>
    <t>University Place</t>
  </si>
  <si>
    <t>4702 S Center St</t>
  </si>
  <si>
    <t>3601 Center St</t>
  </si>
  <si>
    <t>4916 Center St</t>
  </si>
  <si>
    <t>27927 Florence Acres Rd.</t>
  </si>
  <si>
    <t>101 S. 38Th Street</t>
  </si>
  <si>
    <t>7011 27th St. W.</t>
  </si>
  <si>
    <t>507-C Hwy. 2</t>
  </si>
  <si>
    <t>Sultan</t>
  </si>
  <si>
    <t>2623 Bridgeport Way W</t>
  </si>
  <si>
    <t>7315 27th St W Ste E2</t>
  </si>
  <si>
    <t>2702 Bridgeport Way W</t>
  </si>
  <si>
    <t>2612 S. 38th St.</t>
  </si>
  <si>
    <t>2901 S 38Th St</t>
  </si>
  <si>
    <t>4502 Steele Street</t>
  </si>
  <si>
    <t>4502 S. Steele St. #515</t>
  </si>
  <si>
    <t>4704 South Oaks Suite 101</t>
  </si>
  <si>
    <t>5322 Pacific Ave</t>
  </si>
  <si>
    <t>1807 Main Street</t>
  </si>
  <si>
    <t>5015 Tacoma Mall Dlvd</t>
  </si>
  <si>
    <t>914 Stevens Ave</t>
  </si>
  <si>
    <t>402 E 56Th St</t>
  </si>
  <si>
    <t>5517 Pacific Ave</t>
  </si>
  <si>
    <t>1114 River Road</t>
  </si>
  <si>
    <t>Puyallup</t>
  </si>
  <si>
    <t>5207 Tacoma Mall Blvd.</t>
  </si>
  <si>
    <t>7317 40Th St. West</t>
  </si>
  <si>
    <t>3922 Bridgeport Way</t>
  </si>
  <si>
    <t>19542 Hwy 410 E</t>
  </si>
  <si>
    <t>Bonney Lake</t>
  </si>
  <si>
    <t>809 W Main St</t>
  </si>
  <si>
    <t>Sumner</t>
  </si>
  <si>
    <t>5236 So Tacoma Way</t>
  </si>
  <si>
    <t>1907 Main St</t>
  </si>
  <si>
    <t>15005 Main St. E Ste 103</t>
  </si>
  <si>
    <t>12309 26Th Street Ne</t>
  </si>
  <si>
    <t>5402 S Washington St</t>
  </si>
  <si>
    <t>827 Valley Ave.</t>
  </si>
  <si>
    <t>1125 4Th St</t>
  </si>
  <si>
    <t>Marysville</t>
  </si>
  <si>
    <t>1124 4th St</t>
  </si>
  <si>
    <t>325 MARYSVILLE MALL</t>
  </si>
  <si>
    <t>MARYSVILLE</t>
  </si>
  <si>
    <t>1209 4Th St.</t>
  </si>
  <si>
    <t>1513 3rd Street</t>
  </si>
  <si>
    <t>5433 S. Orchard St</t>
  </si>
  <si>
    <t>5510 Orchard St. W</t>
  </si>
  <si>
    <t>4711 64th St. NE #G107</t>
  </si>
  <si>
    <t>115 2nd St NE</t>
  </si>
  <si>
    <t>109 S Meridian</t>
  </si>
  <si>
    <t>804 Cedar Ave</t>
  </si>
  <si>
    <t>120 S. Meridian</t>
  </si>
  <si>
    <t>414 Spring St</t>
  </si>
  <si>
    <t>108 W. Meeker</t>
  </si>
  <si>
    <t>1501 E Main Street Ste. A</t>
  </si>
  <si>
    <t>1422 E. Main</t>
  </si>
  <si>
    <t>1407 East 72Nd St # D-5</t>
  </si>
  <si>
    <t>918 72nd St E</t>
  </si>
  <si>
    <t>6601 166Th Ave E</t>
  </si>
  <si>
    <t>347 S Meridan</t>
  </si>
  <si>
    <t>705 S Meridian</t>
  </si>
  <si>
    <t>1925 S 72ND ST</t>
  </si>
  <si>
    <t>1917 S. 72nd St. B-17</t>
  </si>
  <si>
    <t>34135 B State Route 2</t>
  </si>
  <si>
    <t>7605 S Hosmer</t>
  </si>
  <si>
    <t>14420 468Th Ave. Se</t>
  </si>
  <si>
    <t>1375 State Ave</t>
  </si>
  <si>
    <t>7921 S. Hosmer</t>
  </si>
  <si>
    <t>7610 So Tacoma Way</t>
  </si>
  <si>
    <t>8247 Pacific Avenue</t>
  </si>
  <si>
    <t>1502 S Meridian</t>
  </si>
  <si>
    <t>8442 Pacific Avenue</t>
  </si>
  <si>
    <t>8638 Pacific Ave #2</t>
  </si>
  <si>
    <t>8405 S Hosmer</t>
  </si>
  <si>
    <t>7801 Bridgeport Way West</t>
  </si>
  <si>
    <t>Lakewood</t>
  </si>
  <si>
    <t>8814 S Tacoma Way</t>
  </si>
  <si>
    <t>9214 State Avenue</t>
  </si>
  <si>
    <t>18116 Hwy 410</t>
  </si>
  <si>
    <t>18204 STATE ROUTE 410 E</t>
  </si>
  <si>
    <t>BONNEY LAKE</t>
  </si>
  <si>
    <t>9414 State Avenue #B</t>
  </si>
  <si>
    <t>9603 State Ave</t>
  </si>
  <si>
    <t>9815 State Ave</t>
  </si>
  <si>
    <t>801 So Hill Park Drive</t>
  </si>
  <si>
    <t>7701 Steilacoom Blvd SW</t>
  </si>
  <si>
    <t>8404 83rd Ave SW Ste C</t>
  </si>
  <si>
    <t>8504 Hipkins Rd Sw</t>
  </si>
  <si>
    <t>10427 Pacific Ave S</t>
  </si>
  <si>
    <t>109 35th Ave SE Suite B</t>
  </si>
  <si>
    <t>3500 S Meridian</t>
  </si>
  <si>
    <t>3500 S Meridian Spc 425</t>
  </si>
  <si>
    <t>10909 Portland Ave East</t>
  </si>
  <si>
    <t>Tulalip</t>
  </si>
  <si>
    <t>10656 Pacific Ave S</t>
  </si>
  <si>
    <t>10006 S Tacoma Way</t>
  </si>
  <si>
    <t>19510 State Route 410 E</t>
  </si>
  <si>
    <t>11012 Canyon Road</t>
  </si>
  <si>
    <t>11012 Canyon Rd E</t>
  </si>
  <si>
    <t>11024 Canyon Rd E</t>
  </si>
  <si>
    <t>10104 S TACOMA WAY</t>
  </si>
  <si>
    <t>19680 State Route 410 E</t>
  </si>
  <si>
    <t>3750 S Meridian</t>
  </si>
  <si>
    <t>20075 SR 410 E Ste A-108</t>
  </si>
  <si>
    <t>BonneyLake</t>
  </si>
  <si>
    <t>19940 S Prairie Rd</t>
  </si>
  <si>
    <t>9815 Gravelly Lake Dr</t>
  </si>
  <si>
    <t>11416 Canyon Road East</t>
  </si>
  <si>
    <t>9824 Gravelly Lake Dr.</t>
  </si>
  <si>
    <t>10518 South Tacoma Way</t>
  </si>
  <si>
    <t>20601 Highway 410</t>
  </si>
  <si>
    <t>10112 Bridgeport Way Sw</t>
  </si>
  <si>
    <t>4621 S Meridian Ste. A 823</t>
  </si>
  <si>
    <t>13414 Meridian B#102</t>
  </si>
  <si>
    <t>6111 Lakewood Towne Center Sw</t>
  </si>
  <si>
    <t>11109 S Steele St</t>
  </si>
  <si>
    <t>11457 Pacific Avenue</t>
  </si>
  <si>
    <t>11515 State Ave Suite C</t>
  </si>
  <si>
    <t>Bldg 11574 A Street</t>
  </si>
  <si>
    <t>Fort Lewis</t>
  </si>
  <si>
    <t>3943 116Th Street Ne Ste. #106</t>
  </si>
  <si>
    <t>11601 State Ave NE</t>
  </si>
  <si>
    <t>11601 State Avenue</t>
  </si>
  <si>
    <t>6020 Main Street Ste K</t>
  </si>
  <si>
    <t>11908 Pacific Avenue S</t>
  </si>
  <si>
    <t>11014 Bridgeport Way SW</t>
  </si>
  <si>
    <t>12314 Meridian E</t>
  </si>
  <si>
    <t>212 Garfield Street Suite 102</t>
  </si>
  <si>
    <t>12319 Smokey Point Blvd.</t>
  </si>
  <si>
    <t>1009 Monroe Ave. Ste C</t>
  </si>
  <si>
    <t>Enumclaw</t>
  </si>
  <si>
    <t>11719 Bridgeport Way</t>
  </si>
  <si>
    <t>421 Roosevelt Ave</t>
  </si>
  <si>
    <t>1202 Rainier St</t>
  </si>
  <si>
    <t>Steilacoom</t>
  </si>
  <si>
    <t>1203 Rainier St</t>
  </si>
  <si>
    <t>311 Griffin Ave E</t>
  </si>
  <si>
    <t>312 Roosevelt Ave</t>
  </si>
  <si>
    <t>13414 Meridian Ave East</t>
  </si>
  <si>
    <t>13817 Pacific Ave S</t>
  </si>
  <si>
    <t>14207 Meridian E.</t>
  </si>
  <si>
    <t>13901 Smokey Point Blvd.</t>
  </si>
  <si>
    <t>14125 Pacific Ave</t>
  </si>
  <si>
    <t>14522 Pacific Avenue</t>
  </si>
  <si>
    <t>28719 State R 410 E Ste100</t>
  </si>
  <si>
    <t>Buckley</t>
  </si>
  <si>
    <t>14923 Pacific Ave S</t>
  </si>
  <si>
    <t>691 Main St.</t>
  </si>
  <si>
    <t>135 Jefferson Suite J</t>
  </si>
  <si>
    <t>15114 Pacific Ave S</t>
  </si>
  <si>
    <t>15414 MERIDIAN ST E</t>
  </si>
  <si>
    <t>PUYALLUP</t>
  </si>
  <si>
    <t>18903 Sr 92</t>
  </si>
  <si>
    <t>Granite Falls</t>
  </si>
  <si>
    <t>10417 156th st e ste 106</t>
  </si>
  <si>
    <t>15941 Meridian E.</t>
  </si>
  <si>
    <t>16016 Meridian E.</t>
  </si>
  <si>
    <t>16022 Meridian E</t>
  </si>
  <si>
    <t>16116 Meridian E Ste. I</t>
  </si>
  <si>
    <t>17415 Pacific Ave</t>
  </si>
  <si>
    <t>16402 Meridian St. E.</t>
  </si>
  <si>
    <t>16502 Meridian Ave E</t>
  </si>
  <si>
    <t>16410 Twin Lakes Ave. Ste. J111</t>
  </si>
  <si>
    <t>15110-A Union Avenue</t>
  </si>
  <si>
    <t>Tillicum</t>
  </si>
  <si>
    <t>15109 Union Ave Sw</t>
  </si>
  <si>
    <t>16820 Smokey Point Blvd. #101</t>
  </si>
  <si>
    <t>Arlington</t>
  </si>
  <si>
    <t>17101 27 Ave #B105</t>
  </si>
  <si>
    <t>17404 Meridian Ave. E.</t>
  </si>
  <si>
    <t>3521 172nd Street NE</t>
  </si>
  <si>
    <t>3818 172Nd St Ne</t>
  </si>
  <si>
    <t>17601 Canyon Road</t>
  </si>
  <si>
    <t>17323 Smokey Point Blvd.</t>
  </si>
  <si>
    <t>3131 Smokey Point Dr</t>
  </si>
  <si>
    <t>215 Whitesell #B105</t>
  </si>
  <si>
    <t>Orting</t>
  </si>
  <si>
    <t>215 Whitesell St. NW Ste B-108</t>
  </si>
  <si>
    <t>17909 PACIFIC AVE S</t>
  </si>
  <si>
    <t>SPANAWAY</t>
  </si>
  <si>
    <t>18810 Meridian Avenue E</t>
  </si>
  <si>
    <t>18824 59th Dr NE</t>
  </si>
  <si>
    <t>19614 Mtn Hwy E</t>
  </si>
  <si>
    <t>Spanaway</t>
  </si>
  <si>
    <t>20122 Mountain Hwy</t>
  </si>
  <si>
    <t>1300 Water Street #101</t>
  </si>
  <si>
    <t>Port Townsend</t>
  </si>
  <si>
    <t>20505 Mountain Hwy E</t>
  </si>
  <si>
    <t>3168 2nd Division Dr</t>
  </si>
  <si>
    <t>2140 Waller Hall</t>
  </si>
  <si>
    <t>Aafes Subway Madigan Army Medical Center</t>
  </si>
  <si>
    <t>Ft.Lewis</t>
  </si>
  <si>
    <t>1000 Station Dr</t>
  </si>
  <si>
    <t>Dupont</t>
  </si>
  <si>
    <t>1275 Center Dr</t>
  </si>
  <si>
    <t>1225 Center Dr</t>
  </si>
  <si>
    <t>1225 Center Dr #130</t>
  </si>
  <si>
    <t>22219 Mountain Hwy E Ste. H</t>
  </si>
  <si>
    <t>10137b 224th St E</t>
  </si>
  <si>
    <t>Graham</t>
  </si>
  <si>
    <t>10216 224th E/Pob 594</t>
  </si>
  <si>
    <t>7009 265Th St. Nw</t>
  </si>
  <si>
    <t>Stanwood</t>
  </si>
  <si>
    <t>9001 STATE HWY 532</t>
  </si>
  <si>
    <t>STANWOOD</t>
  </si>
  <si>
    <t>8801 SR 532</t>
  </si>
  <si>
    <t>9808 Hwy. 532</t>
  </si>
  <si>
    <t>26906 92Nd Ave Nw</t>
  </si>
  <si>
    <t>26930 104th Drive NW</t>
  </si>
  <si>
    <t>9902 270th Street</t>
  </si>
  <si>
    <t>27018 102nd NW</t>
  </si>
  <si>
    <t>19392 North Highway 101</t>
  </si>
  <si>
    <t>Shelton</t>
  </si>
  <si>
    <t>1401 Marvin Road</t>
  </si>
  <si>
    <t>Lacey</t>
  </si>
  <si>
    <t>1401 Galaxy Drive Ne</t>
  </si>
  <si>
    <t>Lacy</t>
  </si>
  <si>
    <t>8205 Martin Way E</t>
  </si>
  <si>
    <t>Hawks Prairie</t>
  </si>
  <si>
    <t>8215 Martin Way E</t>
  </si>
  <si>
    <t>7209 Martin Way E.</t>
  </si>
  <si>
    <t>Olympia</t>
  </si>
  <si>
    <t>223 N 1ST ST</t>
  </si>
  <si>
    <t>SHELTON</t>
  </si>
  <si>
    <t>134 N 1st St</t>
  </si>
  <si>
    <t>106 E Wallace Kneeland S</t>
  </si>
  <si>
    <t>2947 Olympic Hwy N</t>
  </si>
  <si>
    <t>805 S 1st St</t>
  </si>
  <si>
    <t>12807 Yelm Hwy</t>
  </si>
  <si>
    <t>2121 Olympic Hwy N #118</t>
  </si>
  <si>
    <t>1729 N Olympic Highway</t>
  </si>
  <si>
    <t>6020 Pacific Avenue SE Ste P</t>
  </si>
  <si>
    <t>402 Sleater Kinney Rd SE</t>
  </si>
  <si>
    <t>4040 Martin Way</t>
  </si>
  <si>
    <t>5718 Pacific Ave Se</t>
  </si>
  <si>
    <t>3959 Martin Way East</t>
  </si>
  <si>
    <t>611 LILLY RD SE</t>
  </si>
  <si>
    <t>OLYMPIA</t>
  </si>
  <si>
    <t>3430 Pacific Avenue Ste. A</t>
  </si>
  <si>
    <t>128 N. Sequim Ave.</t>
  </si>
  <si>
    <t>Sequim</t>
  </si>
  <si>
    <t>1908 E 4Th Ave</t>
  </si>
  <si>
    <t>680 West Washington Ste. A</t>
  </si>
  <si>
    <t>720 W WASHINGTON ST</t>
  </si>
  <si>
    <t>SEQUIM</t>
  </si>
  <si>
    <t>755 W Washington St</t>
  </si>
  <si>
    <t>1191 SE Dock Street #2</t>
  </si>
  <si>
    <t>Oak Harbor</t>
  </si>
  <si>
    <t>710 SE Fidalgo Ave. #102</t>
  </si>
  <si>
    <t>791 SE Fidalgo Ave</t>
  </si>
  <si>
    <t>1248 SW BARLOW ST</t>
  </si>
  <si>
    <t>OAK HARBOR</t>
  </si>
  <si>
    <t>1250 Sw Erie St</t>
  </si>
  <si>
    <t>926 East 4Th St</t>
  </si>
  <si>
    <t>520 Plum</t>
  </si>
  <si>
    <t>1250 W. Washington St.</t>
  </si>
  <si>
    <t>1280 W Washington St</t>
  </si>
  <si>
    <t>325 Capital Mall</t>
  </si>
  <si>
    <t>203 4th Avenue E</t>
  </si>
  <si>
    <t>270 Se Cabot Dr</t>
  </si>
  <si>
    <t>1050 Plum St Se</t>
  </si>
  <si>
    <t>31990 State Rte 20</t>
  </si>
  <si>
    <t>32185 State Route 20 Ste 3</t>
  </si>
  <si>
    <t>32205 State Route 20</t>
  </si>
  <si>
    <t>9111 346Th St</t>
  </si>
  <si>
    <t>Roy</t>
  </si>
  <si>
    <t>1023 Capital Way South</t>
  </si>
  <si>
    <t>1412 Yelm Ave Bldg C</t>
  </si>
  <si>
    <t>Yelm</t>
  </si>
  <si>
    <t>Se 70 Lynch Rd</t>
  </si>
  <si>
    <t>2405 Harrison Ste. 102</t>
  </si>
  <si>
    <t>5750 Ruddell Rd Se Suite A</t>
  </si>
  <si>
    <t>205 Kenyon St NW</t>
  </si>
  <si>
    <t>3010 Harrison Ave. NW</t>
  </si>
  <si>
    <t>625 Black Lake Blvd. FC09</t>
  </si>
  <si>
    <t>4820 Yelm Hwy E</t>
  </si>
  <si>
    <t>1110 Algiers #A</t>
  </si>
  <si>
    <t>1001 E Yelm Ave</t>
  </si>
  <si>
    <t>10501 Creek St Se</t>
  </si>
  <si>
    <t>1202 E YELM AVE</t>
  </si>
  <si>
    <t>YELM</t>
  </si>
  <si>
    <t>16507 State Rte 507 SE</t>
  </si>
  <si>
    <t>1001 Cooper Point Rd</t>
  </si>
  <si>
    <t>W Olympia</t>
  </si>
  <si>
    <t>6541 Sexton Drive</t>
  </si>
  <si>
    <t>2125 Caton Way</t>
  </si>
  <si>
    <t>408 Cleveland Ave Se</t>
  </si>
  <si>
    <t>Tumwater</t>
  </si>
  <si>
    <t>2040 Westlake Ave. N.</t>
  </si>
  <si>
    <t>366 Roy Street</t>
  </si>
  <si>
    <t>519 1st Ave. N.</t>
  </si>
  <si>
    <t>21 Mercer St.</t>
  </si>
  <si>
    <t>611 Broadway E.</t>
  </si>
  <si>
    <t>2128 Queen Anne Avenue North</t>
  </si>
  <si>
    <t>2301 5th Ave.</t>
  </si>
  <si>
    <t>2125 Queen Anne Ave. N.</t>
  </si>
  <si>
    <t>2234 2nd Ave.</t>
  </si>
  <si>
    <t>1900 5th Ave.</t>
  </si>
  <si>
    <t>1467 E. Republican</t>
  </si>
  <si>
    <t>1415 5th Ave.</t>
  </si>
  <si>
    <t>411 University St.</t>
  </si>
  <si>
    <t>1301 Alaskan Way Pier 57</t>
  </si>
  <si>
    <t>401 NE Northlake Way</t>
  </si>
  <si>
    <t>700 1st Ave.</t>
  </si>
  <si>
    <t>102 Cherry St.</t>
  </si>
  <si>
    <t>#1 Yesler Way</t>
  </si>
  <si>
    <t>4214 University Way N.E.</t>
  </si>
  <si>
    <t>1306 S. King St.</t>
  </si>
  <si>
    <t>4737 Roosevelt Way</t>
  </si>
  <si>
    <t>4759 Brooklyn Ave. NE</t>
  </si>
  <si>
    <t>5024 University Way NE</t>
  </si>
  <si>
    <t>2425 33rd Ave W # C</t>
  </si>
  <si>
    <t>5517 Roosevelt Way N.E.</t>
  </si>
  <si>
    <t>2305 NW Market St</t>
  </si>
  <si>
    <t>2118 N.E. 65th St.</t>
  </si>
  <si>
    <t>7210 Woodlawn Ave NE</t>
  </si>
  <si>
    <t>8518 Greenwood Ave. N.</t>
  </si>
  <si>
    <t>10000 Aurora Ave. N. #14</t>
  </si>
  <si>
    <t>10406 Holman Road North</t>
  </si>
  <si>
    <t>2132 N. Northgate Way</t>
  </si>
  <si>
    <t>5903 Rainier Ave. S.</t>
  </si>
  <si>
    <t>938 110th Ave. N.E.</t>
  </si>
  <si>
    <t>31 Bellevue Way NE</t>
  </si>
  <si>
    <t>11211 Main St.</t>
  </si>
  <si>
    <t>677 - 120th Avenue NE</t>
  </si>
  <si>
    <t>1830 - 130th Avenue N.E.</t>
  </si>
  <si>
    <t>321 High School Rd. NE D1</t>
  </si>
  <si>
    <t>14125 NE 20th Street</t>
  </si>
  <si>
    <t>1520 NE 177th St.</t>
  </si>
  <si>
    <t>18336 Aurora Ave. N.</t>
  </si>
  <si>
    <t>12413 N.E. 124th St.</t>
  </si>
  <si>
    <t>7620 N.E. Bothell Way</t>
  </si>
  <si>
    <t>16474 NE 74th St.</t>
  </si>
  <si>
    <t>16421 Cleveland St. #E</t>
  </si>
  <si>
    <t>643 SW 152nd</t>
  </si>
  <si>
    <t>601 S.W. 153rd</t>
  </si>
  <si>
    <t>2828 Sunset Ln NE</t>
  </si>
  <si>
    <t>1150 Southcenter Mall</t>
  </si>
  <si>
    <t>16500 Southcenter Pkwy.</t>
  </si>
  <si>
    <t>17338 International Blvd.</t>
  </si>
  <si>
    <t>109 Main St.</t>
  </si>
  <si>
    <t>16860 Southcenter Pkwy.</t>
  </si>
  <si>
    <t>20610 44th Ave. W.</t>
  </si>
  <si>
    <t>4520 200th St. S.W. # 202</t>
  </si>
  <si>
    <t>4520 200th St SW #202</t>
  </si>
  <si>
    <t>19409 Bothell-Everett Highway</t>
  </si>
  <si>
    <t>317 N.W. Gilman Blvd.</t>
  </si>
  <si>
    <t>317 Gilman Blvd.</t>
  </si>
  <si>
    <t>21630 7th Place South</t>
  </si>
  <si>
    <t>3329 Kitsap Way</t>
  </si>
  <si>
    <t>1018 - 164th St. S.E.</t>
  </si>
  <si>
    <t>16300 Mill Creek Blvd</t>
  </si>
  <si>
    <t>1048 NE Park Dr.</t>
  </si>
  <si>
    <t>15121 Main St.</t>
  </si>
  <si>
    <t>3226 - 132nd St. S.E.</t>
  </si>
  <si>
    <t>1615 SE Everett Mall Way</t>
  </si>
  <si>
    <t>27116 167th Pl Se. #108</t>
  </si>
  <si>
    <t>710 Front Street</t>
  </si>
  <si>
    <t>14090 Fryelands Blvd. SE</t>
  </si>
  <si>
    <t>7819 Center Blvd</t>
  </si>
  <si>
    <t>34817 Enchanted Pkwy. S.</t>
  </si>
  <si>
    <t>2620 N. Proctor</t>
  </si>
  <si>
    <t>2708 6th Ave</t>
  </si>
  <si>
    <t>1900 E. "D" St.</t>
  </si>
  <si>
    <t>1425 E. 27th St.</t>
  </si>
  <si>
    <t>3228 Marine Drive NE</t>
  </si>
  <si>
    <t>8822 Quil Ceda Parkway</t>
  </si>
  <si>
    <t>16710 Smokey Point Blvd.</t>
  </si>
  <si>
    <t>10224 - 196th St. Ct. E.</t>
  </si>
  <si>
    <t>1263 Thomas St.</t>
  </si>
  <si>
    <t>521 1st Ave. N.</t>
  </si>
  <si>
    <t>209 Broadway E.</t>
  </si>
  <si>
    <t>213 Broadway Avenue E.</t>
  </si>
  <si>
    <t>1833 Broadway</t>
  </si>
  <si>
    <t>720 E. Pike St.</t>
  </si>
  <si>
    <t>1417 Broadway</t>
  </si>
  <si>
    <t>2947 Eastlake Ave. E.</t>
  </si>
  <si>
    <t>3620 Stone Way Ave. N.</t>
  </si>
  <si>
    <t>1300 5th Ave.</t>
  </si>
  <si>
    <t>1314 Madison St.</t>
  </si>
  <si>
    <t>515 Madison</t>
  </si>
  <si>
    <t>3242 Eastlake Ave. E.</t>
  </si>
  <si>
    <t>3624 Leary Way NW</t>
  </si>
  <si>
    <t>105 1st Ave. S.</t>
  </si>
  <si>
    <t>Pier 54</t>
  </si>
  <si>
    <t>1719 N. 45th St.</t>
  </si>
  <si>
    <t>4501 Interlake Ave N</t>
  </si>
  <si>
    <t>2109 N. 45th St.</t>
  </si>
  <si>
    <t>1924 N 45th St</t>
  </si>
  <si>
    <t>3456 15th Ave. W.</t>
  </si>
  <si>
    <t>4237 University Way NE</t>
  </si>
  <si>
    <t>4332 Leary Way NW</t>
  </si>
  <si>
    <t>4350 Leary Way NW</t>
  </si>
  <si>
    <t>1700 S. Jackson St.</t>
  </si>
  <si>
    <t>4523 University Way NE</t>
  </si>
  <si>
    <t>4735 University Way N.E.</t>
  </si>
  <si>
    <t>4021 E. Madison</t>
  </si>
  <si>
    <t>5300 Roosevelt Way N.E.</t>
  </si>
  <si>
    <t>2685 Northeast University Street #D3</t>
  </si>
  <si>
    <t>6411 Latona Ave. NE</t>
  </si>
  <si>
    <t>5405 Leary Avenue NW</t>
  </si>
  <si>
    <t>814 NE 65th</t>
  </si>
  <si>
    <t>1026 NE 65th St.</t>
  </si>
  <si>
    <t>6510 Roosevelt Way NE</t>
  </si>
  <si>
    <t>5905 15th Ave NW</t>
  </si>
  <si>
    <t>6000 15th Ave N W (Ballard)</t>
  </si>
  <si>
    <t>2319 NW Market St</t>
  </si>
  <si>
    <t>7200 E. Greenlake Dr. N.</t>
  </si>
  <si>
    <t>2255 65th St NE</t>
  </si>
  <si>
    <t>7311 Aurora Ave. N.</t>
  </si>
  <si>
    <t>7617 Aurora Avenue North</t>
  </si>
  <si>
    <t>7818 Greenwood Ave. N.</t>
  </si>
  <si>
    <t>8202 Greenwood Ave N</t>
  </si>
  <si>
    <t>8007 Lake City Way N.E.</t>
  </si>
  <si>
    <t>8317 Greenwood Ave. N.</t>
  </si>
  <si>
    <t>8552 1/2 Greenwood Ave. N.</t>
  </si>
  <si>
    <t>8305 - 15th Ave. N.W.</t>
  </si>
  <si>
    <t>3427 Rainier Ave. S.</t>
  </si>
  <si>
    <t>8914 Lake City Way N.E.</t>
  </si>
  <si>
    <t>2806 Alki Ave. S.W.</t>
  </si>
  <si>
    <t>4542 California Ave. S.W.</t>
  </si>
  <si>
    <t>4209 SW Alaska St.</t>
  </si>
  <si>
    <t>322 N. 105th</t>
  </si>
  <si>
    <t>10515 Greenwood Ave N</t>
  </si>
  <si>
    <t>2100 N Northgate Way Suite E</t>
  </si>
  <si>
    <t>5605 Delridge Way SW</t>
  </si>
  <si>
    <t>416 NE Northgate Way</t>
  </si>
  <si>
    <t>539 NE Northgate Way</t>
  </si>
  <si>
    <t>4869 Rainier Ave S</t>
  </si>
  <si>
    <t>3810 S Ferdinand St.</t>
  </si>
  <si>
    <t>3820 S. Ferdinand St.</t>
  </si>
  <si>
    <t>5963 Corson Ave S. Suite #194</t>
  </si>
  <si>
    <t>5401 Rainier Ave. S.</t>
  </si>
  <si>
    <t>11740 15th Ave NE</t>
  </si>
  <si>
    <t>12319 Roosevelt Way NE</t>
  </si>
  <si>
    <t>12327 Roosevelt Way NE</t>
  </si>
  <si>
    <t>2632 Bellevue Way NE</t>
  </si>
  <si>
    <t>12506 Lake City Way</t>
  </si>
  <si>
    <t>102 Bellevue Way NE</t>
  </si>
  <si>
    <t>Belllevue</t>
  </si>
  <si>
    <t>6715 Martin Luther King Jr. Way S.</t>
  </si>
  <si>
    <t>13448 Aurora Ave. N.</t>
  </si>
  <si>
    <t>115 Central Way</t>
  </si>
  <si>
    <t>150 112th Ave.</t>
  </si>
  <si>
    <t>232 Central Way</t>
  </si>
  <si>
    <t>218 Park Place</t>
  </si>
  <si>
    <t>7300 Rainier Ave S</t>
  </si>
  <si>
    <t>7300 Rainier Ave. S.</t>
  </si>
  <si>
    <t>14725 Aurora Ave N</t>
  </si>
  <si>
    <t>12001 N.E. 12th</t>
  </si>
  <si>
    <t>15226 Aurora Ave. N.</t>
  </si>
  <si>
    <t>14561 Bothell Way N.E.</t>
  </si>
  <si>
    <t>15252 Aurora Ave. N</t>
  </si>
  <si>
    <t>8824 Renton Ave. S.</t>
  </si>
  <si>
    <t>9714 N.E. Juanita Dr.</t>
  </si>
  <si>
    <t>9811 15th Ave.</t>
  </si>
  <si>
    <t>White Center</t>
  </si>
  <si>
    <t>9739 NE 119th Way</t>
  </si>
  <si>
    <t>316 Winslow Way</t>
  </si>
  <si>
    <t>278 Winslow Way E # 204</t>
  </si>
  <si>
    <t>Bainbridge Isle</t>
  </si>
  <si>
    <t>9447 Rainier Ave. S.</t>
  </si>
  <si>
    <t>1033 NE 70th Pl.</t>
  </si>
  <si>
    <t>12669 N.E. 85th St.</t>
  </si>
  <si>
    <t>12859 NE 85th St.</t>
  </si>
  <si>
    <t>3615 Factoria Blvd SE</t>
  </si>
  <si>
    <t>1306 N 175th St Suite 101</t>
  </si>
  <si>
    <t>3924 Factoria Blvd SE</t>
  </si>
  <si>
    <t>13501-100th Ave. N.E.</t>
  </si>
  <si>
    <t>11422 N.E. 124th St.</t>
  </si>
  <si>
    <t>12207 NE 116th</t>
  </si>
  <si>
    <t>17535 Ballinger Way NE</t>
  </si>
  <si>
    <t>11516 - 124th Avenue NE</t>
  </si>
  <si>
    <t>1505-156th Ave. N.E.</t>
  </si>
  <si>
    <t>6825 N.E. 170th</t>
  </si>
  <si>
    <t>15230 N.E. 24th St.</t>
  </si>
  <si>
    <t>15600 NE 8th St.</t>
  </si>
  <si>
    <t>3080-148th Ave. S.E.</t>
  </si>
  <si>
    <t>7281 W. Lake Sammamish Pkwy. NE</t>
  </si>
  <si>
    <t>11819 Renton Ave. S.</t>
  </si>
  <si>
    <t>8431 - 244th St. SW</t>
  </si>
  <si>
    <t>24001 Hwy. 99</t>
  </si>
  <si>
    <t>7979 Leary Way NE</t>
  </si>
  <si>
    <t>7211 - 166th Avenue NE</t>
  </si>
  <si>
    <t>16727 Redmond Way</t>
  </si>
  <si>
    <t>14445 Ambaum Blvd SW</t>
  </si>
  <si>
    <t>10115 Main St.</t>
  </si>
  <si>
    <t>17181 Redmond Way</t>
  </si>
  <si>
    <t>125 SW 148th Street</t>
  </si>
  <si>
    <t>901 SW 148th St.</t>
  </si>
  <si>
    <t>18817 Bothell Way N.E.</t>
  </si>
  <si>
    <t>9910 Edmonds Way</t>
  </si>
  <si>
    <t>505 Rainier Ave. N.</t>
  </si>
  <si>
    <t>206 S.W. 152nd St.</t>
  </si>
  <si>
    <t>15212 6th Ave. SW</t>
  </si>
  <si>
    <t>918 SW 152nd Street</t>
  </si>
  <si>
    <t>15223 Fourth Ave. S.W.</t>
  </si>
  <si>
    <t>14300 NE 145th Street</t>
  </si>
  <si>
    <t>3212 N.E. Sunset Blvd.</t>
  </si>
  <si>
    <t>3221 Sunset Blvd. N.E.</t>
  </si>
  <si>
    <t>3152 NE Sunset Blvd</t>
  </si>
  <si>
    <t>2815 N.W. Sunset Blvd.</t>
  </si>
  <si>
    <t>"Seattle</t>
  </si>
  <si>
    <t>15730 First Ave. South</t>
  </si>
  <si>
    <t>2600 Southcenter Mall</t>
  </si>
  <si>
    <t>15733 Ambaum Blvd. S.W.</t>
  </si>
  <si>
    <t>14455 Woodinville-Redmond Rd.</t>
  </si>
  <si>
    <t>104 Rainier Ave. S.</t>
  </si>
  <si>
    <t>351 Park Avenue N.</t>
  </si>
  <si>
    <t>17530 132nd Ave. N.E. #F</t>
  </si>
  <si>
    <t>1306 Union Ave. N.E.</t>
  </si>
  <si>
    <t>1314 Union Ave. N.E.</t>
  </si>
  <si>
    <t>201 Williams Ave. S.</t>
  </si>
  <si>
    <t>808 S. 3rd St.</t>
  </si>
  <si>
    <t>304 Wells Ave. S.</t>
  </si>
  <si>
    <t>809 S. 4th Street</t>
  </si>
  <si>
    <t>1820 SE Maple Valley Hwy</t>
  </si>
  <si>
    <t>17600 140th Ave NE</t>
  </si>
  <si>
    <t>17610 - 140th Ave. N.E.</t>
  </si>
  <si>
    <t>161 Southcenter Mall</t>
  </si>
  <si>
    <t>16720 International Blvd.</t>
  </si>
  <si>
    <t>20629 Hwy. 99</t>
  </si>
  <si>
    <t>170 Sunset Ave.</t>
  </si>
  <si>
    <t>Pacific Marketplace</t>
  </si>
  <si>
    <t>SeaTac</t>
  </si>
  <si>
    <t>17644 1st Ave. S.</t>
  </si>
  <si>
    <t>101 Main St.</t>
  </si>
  <si>
    <t>17005 Southcenter Pkwy</t>
  </si>
  <si>
    <t>4605 NE 4th St.</t>
  </si>
  <si>
    <t>6210 200 St. S.W.</t>
  </si>
  <si>
    <t>20102 44th Avenue W.</t>
  </si>
  <si>
    <t>6815 196th St. S.W.</t>
  </si>
  <si>
    <t>6815 196th St Suite G</t>
  </si>
  <si>
    <t>19800 44th Ave. W.</t>
  </si>
  <si>
    <t>4308 198th St SW</t>
  </si>
  <si>
    <t>19428 Hwy 99</t>
  </si>
  <si>
    <t>4820 196th SW.</t>
  </si>
  <si>
    <t>5066 State Hwy. 303 NE</t>
  </si>
  <si>
    <t>1240 Hollis St.</t>
  </si>
  <si>
    <t>4220 Wheaton Way</t>
  </si>
  <si>
    <t>4120 Wheaton Way</t>
  </si>
  <si>
    <t>2825 S. 188th</t>
  </si>
  <si>
    <t>1217 Sylvan Way</t>
  </si>
  <si>
    <t>18016 71st Ave Ste 102</t>
  </si>
  <si>
    <t>2825 Wheaton Way</t>
  </si>
  <si>
    <t>2805 Wheaton Way</t>
  </si>
  <si>
    <t>20615 Bothell-Everett Hwy.</t>
  </si>
  <si>
    <t>Lynwood</t>
  </si>
  <si>
    <t>302 SW 43rd St.</t>
  </si>
  <si>
    <t>480 - 228th Avenue NE</t>
  </si>
  <si>
    <t>10619 SE Carr Rd.</t>
  </si>
  <si>
    <t>1315 NW Mall St</t>
  </si>
  <si>
    <t>10727 SE Carr Rd.</t>
  </si>
  <si>
    <t>1510 - 11th Ave. NW</t>
  </si>
  <si>
    <t>17808 108th Ave. SE</t>
  </si>
  <si>
    <t>17630 Hwy. 99</t>
  </si>
  <si>
    <t>3076 Issaquah-Pine Lake Road S.E.</t>
  </si>
  <si>
    <t>730 NW Gilman Blvd</t>
  </si>
  <si>
    <t>16716 Highway 99</t>
  </si>
  <si>
    <t>16715 52nd Ave W</t>
  </si>
  <si>
    <t>385 NW Gilman Blvd.</t>
  </si>
  <si>
    <t>337 N Callow Ave</t>
  </si>
  <si>
    <t>240 NW Gilman Blvd.</t>
  </si>
  <si>
    <t>23445 NE Novelty Hill Road</t>
  </si>
  <si>
    <t>14020 SE Petrovitsky</t>
  </si>
  <si>
    <t>21830 Marine View Dr. S.</t>
  </si>
  <si>
    <t>14400 S.E. Petrovitsky Rd.</t>
  </si>
  <si>
    <t>22239 Marine View Drive S.</t>
  </si>
  <si>
    <t>1233 164th St. S.W. #C</t>
  </si>
  <si>
    <t>22303 Marine View Drive S</t>
  </si>
  <si>
    <t>22308 7th Ave S</t>
  </si>
  <si>
    <t>1120 164th Street SW Suite F</t>
  </si>
  <si>
    <t>22340 Marine View Dr. S.</t>
  </si>
  <si>
    <t>21240 84th Ave. S.</t>
  </si>
  <si>
    <t>10710 Silverdale Way NW</t>
  </si>
  <si>
    <t>10725 Silverdale Way NW</t>
  </si>
  <si>
    <t>16330 Bothell-Everett Hwy</t>
  </si>
  <si>
    <t>16314 Bothell-Everett Hwy.</t>
  </si>
  <si>
    <t>10424 Silverdale Way NW</t>
  </si>
  <si>
    <t>14912 Hwy. 99</t>
  </si>
  <si>
    <t>21008 108th Ave. SE</t>
  </si>
  <si>
    <t>3070 Bucklin Hill Rd.</t>
  </si>
  <si>
    <t>23223 Pacific Hwy S.</t>
  </si>
  <si>
    <t>9226 Bayshore DR NW</t>
  </si>
  <si>
    <t>9468 Silverdale Way N.W.</t>
  </si>
  <si>
    <t>221 Bravo Terrace</t>
  </si>
  <si>
    <t>15418 Main St.</t>
  </si>
  <si>
    <t>6721 Kitsap Way Ste C</t>
  </si>
  <si>
    <t>24525 Russell Rd.</t>
  </si>
  <si>
    <t>1819 W Meeker Street</t>
  </si>
  <si>
    <t>418 Ramsey Way</t>
  </si>
  <si>
    <t>326 W. Meeker St.</t>
  </si>
  <si>
    <t>23803 104th Ave. SE</t>
  </si>
  <si>
    <t>114 Railroad N</t>
  </si>
  <si>
    <t>202 1st Ave. S.</t>
  </si>
  <si>
    <t>24023 - 104th Ave.</t>
  </si>
  <si>
    <t>617 128th Street Southwest</t>
  </si>
  <si>
    <t>12811 - 4th Ave. W</t>
  </si>
  <si>
    <t>122 - 128th St. S.E.</t>
  </si>
  <si>
    <t>15602 Main St. NE</t>
  </si>
  <si>
    <t>1700 132nd St. SE #J</t>
  </si>
  <si>
    <t>Mulilteo</t>
  </si>
  <si>
    <t>11601 Harbour Pointe Blvd #101</t>
  </si>
  <si>
    <t>16315 State Rte. 9</t>
  </si>
  <si>
    <t>Clearview</t>
  </si>
  <si>
    <t>25410 - 104th Ave. SE</t>
  </si>
  <si>
    <t>25405 104th S.E.</t>
  </si>
  <si>
    <t>1404 Central Ave. S. #104</t>
  </si>
  <si>
    <t>1810 W. Snoqualmie River Rd. N.E.</t>
  </si>
  <si>
    <t>10822 Evergreen Way</t>
  </si>
  <si>
    <t>11223 - 19th Ave SE</t>
  </si>
  <si>
    <t>11014 - 19th Avenue SE</t>
  </si>
  <si>
    <t>305 SE Everett Mall Way #31</t>
  </si>
  <si>
    <t>9629 Evergreen Way 201</t>
  </si>
  <si>
    <t>9601 Evergreen Way</t>
  </si>
  <si>
    <t>29100 Pacific Hwy S.</t>
  </si>
  <si>
    <t>620 SE Everett Mall Way</t>
  </si>
  <si>
    <t>9620 19th Ave SE</t>
  </si>
  <si>
    <t>Silver Lake</t>
  </si>
  <si>
    <t>1402 SE Everett Mall Way #12F</t>
  </si>
  <si>
    <t>12990 SE Kent-Kangley Rd.</t>
  </si>
  <si>
    <t>13036 Kent Kangley Rd.</t>
  </si>
  <si>
    <t>507 W Casino Rd.</t>
  </si>
  <si>
    <t>15423 SE 272nd St.</t>
  </si>
  <si>
    <t>33703 Redmond-Fall City Rd.</t>
  </si>
  <si>
    <t>Fall City</t>
  </si>
  <si>
    <t>16751 SE 272nd St.</t>
  </si>
  <si>
    <t>4200 Preston-Fall City Road S.E.</t>
  </si>
  <si>
    <t>2115 Auburn Way N.</t>
  </si>
  <si>
    <t>31871 Gateway Ctr. Blvd. S.</t>
  </si>
  <si>
    <t>2004 S. 320th St.</t>
  </si>
  <si>
    <t>2012 S. 320th St. Ste. H</t>
  </si>
  <si>
    <t>2400 South 320th Street</t>
  </si>
  <si>
    <t>6932 Evergreen Way</t>
  </si>
  <si>
    <t>333 15th St. NE</t>
  </si>
  <si>
    <t>32411 Pacific Hwy. S.</t>
  </si>
  <si>
    <t>710 Front St.</t>
  </si>
  <si>
    <t>4726 Borgen Blvd NW #B</t>
  </si>
  <si>
    <t>12722 S.E. 312th St.</t>
  </si>
  <si>
    <t>8872 State Hwy 525</t>
  </si>
  <si>
    <t>112 E. Main St.</t>
  </si>
  <si>
    <t>5111 Claremont Way</t>
  </si>
  <si>
    <t>124 2nd St. S.E.</t>
  </si>
  <si>
    <t>817 Ave D</t>
  </si>
  <si>
    <t>803 Avenue D</t>
  </si>
  <si>
    <t>116 West Main Street</t>
  </si>
  <si>
    <t>1020 Ave. D</t>
  </si>
  <si>
    <t>214 N. Louis</t>
  </si>
  <si>
    <t>19121 State Rte. 2</t>
  </si>
  <si>
    <t>34410 16th Ave. South #101</t>
  </si>
  <si>
    <t>34525 16th Ave. S.</t>
  </si>
  <si>
    <t>1316 Supermall Way</t>
  </si>
  <si>
    <t>1101 SuperMall Way</t>
  </si>
  <si>
    <t>1431 Avenue D</t>
  </si>
  <si>
    <t>19837 State Rte. 2</t>
  </si>
  <si>
    <t>4410 Rucker Ave.</t>
  </si>
  <si>
    <t>34900 Enchanted Parkway S</t>
  </si>
  <si>
    <t>1520 - 41st St.</t>
  </si>
  <si>
    <t>27433 Maple Valley - Black Diamond Rd.</t>
  </si>
  <si>
    <t>9324 State Highway 525</t>
  </si>
  <si>
    <t>1405 Hewitt Avenue</t>
  </si>
  <si>
    <t>2821 Pacific Ave.</t>
  </si>
  <si>
    <t>1801 Hewitt Ave.</t>
  </si>
  <si>
    <t>1816 Hewitt Ave</t>
  </si>
  <si>
    <t>1907 Hewitt Ave. Suite A</t>
  </si>
  <si>
    <t>2801 Colby Ave.</t>
  </si>
  <si>
    <t>8102 Railroad Ave. S.E.</t>
  </si>
  <si>
    <t>8032 Falls Avenue SE</t>
  </si>
  <si>
    <t>2317 Broadway</t>
  </si>
  <si>
    <t>3814 N. 26th St.</t>
  </si>
  <si>
    <t>2303 N Pearl St.</t>
  </si>
  <si>
    <t>1100 Broadway</t>
  </si>
  <si>
    <t>32616 Third Ave.</t>
  </si>
  <si>
    <t>402 E Puyallup Ave</t>
  </si>
  <si>
    <t>137 W. North Bend Way</t>
  </si>
  <si>
    <t>430 91st Ave NE #10</t>
  </si>
  <si>
    <t>2323 S Union Ave.</t>
  </si>
  <si>
    <t>600 91st Ave. NE</t>
  </si>
  <si>
    <t>513 SR Hwy 9</t>
  </si>
  <si>
    <t>1607 S. Center St.</t>
  </si>
  <si>
    <t>1820 S. Mildred</t>
  </si>
  <si>
    <t>9302 N. Davies Rd.</t>
  </si>
  <si>
    <t>7011 27th St. West</t>
  </si>
  <si>
    <t>4502 S. Steele</t>
  </si>
  <si>
    <t>4629 South Yakima</t>
  </si>
  <si>
    <t>12401 NE 20th St.</t>
  </si>
  <si>
    <t>12405 20th St NE Ste C</t>
  </si>
  <si>
    <t>3902 Bridgeport Way W</t>
  </si>
  <si>
    <t>715 River Road</t>
  </si>
  <si>
    <t>1100 Meridian N.</t>
  </si>
  <si>
    <t>13704 Valley Ave.</t>
  </si>
  <si>
    <t>909 Alder Street</t>
  </si>
  <si>
    <t>5421 South Tacoma WA</t>
  </si>
  <si>
    <t>220 Ash Avenue</t>
  </si>
  <si>
    <t>5615 South Tacoma Way</t>
  </si>
  <si>
    <t>15717 Main St. E.</t>
  </si>
  <si>
    <t>506 N Meridian</t>
  </si>
  <si>
    <t>505 Cedar Ave # A1</t>
  </si>
  <si>
    <t>1501 E. Main</t>
  </si>
  <si>
    <t>621 5th St. SW</t>
  </si>
  <si>
    <t>1933 S 72nd</t>
  </si>
  <si>
    <t>1212 State Ave # B</t>
  </si>
  <si>
    <t>9002 Pacific Ave</t>
  </si>
  <si>
    <t>6810 84th Street Northeast</t>
  </si>
  <si>
    <t>9330 State Ave.</t>
  </si>
  <si>
    <t>3852 Stellacoom Blvd. S.W.</t>
  </si>
  <si>
    <t>9501 State Ave.</t>
  </si>
  <si>
    <t>9726 Hwy. 99</t>
  </si>
  <si>
    <t>9922 State Ave.</t>
  </si>
  <si>
    <t>8315 83rd Ave SW</t>
  </si>
  <si>
    <t>203 35th Ave. S.E.</t>
  </si>
  <si>
    <t>10904 Canyon Rd. E</t>
  </si>
  <si>
    <t>107 37th Ave. SE</t>
  </si>
  <si>
    <t>10114 S. Tacoma Way</t>
  </si>
  <si>
    <t>3932 S. Meridian</t>
  </si>
  <si>
    <t>9905 Bridgeport Way S.W.</t>
  </si>
  <si>
    <t>4227 S. Meridian Ave. Ste A</t>
  </si>
  <si>
    <t>20805 Hwy 410</t>
  </si>
  <si>
    <t>5701 Lakewood Town Ctr. Blvd. S.W.</t>
  </si>
  <si>
    <t>21290 SR 410 E.</t>
  </si>
  <si>
    <t>9902 219th Ave. Ct. E.</t>
  </si>
  <si>
    <t>10312 - 120th St. E</t>
  </si>
  <si>
    <t>429 Croft Ave.</t>
  </si>
  <si>
    <t>Gold Bar</t>
  </si>
  <si>
    <t>411 Garfield St. S.</t>
  </si>
  <si>
    <t>13721 Pacific Ave.</t>
  </si>
  <si>
    <t>14125 Pacific Ave So Ste C</t>
  </si>
  <si>
    <t>818 Main St.</t>
  </si>
  <si>
    <t>401 N. Granite Ave.</t>
  </si>
  <si>
    <t>16016 Meridian East</t>
  </si>
  <si>
    <t>3528 168th St. N.E.</t>
  </si>
  <si>
    <t>Smokey Point</t>
  </si>
  <si>
    <t>3611 168th St Ne</t>
  </si>
  <si>
    <t>17020 Twin Lakes Ave C106</t>
  </si>
  <si>
    <t>3704 172nd Street NE #R</t>
  </si>
  <si>
    <t>17324 Smokey Point Dr</t>
  </si>
  <si>
    <t>3131 Smokey Point Dr.</t>
  </si>
  <si>
    <t>3131 Smokey Point Drive</t>
  </si>
  <si>
    <t>20420 Mountain Hwy E.</t>
  </si>
  <si>
    <t>9807 224th St. E.</t>
  </si>
  <si>
    <t>434 North Olympic Ave</t>
  </si>
  <si>
    <t>509 NW Ave.</t>
  </si>
  <si>
    <t>210 W. Division</t>
  </si>
  <si>
    <t>117 E. Division St.</t>
  </si>
  <si>
    <t>9902 Hwy 532</t>
  </si>
  <si>
    <t>27021 102nd Ave NW</t>
  </si>
  <si>
    <t>8630 271st Street NW</t>
  </si>
  <si>
    <t>Coupeville</t>
  </si>
  <si>
    <t>19330 N US Hwy 101</t>
  </si>
  <si>
    <t>Skokomish Nation</t>
  </si>
  <si>
    <t>2120 Marvin Rd. N.E.</t>
  </si>
  <si>
    <t>2120 Marvin RD NE</t>
  </si>
  <si>
    <t>8765 Tallon Lane E.</t>
  </si>
  <si>
    <t>4525 Martin Way E</t>
  </si>
  <si>
    <t>4043 Martin Way East</t>
  </si>
  <si>
    <t>4804 Pacific Ave. SE</t>
  </si>
  <si>
    <t>4520 Pacific Ave.</t>
  </si>
  <si>
    <t>4520 Pacific Ave SE</t>
  </si>
  <si>
    <t>3812 Pacific Ave. SE</t>
  </si>
  <si>
    <t>3425 SE Pacific Ave.</t>
  </si>
  <si>
    <t>916 S.E. Bayshore</t>
  </si>
  <si>
    <t>705 SE Pioneer Way</t>
  </si>
  <si>
    <t>930 SE Pioneer Way</t>
  </si>
  <si>
    <t>430 SE Pioneer Way</t>
  </si>
  <si>
    <t>112 NE Jefferson St</t>
  </si>
  <si>
    <t>318 4th Ave. E.</t>
  </si>
  <si>
    <t>704 Yelm Ave. W.</t>
  </si>
  <si>
    <t>625 Black Lake Blvd.</t>
  </si>
  <si>
    <t>4739 Avery Lane SE</t>
  </si>
  <si>
    <t>307 E. Yelm Avenue</t>
  </si>
  <si>
    <t>4820 Yelm Hwy. S.E.</t>
  </si>
  <si>
    <t>4820 Yelm Hwy SE</t>
  </si>
  <si>
    <t>4660 Whitman Lane S.E. #F</t>
  </si>
  <si>
    <t>Precision</t>
  </si>
  <si>
    <t>address</t>
  </si>
  <si>
    <t>city</t>
  </si>
  <si>
    <t>zip</t>
  </si>
  <si>
    <t>Worksheet Name:</t>
  </si>
  <si>
    <t>Coupons</t>
  </si>
  <si>
    <t>Geocode</t>
  </si>
  <si>
    <t>Category1</t>
  </si>
  <si>
    <t>Category2</t>
  </si>
  <si>
    <t>Category3</t>
  </si>
  <si>
    <t>Category4</t>
  </si>
  <si>
    <t>Dining</t>
  </si>
  <si>
    <t>Fine Dining</t>
  </si>
  <si>
    <t>Casual Dining</t>
  </si>
  <si>
    <t>Asian</t>
  </si>
  <si>
    <t>http://seattle.entertainment.com/discount/dining.shtml?category=Asian&amp;Nao=&lt;REPLACE_WITH_START_INDEX&gt;&amp;N=25+182</t>
  </si>
  <si>
    <t>coupons</t>
  </si>
  <si>
    <t>Pizza Hut®</t>
  </si>
  <si>
    <t>Baskin-Robbins® Ice Cream</t>
  </si>
  <si>
    <t>A&amp;W® All American Food®</t>
  </si>
  <si>
    <t>Dairy Queen®</t>
  </si>
  <si>
    <t>Chinese</t>
  </si>
  <si>
    <t>http://seattle.entertainment.com/discount/dining.shtml?category=Chinese&amp;Nao=&lt;REPLACE_WITH_START_INDEX&gt;&amp;N=25+172</t>
  </si>
  <si>
    <t>Japanese</t>
  </si>
  <si>
    <t>Pacific Rim</t>
  </si>
  <si>
    <t>Thai</t>
  </si>
  <si>
    <t>http://seattle.entertainment.com/discount/dining.shtml?category=Japanese&amp;Nao=&lt;REPLACE_WITH_START_INDEX&gt;&amp;N=25+188</t>
  </si>
  <si>
    <t>http://seattle.entertainment.com/discount/dining.shtml?category=Pacific+Rim&amp;Nao=&lt;REPLACE_WITH_START_INDEX&gt;&amp;N=25+187</t>
  </si>
  <si>
    <t>http://seattle.entertainment.com/discount/dining.shtml?category=Thai&amp;Nao=&lt;REPLACE_WITH_START_INDEX&gt;&amp;N=25+175</t>
  </si>
  <si>
    <t>http://seattle.entertainment.com/discount/China_First/coupon/00312810003RED01104871EPC00496999PRD00000001.html</t>
  </si>
  <si>
    <t>http://seattle.entertainment.com/discount/Mikado_Teppanyaki_Steak_Seafood__Sushi_Bar/coupon/00317072003RED01373864EPC00497999PRD00000001.html</t>
  </si>
  <si>
    <t>http://seattle.entertainment.com/discount/Hot_Iron_Mongolian_Grill/coupon/00317256003RED01282097EPC00497999PRD00000001.html</t>
  </si>
  <si>
    <t>http://seattle.entertainment.com/discount/Thai_Siam_Restaurant/coupon/00300096003RED00002118EPC00496999PRD00000001.html</t>
  </si>
  <si>
    <t>http://seattle.entertainment.com/discount/Seven_Seas/coupon/00300330003RED00002081EPC00496999PRD00000001.html</t>
  </si>
  <si>
    <t>http://seattle.entertainment.com/discount/Mandarin_Gate/coupon/00310520003RED00000966EPC00499999PRD00000001.html</t>
  </si>
  <si>
    <t>http://seattle.entertainment.com/discount/Erawan_Bangkok_Thai_Cuisine/coupon/00317104003RED01376291EPC00497999PRD00000001.html</t>
  </si>
  <si>
    <t>http://seattle.entertainment.com/discount/Hanuman_Thai_Cafe/coupon/00310709003RED00933426EPC00496999PRD00000001.html</t>
  </si>
  <si>
    <t>http://seattle.entertainment.com/discount/Pho_99/coupon/00305404003RED00784776EPC00497999PRD00000001.html</t>
  </si>
  <si>
    <t>http://seattle.entertainment.com/discount/Thai_Bistro/coupon/00307975003RED00995449EPC00499999PRD00000001.html</t>
  </si>
  <si>
    <t>http://seattle.entertainment.com/discount/Ken_Zaburo_Sushi_Bar__Asian_Grill/coupon/00311342003RED00861739EPC00499999PRD00000001.html</t>
  </si>
  <si>
    <t>http://seattle.entertainment.com/discount/Fortune_Inn/coupon/00300317003RED00331660EPC00496999PRD00000001.html</t>
  </si>
  <si>
    <t>http://seattle.entertainment.com/discount/Iyara_Thai_Cuisine/coupon/00313595003RED01173640EPC00499999PRD00000001.html</t>
  </si>
  <si>
    <t>http://seattle.entertainment.com/discount/Jade_Dragon_Cuisine/coupon/00310654003RED00661575EPC00496999PRD00000001.html</t>
  </si>
  <si>
    <t>http://seattle.entertainment.com/discount/Mai_Place_Asian_Fusion_Bistro/coupon/00317030003RED01346019EPC00497999PRD00000001.html</t>
  </si>
  <si>
    <t>http://seattle.entertainment.com/discount/TEA_Palace_Asian_Restaurant__Banquet/coupon/00313708003RED01178783EPC00499999PRD00000001.html</t>
  </si>
  <si>
    <t>http://seattle.entertainment.com/discount/Ginger_Palace/coupon/00308934003RED00904314EPC00496999PRD00000001.html</t>
  </si>
  <si>
    <t>http://seattle.entertainment.com/discount/Toshis_Teriyaki/coupon/00313633003RED01176541EPC00496999PRD00000001.html</t>
  </si>
  <si>
    <t>http://seattle.entertainment.com/discount/Aloha_Hawaiian_Grill/coupon/05004524050RED01169161EPC00496999PRD00000001.html</t>
  </si>
  <si>
    <t>http://seattle.entertainment.com/discount/Kelvin_Gs_Tropic_Blast__Tiki_Bar/coupon/05004844050RED01246637EPC00496999PRD00000001.html</t>
  </si>
  <si>
    <t>http://seattle.entertainment.com/discount/Saffron_Deli__Pastry/coupon/00317226003RED01378238EPC00497999PRD00000001.html</t>
  </si>
  <si>
    <t>http://seattle.entertainment.com/discount/Pho_Hai_Son_Vietnamese/coupon/00309290003RED00919204EPC00496999PRD00000001.html</t>
  </si>
  <si>
    <t>http://seattle.entertainment.com/discount/Todamgol_Korean_Restaurant/coupon/00313654003RED01177338EPC00496999PRD00000001.html</t>
  </si>
  <si>
    <t>http://seattle.entertainment.com/discount/Thai_Bistro/coupon/00307975003RED00863494EPC00499999PRD00000001.html</t>
  </si>
  <si>
    <t>http://seattle.entertainment.com/discount/Hot_Iron_Mongolian_Grill/coupon/00317256003RED01176968EPC00497999PRD00000001.html</t>
  </si>
  <si>
    <t>http://seattle.entertainment.com/discount/Lanna_Thai_Restaurant/coupon/00314398003RED01235668EPC00499999PRD00000001.html</t>
  </si>
  <si>
    <t>http://seattle.entertainment.com/discount/Pho_Hoang_Vietnamese_Restaurant/coupon/00304728003RED00791960EPC00496999PRD00000001.html</t>
  </si>
  <si>
    <t>http://seattle.entertainment.com/discount/Pac_Island_Grill/coupon/05005120050RED01281101EPC00497999PRD00000056.html</t>
  </si>
  <si>
    <t>http://seattle.entertainment.com/discount/Pho_Mimosa/coupon/00314396003RED01235641EPC00496999PRD00000001.html</t>
  </si>
  <si>
    <t>http://seattle.entertainment.com/discount/Thai_Bistro/coupon/00307975003RED00995450EPC00499999PRD00000001.html</t>
  </si>
  <si>
    <t>http://seattle.entertainment.com/discount/Hunan_Palace/coupon/00300104003RED00098957EPC00496999PRD00000001.html</t>
  </si>
  <si>
    <t>http://seattle.entertainment.com/discount/Manila_Center_Diner/coupon/05003817050RED00707302EPC00497999PRD00000056.html</t>
  </si>
  <si>
    <t>http://seattle.entertainment.com/discount/Marielles_Taste_of_Asia/coupon/97002101970RED01272354EPC00497999PRD00000056.html</t>
  </si>
  <si>
    <t>http://seattle.entertainment.com/discount/Mais_Thai_Cuisine/coupon/97000087970RED00380805EPC00496999PRD00000001.html</t>
  </si>
  <si>
    <t>http://seattle.entertainment.com/discount/Aloha_Hawaiian_Grill/coupon/05004524050RED01169160EPC00496999PRD00000001.html</t>
  </si>
  <si>
    <t>http://seattle.entertainment.com/discount/Alii__Sumos_Hawaiian_Grill/coupon/05004921050RED01261690EPC00497999PRD00000056.html</t>
  </si>
  <si>
    <t>http://seattle.entertainment.com/discount/Thai_Mekong/coupon/05005885050RED01381174EPC00497999PRD00000056.html</t>
  </si>
  <si>
    <t>http://seattle.entertainment.com/discount/Cebu_Restaurant/coupon/05005358050RED01295844EPC00497999PRD00000056.html</t>
  </si>
  <si>
    <t>http://seattle.entertainment.com/discount/Tofu_Hut_Asian_Fusion_Restaurant/coupon/05005874050RED01381060EPC00497999PRD00000056.html</t>
  </si>
  <si>
    <t>http://seattle.entertainment.com/discount/Angels_Thai_Cuisine/coupon/05003023050RED00922075EPC00497999PRD00000056.html</t>
  </si>
  <si>
    <t>http://seattle.entertainment.com/discount/Pasta_Bella/coupon/00310524003RED00599079EPC00499999PRD00000001.html</t>
  </si>
  <si>
    <t>http://seattle.entertainment.com/discount/Chutneys_Queen_Anne/coupon/00310512003RED00782420EPC00499999PRD00000001.html</t>
  </si>
  <si>
    <t>http://seattle.entertainment.com/discount/T_S_McHughs/coupon/00314493003RED00475909EPC00499999PRD00000001.html</t>
  </si>
  <si>
    <t>http://seattle.entertainment.com/discount/Galerias_Gourmet_Mexican_Restaurant/coupon/00314125003RED01128878EPC00499999PRD00000001.html</t>
  </si>
  <si>
    <t>http://seattle.entertainment.com/discount/MAMAS_MEXICAN_KITCHEN/coupon/00317333003RED01377485EPC00497999PRD00000001.html</t>
  </si>
  <si>
    <t>http://seattle.entertainment.com/discount/Coldwater_Bar__Grill/coupon/00311260003RED00948323EPC00499999PRD00000001.html</t>
  </si>
  <si>
    <t>http://seattle.entertainment.com/discount/Shuckers/coupon/00315724003RED01282837EPC00499999PRD00000001.html</t>
  </si>
  <si>
    <t>http://seattle.entertainment.com/discount/Ivars_Acres_of_Clams/coupon/00315432003RED01202062EPC00499999PRD00000001.html</t>
  </si>
  <si>
    <t>http://seattle.entertainment.com/discount/Ivars_Salmon_House/coupon/00315432003RED01202088EPC00499999PRD00000001.html</t>
  </si>
  <si>
    <t>http://seattle.entertainment.com/discount/Cafe_Bengodi/coupon/00316703003RED01007591EPC00499999PRD00000001.html</t>
  </si>
  <si>
    <t>http://seattle.entertainment.com/discount/DeNunzios_Trattoria/coupon/00316703003RED01007596EPC00499999PRD00000001.html</t>
  </si>
  <si>
    <t>http://seattle.entertainment.com/discount/Al_Boccalino/coupon/00316703003RED01007601EPC00499999PRD00000001.html</t>
  </si>
  <si>
    <t>http://seattle.entertainment.com/discount/Bombay_Grill/coupon/00312101003RED00744216EPC00499999PRD00000001.html</t>
  </si>
  <si>
    <t>http://seattle.entertainment.com/discount/Cedars_Restaurant_on_Brooklyn/coupon/00315492003RED01228737EPC00497999PRD00000056.html</t>
  </si>
  <si>
    <t>http://seattle.entertainment.com/discount/Taste_of_India/coupon/00301312003RED00637124EPC00499999PRD00000001.html</t>
  </si>
  <si>
    <t>http://seattle.entertainment.com/discount/Chutneys_of_Bellevue/coupon/00310511003RED00655372EPC00499999PRD00000001.html</t>
  </si>
  <si>
    <t>http://seattle.entertainment.com/discount/Iyara_Thai_Cuisine/coupon/00313599003RED01173640EPC00497999PRD00000056.html</t>
  </si>
  <si>
    <t>http://seattle.entertainment.com/discount/Northwest_Landing/coupon/00304321003RED00745555EPC00499999PRD00000001.html</t>
  </si>
  <si>
    <t>http://seattle.entertainment.com/discount/Cafe_de_Paris/coupon/00310505003RED00000301EPC00499999PRD00000001.html</t>
  </si>
  <si>
    <t>http://seattle.entertainment.com/discount/Pabla_India_Grill/coupon/00314620003RED01248204EPC00499999PRD00000001.html</t>
  </si>
  <si>
    <t>http://seattle.entertainment.com/discount/Kalia_Indian_Cuisine__Lynnwood/coupon/00310364003RED00840095EPC00497999PRD00000056.html</t>
  </si>
  <si>
    <t>http://seattle.entertainment.com/discount/Masala_Bar__Grill/coupon/00316834003RED01357280EPC00497999PRD00000001.html</t>
  </si>
  <si>
    <t>http://seattle.entertainment.com/discount/Ristorante_Isabella/coupon/05004517050RED01169148EPC00499999PRD00000001.html</t>
  </si>
  <si>
    <t>http://seattle.entertainment.com/discount/Ivars_Mukilteo_Landing/coupon/00315432003RED01202096EPC00499999PRD00000001.html</t>
  </si>
  <si>
    <t>http://seattle.entertainment.com/discount/Sockeyes_Restaurant__Bar/coupon/00316920003RED01370929EPC00497999PRD00000001.html</t>
  </si>
  <si>
    <t>http://seattle.entertainment.com/discount/La_Fondita_Mexican_Restaurant/coupon/05005582050RED01356747EPC00497999PRD00000056.html</t>
  </si>
  <si>
    <t>http://seattle.entertainment.com/discount/Six_Olives_Lounge/coupon/05005097050RED01198485EPC00497999PRD00000056.html</t>
  </si>
  <si>
    <t>http://seattle.entertainment.com/discount/Johnnys_Dock/coupon/05005845050RED01378126EPC00497999PRD00000056.html</t>
  </si>
  <si>
    <t>http://seattle.entertainment.com/discount/Ports_of_Call_Restaurant__Lounge/coupon/05001490050RED00103347EPC00497999PRD00000056.html</t>
  </si>
  <si>
    <t>http://seattle.entertainment.com/discount/The_Cellar/coupon/97002378970RED01370697EPC00497999PRD00000056.html</t>
  </si>
  <si>
    <t>http://seattle.entertainment.com/discount/Mad_Pizza/coupon/00314675003RED01249478EPC00496999PRD00000001.html</t>
  </si>
  <si>
    <t>http://seattle.entertainment.com/discount/Azteca_Mexican_Restaurants/coupon/87014990870RED01280286EPC00496999PRD00000001.html</t>
  </si>
  <si>
    <t>http://seattle.entertainment.com/discount/Floyds_Place/coupon/00308743003RED00841070EPC00496999PRD00000001.html</t>
  </si>
  <si>
    <t>http://seattle.entertainment.com/discount/Paragon_Restaurant__Bar/coupon/00303571003RED00569568EPC00496999PRD00000001.html</t>
  </si>
  <si>
    <t>http://seattle.entertainment.com/discount/Annapurna_Cafe/coupon/00308649003RED00892166EPC00496999PRD00000001.html</t>
  </si>
  <si>
    <t>http://seattle.entertainment.com/discount/Maharaja_Cuisine_of_India/coupon/00313357003RED01161193EPC00496999PRD00000001.html</t>
  </si>
  <si>
    <t>http://seattle.entertainment.com/discount/Eastlake_Bar__Grill/coupon/00313889003RED01105068EPC00496999PRD00000001.html</t>
  </si>
  <si>
    <t>http://seattle.entertainment.com/discount/Wild_Tiger_Pizza__Salads/coupon/00300377003RED00393976EPC00496999PRD00000001.html</t>
  </si>
  <si>
    <t>http://seattle.entertainment.com/discount/Mad_Pizza/coupon/00314675003RED01249477EPC00496999PRD00000001.html</t>
  </si>
  <si>
    <t>http://seattle.entertainment.com/discount/The_Fishermans_Restaurant__Bar/coupon/00315045003RED01273208EPC00497999PRD00000001.html</t>
  </si>
  <si>
    <t>http://seattle.entertainment.com/discount/Maharaja_Cuisine_of_India/coupon/00313357003RED00275262EPC00496999PRD00000001.html</t>
  </si>
  <si>
    <t>http://seattle.entertainment.com/discount/Hawaiian_Breeze_Restaurant/coupon/00309114003RED00914533EPC00496999PRD00000001.html</t>
  </si>
  <si>
    <t>http://seattle.entertainment.com/discount/Wallingford_Pizza_House/coupon/00305120003RED00826100EPC00496999PRD00000001.html</t>
  </si>
  <si>
    <t>http://seattle.entertainment.com/discount/Mad_Pizza/coupon/00314675003RED01249476EPC00496999PRD00000001.html</t>
  </si>
  <si>
    <t>http://seattle.entertainment.com/discount/Dantes/coupon/00300014003RED00000472EPC00496999PRD00000001.html</t>
  </si>
  <si>
    <t>http://seattle.entertainment.com/discount/Azteca_Mexican_Restaurants/coupon/87014990870RED01280294EPC00496999PRD00000001.html</t>
  </si>
  <si>
    <t>http://seattle.entertainment.com/discount/Snoose_Junction_Pizzeria/coupon/00315915003RED01299588EPC00497999PRD00000056.html</t>
  </si>
  <si>
    <t>http://seattle.entertainment.com/discount/Azteca_Mexican_Restaurants/coupon/87014990870RED01280283EPC00496999PRD00000001.html</t>
  </si>
  <si>
    <t>http://seattle.entertainment.com/discount/Greenlake_Bar__Grill/coupon/00313887003RED01105065EPC00496999PRD00000001.html</t>
  </si>
  <si>
    <t>http://seattle.entertainment.com/discount/Beths_Cafe/coupon/00305149003RED00822227EPC00496999PRD00000001.html</t>
  </si>
  <si>
    <t>http://seattle.entertainment.com/discount/DaVincis_Pizza_e_Pasta/coupon/00315335003RED01277514EPC00497999PRD00000001.html</t>
  </si>
  <si>
    <t>http://seattle.entertainment.com/discount/LCs_Kitchen/coupon/00305091003RED00825300EPC00496999PRD00000001.html</t>
  </si>
  <si>
    <t>http://seattle.entertainment.com/discount/King_Falafel_Grill/coupon/00317162003RED01375171EPC00497999PRD00000001.html</t>
  </si>
  <si>
    <t>http://seattle.entertainment.com/discount/Maharaja_Cuisine_of_India/coupon/00305080003RED00824040EPC00496999PRD00000001.html</t>
  </si>
  <si>
    <t>http://seattle.entertainment.com/discount/Snoose_Junction_Pizzeria_Part_Dieu/coupon/00315915003RED01299589EPC00497999PRD00000056.html</t>
  </si>
  <si>
    <t>http://seattle.entertainment.com/discount/Marco_Polo_Bar__Grill/coupon/00316893003RED01372611EPC00497999PRD00000056.html</t>
  </si>
  <si>
    <t>http://seattle.entertainment.com/discount/Azteca_Mexican_Restaurants/coupon/87014990870RED01280291EPC00496999PRD00000001.html</t>
  </si>
  <si>
    <t>http://seattle.entertainment.com/discount/Island_Soul_Authentic_Carribean_Cuisine/coupon/00317458003RED01379521EPC00497999PRD00000001.html</t>
  </si>
  <si>
    <t>http://seattle.entertainment.com/discount/Jones_Original_Barbeque/coupon/00317439003RED01379265EPC00497999PRD00000001.html</t>
  </si>
  <si>
    <t>http://seattle.entertainment.com/discount/Kallaloo/coupon/00314690003RED01248491EPC00496999PRD00000001.html</t>
  </si>
  <si>
    <t>http://seattle.entertainment.com/discount/Safari_Restaurant/coupon/00314612003RED01247635EPC00496999PRD00000001.html</t>
  </si>
  <si>
    <t>http://seattle.entertainment.com/discount/Garlic_Crush_Fresh_Mediterranean_Grill/coupon/00313661003RED01177619EPC00496999PRD00000001.html</t>
  </si>
  <si>
    <t>http://seattle.entertainment.com/discount/Azteca_Mexican_Restaurants/coupon/87014990870RED01280284EPC00496999PRD00000001.html</t>
  </si>
  <si>
    <t>http://seattle.entertainment.com/discount/Lucia/coupon/00300367003RED00386672EPC00496999PRD00000001.html</t>
  </si>
  <si>
    <t>http://seattle.entertainment.com/discount/Los_Tinos/coupon/00317567003RED01380834EPC00497999PRD00000056.html</t>
  </si>
  <si>
    <t>http://seattle.entertainment.com/discount/Plaza_Garcia/coupon/00314609003RED01247632EPC00496999PRD00000001.html</t>
  </si>
  <si>
    <t>http://seattle.entertainment.com/discount/Sharis_Restaurant/coupon/87006377870RED01284925EPC00496999PRD00000001.html</t>
  </si>
  <si>
    <t>http://seattle.entertainment.com/discount/Isla_Bonita/coupon/00300250003RED00146596EPC00496999PRD00000001.html</t>
  </si>
  <si>
    <t>http://seattle.entertainment.com/discount/Pegasus_Pizza__Pasta/coupon/00308042003RED00662752EPC00496999PRD00000001.html</t>
  </si>
  <si>
    <t>http://seattle.entertainment.com/discount/Romios_Pizza__Pasta/coupon/00315658003RED01346702EPC00496999PRD00000001.html</t>
  </si>
  <si>
    <t>http://seattle.entertainment.com/discount/Jerseys_Great_Food__Spirits/coupon/00316875003RED01358692EPC00497999PRD00000001.html</t>
  </si>
  <si>
    <t>http://seattle.entertainment.com/discount/Azteca_Mexican_Restaurants/coupon/87014990870RED01280293EPC00496999PRD00000001.html</t>
  </si>
  <si>
    <t>http://seattle.entertainment.com/discount/Sharis_Restaurant/coupon/87006377870RED01284921EPC00496999PRD00000001.html</t>
  </si>
  <si>
    <t>http://seattle.entertainment.com/discount/Thai_Bistro/coupon/00312062003RED00995449EPC00496999PRD00000001.html</t>
  </si>
  <si>
    <t>http://seattle.entertainment.com/discount/Lake_Forest_Bar__Grill/coupon/00313973003RED01197727EPC00496999PRD00000001.html</t>
  </si>
  <si>
    <t>http://seattle.entertainment.com/discount/Azteca_Mexican_Restaurants/coupon/87014990870RED01280292EPC00496999PRD00000001.html</t>
  </si>
  <si>
    <t>http://seattle.entertainment.com/discount/Skyway_Park_Bowl_Casino__Wok_52_Bistro/coupon/00314482003RED01200235EPC00496999PRD00000001.html</t>
  </si>
  <si>
    <t>http://seattle.entertainment.com/discount/Americas_Diner/coupon/05005861050RED01380803EPC00497999PRD00000001.html</t>
  </si>
  <si>
    <t>http://seattle.entertainment.com/discount/Venice_Pizza__Pasta/coupon/00316969003RED01371519EPC00497999PRD00000056.html</t>
  </si>
  <si>
    <t>http://seattle.entertainment.com/discount/Mehfil_Fine_Indian_Dining/coupon/00317435003RED01379040EPC00497999PRD00000001.html</t>
  </si>
  <si>
    <t>http://seattle.entertainment.com/discount/Jerzys_Wine_Bar/coupon/00313855003RED01187683EPC00496999PRD00000001.html</t>
  </si>
  <si>
    <t>http://seattle.entertainment.com/discount/El_Pique/coupon/00313542003RED01170288EPC00496999PRD00000001.html</t>
  </si>
  <si>
    <t>http://seattle.entertainment.com/discount/Ivars_Seafood_Bar/coupon/00316542003RED00933689EPC00496999PRD00000001.html</t>
  </si>
  <si>
    <t>http://seattle.entertainment.com/discount/Alexas_Cafe__Catering/coupon/00300382003RED00394668EPC00496999PRD00000001.html</t>
  </si>
  <si>
    <t>http://seattle.entertainment.com/discount/Spartas_Pizza__Spaghetti_House/coupon/00308790003RED00831073EPC00496999PRD00000001.html</t>
  </si>
  <si>
    <t>http://seattle.entertainment.com/discount/Sals_Deli/coupon/00314545003RED01245537EPC00496999PRD00000001.html</t>
  </si>
  <si>
    <t>http://seattle.entertainment.com/discount/No_Bull_Saloon/coupon/00313450003RED01167121EPC00497999PRD00000001.html</t>
  </si>
  <si>
    <t>http://seattle.entertainment.com/discount/La_Fuente/coupon/00302742003RED00657965EPC00496999PRD00000001.html</t>
  </si>
  <si>
    <t>http://seattle.entertainment.com/discount/Azteca_Mexican_Restaurants/coupon/87014990870RED01280285EPC00496999PRD00000001.html</t>
  </si>
  <si>
    <t>http://seattle.entertainment.com/discount/HiLine_Lanes/coupon/00305819003RED00000731EPC00497999PRD00000001.html</t>
  </si>
  <si>
    <t>http://seattle.entertainment.com/discount/Texas_Smokehouse_BarBQ/coupon/00308193003RED00492906EPC00496999PRD00000001.html</t>
  </si>
  <si>
    <t>http://seattle.entertainment.com/discount/Dog__Pony_Alehouse__Grill/coupon/00314692003RED01248282EPC00496999PRD00000001.html</t>
  </si>
  <si>
    <t>http://seattle.entertainment.com/discount/Azteca_Mexican_Restaurants/coupon/87014990870RED01280289EPC00496999PRD00000001.html</t>
  </si>
  <si>
    <t>http://seattle.entertainment.com/discount/Mad_Pizza/coupon/00314675003RED01249479EPC00496999PRD00000001.html</t>
  </si>
  <si>
    <t>http://seattle.entertainment.com/discount/Pickled_Onion_British_Style_Pub/coupon/00307934003RED00782461EPC00496999PRD00000001.html</t>
  </si>
  <si>
    <t>http://seattle.entertainment.com/discount/A_Terrible_Beauty_Irish_Pub__Restaurant/coupon/00314563003RED01245539EPC00496999PRD00000001.html</t>
  </si>
  <si>
    <t>http://seattle.entertainment.com/discount/Cedar_River_Smokehouse/coupon/00308195003RED00592862EPC00496999PRD00000001.html</t>
  </si>
  <si>
    <t>http://seattle.entertainment.com/discount/Whistle_Stop_Ale_House/coupon/00314681003RED01249849EPC00496999PRD00000001.html</t>
  </si>
  <si>
    <t>http://seattle.entertainment.com/discount/Sharis_Restaurant/coupon/87006377870RED01284920EPC00496999PRD00000001.html</t>
  </si>
  <si>
    <t>http://seattle.entertainment.com/discount/Channel_Marker_Pub__Grill/coupon/00313734003RED01179828EPC00496999PRD00000001.html</t>
  </si>
  <si>
    <t>http://seattle.entertainment.com/discount/Ivars_Seafood_Bar/coupon/00316543003RED00933707EPC00497999PRD00000001.html</t>
  </si>
  <si>
    <t>http://seattle.entertainment.com/discount/Lynnwood_Bowl_and_Skate_Cafe/coupon/00317558003RED01381632EPC00497999PRD00000001.html</t>
  </si>
  <si>
    <t>http://seattle.entertainment.com/discount/BlackAngus_Steakhouse/coupon/87015375870RED01284596EPC00496999PRD00000001.html</t>
  </si>
  <si>
    <t>http://seattle.entertainment.com/discount/Azteca_Mexican_Restaurants/coupon/87014990870RED01280282EPC00496999PRD00000001.html</t>
  </si>
  <si>
    <t>http://seattle.entertainment.com/discount/La_Raza_Taqueria_Mexicana/coupon/00316952003RED01371781EPC00497999PRD00000001.html</t>
  </si>
  <si>
    <t>http://seattle.entertainment.com/discount/Just_Left_Pub__Grill/coupon/00315645003RED01284456EPC00497999PRD00000001.html</t>
  </si>
  <si>
    <t>http://seattle.entertainment.com/discount/Sharis_Restaurant/coupon/87006377870RED01284923EPC00496999PRD00000001.html</t>
  </si>
  <si>
    <t>http://seattle.entertainment.com/discount/Azteca_Mexican_Restaurants/coupon/87014990870RED01280278EPC00496999PRD00000001.html</t>
  </si>
  <si>
    <t>http://seattle.entertainment.com/discount/Cloverleaf_Sports_Bar__Grill/coupon/05004331050RED01115501EPC00496999PRD00000001.html</t>
  </si>
  <si>
    <t>http://seattle.entertainment.com/discount/Sharis_Restaurant/coupon/87006377870RED01284933EPC00496999PRD00000001.html</t>
  </si>
  <si>
    <t>http://seattle.entertainment.com/discount/Real_Mexican_Flavor/coupon/05004951050RED01264001EPC00497999PRD00000056.html</t>
  </si>
  <si>
    <t>http://seattle.entertainment.com/discount/Daves_Diner__Brew/coupon/00308201003RED00788072EPC00496999PRD00000001.html</t>
  </si>
  <si>
    <t>http://seattle.entertainment.com/discount/Azteca_Mexican_Restaurants/coupon/87014990870RED01280287EPC00496999PRD00000001.html</t>
  </si>
  <si>
    <t>http://seattle.entertainment.com/discount/Sharis_Restaurant/coupon/87006377870RED01284935EPC00496999PRD00000001.html</t>
  </si>
  <si>
    <t>http://seattle.entertainment.com/discount/Gaslamp_Bar__Grill/coupon/00315400003RED01105045EPC00496999PRD00000001.html</t>
  </si>
  <si>
    <t>http://seattle.entertainment.com/discount/Spartas_Pizza__Spaghetti_House/coupon/00308790003RED00365208EPC00496999PRD00000001.html</t>
  </si>
  <si>
    <t>http://seattle.entertainment.com/discount/Marcos_Restaurant__Lounge/coupon/00309034003RED00912656EPC00496999PRD00000001.html</t>
  </si>
  <si>
    <t>http://seattle.entertainment.com/discount/Field_of_Champions_Sports_Bar__Grill/coupon/00317499003RED01381836EPC00497999PRD00000001.html</t>
  </si>
  <si>
    <t>http://seattle.entertainment.com/discount/La_Fuente/coupon/00300128003RED00000917EPC00496999PRD00000001.html</t>
  </si>
  <si>
    <t>http://seattle.entertainment.com/discount/Azteca_Mexican_Restaurants/coupon/87014990870RED01280280EPC00496999PRD00000001.html</t>
  </si>
  <si>
    <t>http://seattle.entertainment.com/discount/13th_Ave_Pub__Eatery/coupon/00310678003RED00850012EPC00496999PRD00000001.html</t>
  </si>
  <si>
    <t>http://seattle.entertainment.com/discount/La_Bamba/coupon/00300569003RED00544957EPC00499999PRD00000001.html</t>
  </si>
  <si>
    <t>http://seattle.entertainment.com/discount/Thai_Bistro/coupon/00312062003RED00863494EPC00496999PRD00000001.html</t>
  </si>
  <si>
    <t>http://seattle.entertainment.com/discount/All_Star_Lanes__Casino/coupon/05001078050RED00662257EPC00496999PRD00000001.html</t>
  </si>
  <si>
    <t>http://seattle.entertainment.com/discount/Agave_Cocina__Tequilas/coupon/00317299003RED01379154EPC00497999PRD00000001.html</t>
  </si>
  <si>
    <t>http://seattle.entertainment.com/discount/Sharis_Restaurant/coupon/87006377870RED01284919EPC00496999PRD00000001.html</t>
  </si>
  <si>
    <t>http://seattle.entertainment.com/discount/Azteca_Mexican_Restaurants/coupon/87014990870RED01280281EPC00496999PRD00000001.html</t>
  </si>
  <si>
    <t>http://seattle.entertainment.com/discount/Sharis_Restaurant/coupon/87006377870RED01284931EPC00496999PRD00000001.html</t>
  </si>
  <si>
    <t>http://seattle.entertainment.com/discount/Azteca_Mexican_Restaurants/coupon/87014990870RED01280288EPC00496999PRD00000001.html</t>
  </si>
  <si>
    <t>http://seattle.entertainment.com/discount/el_Huarache/coupon/05005124050RED01195027EPC00497999PRD00000056.html</t>
  </si>
  <si>
    <t>http://seattle.entertainment.com/discount/Sharis_Restaurant/coupon/87006377870RED01284934EPC00496999PRD00000001.html</t>
  </si>
  <si>
    <t>http://seattle.entertainment.com/discount/Sharis_Restaurant/coupon/87006377870RED01284938EPC00496999PRD00000001.html</t>
  </si>
  <si>
    <t>http://seattle.entertainment.com/discount/El_Incapaz_Burritos/coupon/00316905003RED01372804EPC00497999PRD00000001.html</t>
  </si>
  <si>
    <t>http://seattle.entertainment.com/discount/Jimmy_Ts_Sports_Bar__Grill/coupon/05005796050RED01379047EPC00497999PRD00000001.html</t>
  </si>
  <si>
    <t>http://seattle.entertainment.com/discount/Pats_Bar__Grill/coupon/00312742003RED01085565EPC00496999PRD00000001.html</t>
  </si>
  <si>
    <t>http://seattle.entertainment.com/discount/Wild_Wheat_Bakery_Cafe__Restaurant/coupon/00301333003RED00652546EPC00496999PRD00000001.html</t>
  </si>
  <si>
    <t>http://seattle.entertainment.com/discount/Shawn_ODonnells_American_Grill__Irish_Pub/coupon/00315424003RED01277598EPC00496999PRD00000001.html</t>
  </si>
  <si>
    <t>http://seattle.entertainment.com/discount/Azteca_Mexican_Restaurants/coupon/87014990870RED01280290EPC00496999PRD00000001.html</t>
  </si>
  <si>
    <t>http://seattle.entertainment.com/discount/Fridas_Gourmet_Mexican_Cuisine/coupon/00315508003RED00602525EPC00496999PRD00000001.html</t>
  </si>
  <si>
    <t>http://seattle.entertainment.com/discount/Central_Ave_Pub__Eatery/coupon/05002817050RED00913117EPC00496999PRD00000001.html</t>
  </si>
  <si>
    <t>http://seattle.entertainment.com/discount/Azteca_Mexican_Restaurants/coupon/87014990870RED01280279EPC00496999PRD00000001.html</t>
  </si>
  <si>
    <t>http://seattle.entertainment.com/discount/Romios_Pizza__Pasta/coupon/00315659003RED01282188EPC00497999PRD00000001.html</t>
  </si>
  <si>
    <t>http://seattle.entertainment.com/discount/Foxys_Pub__Eatery/coupon/00316124003RED01298717EPC00497999PRD00000001.html</t>
  </si>
  <si>
    <t>http://seattle.entertainment.com/discount/Mariachi_Alegre/coupon/05001932003RED00834775EPC00497999PRD00000056.html</t>
  </si>
  <si>
    <t>http://seattle.entertainment.com/discount/Azteca_Mexican_Restaurants/coupon/87014990870RED01280274EPC00496999PRD00000001.html</t>
  </si>
  <si>
    <t>http://seattle.entertainment.com/discount/Sharis_Restaurant/coupon/87006377870RED01284941EPC00496999PRD00000001.html</t>
  </si>
  <si>
    <t>http://seattle.entertainment.com/discount/Chihuahuas/coupon/05005256050RED01106279EPC00497999PRD00000056.html</t>
  </si>
  <si>
    <t>http://seattle.entertainment.com/discount/Gonzos_Bar__Grill/coupon/00317403003RED01381173EPC00497999PRD00000001.html</t>
  </si>
  <si>
    <t>http://seattle.entertainment.com/discount/Mezcal_Family_Mexican_Restaurant/coupon/05004254050RED01106275EPC00497999PRD00000056.html</t>
  </si>
  <si>
    <t>http://seattle.entertainment.com/discount/BlackAngus_Steakhouse/coupon/87015375870RED01284578EPC00496999PRD00000001.html</t>
  </si>
  <si>
    <t>http://seattle.entertainment.com/discount/Azteca_Mexican_Restaurants/coupon/87014990870RED01280276EPC00496999PRD00000001.html</t>
  </si>
  <si>
    <t>http://seattle.entertainment.com/discount/Vinces_Italian_Restaurant__Pizzeria/coupon/00315847003RED01296274EPC00496999PRD00000001.html</t>
  </si>
  <si>
    <t>http://seattle.entertainment.com/discount/Blue_Cannon_Pizza_Co/coupon/05005993050RED01381465EPC00497999PRD00000056.html</t>
  </si>
  <si>
    <t>http://seattle.entertainment.com/discount/Pizza_from_Paradize/coupon/05005252050RED01296336EPC00497999PRD00000056.html</t>
  </si>
  <si>
    <t>http://seattle.entertainment.com/discount/Cozy_Roadhouse/coupon/97001029970RED00672423EPC00497999PRD00000001.html</t>
  </si>
  <si>
    <t>http://seattle.entertainment.com/discount/Evergreen_Lanes_Restaurant/coupon/00300021003RED00000593EPC00496999PRD00000001.html</t>
  </si>
  <si>
    <t>http://seattle.entertainment.com/discount/Time_Out_Ale_House/coupon/05001695050RED00611374EPC00497999PRD00000056.html</t>
  </si>
  <si>
    <t>http://seattle.entertainment.com/discount/Pattys_Eggnest/coupon/00308879003RED00783115EPC00497999PRD00000001.html</t>
  </si>
  <si>
    <t>http://seattle.entertainment.com/discount/Thai_Bistro/coupon/00312062003RED00995450EPC00496999PRD00000001.html</t>
  </si>
  <si>
    <t>http://seattle.entertainment.com/discount/Sharis_Restaurant/coupon/87006377870RED01284929EPC00496999PRD00000001.html</t>
  </si>
  <si>
    <t>http://seattle.entertainment.com/discount/Ivars_Seafood_Bar/coupon/00316543003RED00933691EPC00497999PRD00000001.html</t>
  </si>
  <si>
    <t>http://seattle.entertainment.com/discount/Balefire/coupon/00313840003RED01185553EPC00496999PRD00000001.html</t>
  </si>
  <si>
    <t>http://seattle.entertainment.com/discount/Kates_Greek__American/coupon/00307501003RED00850310EPC00497999PRD00000001.html</t>
  </si>
  <si>
    <t>http://seattle.entertainment.com/discount/Pour_At_Four/coupon/05002184050RED00875540EPC00497999PRD00000056.html</t>
  </si>
  <si>
    <t>http://seattle.entertainment.com/discount/Sharis_Restaurant/coupon/87006377870RED01284930EPC00496999PRD00000001.html</t>
  </si>
  <si>
    <t>http://seattle.entertainment.com/discount/Dos_Reales_Taqueria_Restaurant__Cantina/coupon/00316949003RED01371194EPC00497999PRD00000056.html</t>
  </si>
  <si>
    <t>http://seattle.entertainment.com/discount/Alfreds_Cafe/coupon/05005626050RED01372755EPC00497999PRD00000001.html</t>
  </si>
  <si>
    <t>http://seattle.entertainment.com/discount/Twedes_Cafe/coupon/00302889003RED00660535EPC00496999PRD00000001.html</t>
  </si>
  <si>
    <t>http://seattle.entertainment.com/discount/Sharis_Restaurant/coupon/87006377870RED01284928EPC00496999PRD00000001.html</t>
  </si>
  <si>
    <t>http://seattle.entertainment.com/discount/La_Hacienda/coupon/00315700003RED01288100EPC00496999PRD00000001.html</t>
  </si>
  <si>
    <t>http://seattle.entertainment.com/discount/48th_Street_Pub_and_Grill/coupon/05005047050RED01271227EPC00497999PRD00000056.html</t>
  </si>
  <si>
    <t>http://seattle.entertainment.com/discount/Azteca_Mexican_Restaurants/coupon/87014990870RED01280277EPC00496999PRD00000001.html</t>
  </si>
  <si>
    <t>http://seattle.entertainment.com/discount/Sharis_Restaurant/coupon/87006377870RED01284932EPC00496999PRD00000001.html</t>
  </si>
  <si>
    <t>http://seattle.entertainment.com/discount/OHenrys_Clubhouse__Grill/coupon/05005906050RED01379568EPC00497999PRD00000056.html</t>
  </si>
  <si>
    <t>http://seattle.entertainment.com/discount/Johnnys_Bar__Grill/coupon/05005850050RED01377757EPC00497999PRD00000056.html</t>
  </si>
  <si>
    <t>http://seattle.entertainment.com/discount/Riverside_Pub__Eatery/coupon/05002225050RED00876595EPC00497999PRD00000056.html</t>
  </si>
  <si>
    <t>http://seattle.entertainment.com/discount/Alder_Street_Cafe/coupon/05005498050RED01350579EPC00497999PRD00000056.html</t>
  </si>
  <si>
    <t>http://seattle.entertainment.com/discount/Stonegate_Pizza__Bar/coupon/05005740050RED01378127EPC00497999PRD00000056.html</t>
  </si>
  <si>
    <t>http://seattle.entertainment.com/discount/Pattys_Burgers__Milkshakes/coupon/00316975003RED01371912EPC00497999PRD00000056.html</t>
  </si>
  <si>
    <t>http://seattle.entertainment.com/discount/Dixies_Home_Cookin/coupon/05002775050RED01284629EPC00497999PRD00000056.html</t>
  </si>
  <si>
    <t>http://seattle.entertainment.com/discount/Sams_Taqueria/coupon/05005838050RED01378536EPC00497999PRD00000056.html</t>
  </si>
  <si>
    <t>http://seattle.entertainment.com/discount/Pacific_Rim_Restaurant__Nightclub/coupon/00316938003RED01371103EPC00497999PRD00000001.html</t>
  </si>
  <si>
    <t>http://seattle.entertainment.com/discount/Fannys_Restaurant/coupon/00315563003RED01286924EPC00497999PRD00000056.html</t>
  </si>
  <si>
    <t>http://seattle.entertainment.com/discount/Sparks_Firehouse_Deli/coupon/05005789050RED01379053EPC00497999PRD00000056.html</t>
  </si>
  <si>
    <t>http://seattle.entertainment.com/discount/Sharis_Restaurant/coupon/87006377870RED01284936EPC00496999PRD00000001.html</t>
  </si>
  <si>
    <t>http://seattle.entertainment.com/discount/Anahuac_Family_Restaurant/coupon/05005893050RED01378929EPC00497999PRD00000056.html</t>
  </si>
  <si>
    <t>http://seattle.entertainment.com/discount/Bowlero_Lanes_Restaurant__Lounge/coupon/05003629050RED00944464EPC00497999PRD00000056.html</t>
  </si>
  <si>
    <t>http://seattle.entertainment.com/discount/Fan_Club_Sports_Bar/coupon/05005593050RED01369292EPC00497999PRD00000056.html</t>
  </si>
  <si>
    <t>http://seattle.entertainment.com/discount/Black_Angus_Steakhouse/coupon/87015375870RED01284602EPC00496999PRD00000001.html</t>
  </si>
  <si>
    <t>http://seattle.entertainment.com/discount/Sharis_Restaurant/coupon/87006377870RED01284940EPC00496999PRD00000001.html</t>
  </si>
  <si>
    <t>http://seattle.entertainment.com/discount/Sharis_Restaurant/coupon/87006377870RED01284939EPC00496999PRD00000001.html</t>
  </si>
  <si>
    <t>http://seattle.entertainment.com/discount/BlackAngus_Steakhouse/coupon/87015375870RED01284579EPC00496999PRD00000001.html</t>
  </si>
  <si>
    <t>http://seattle.entertainment.com/discount/Sharis_Restaurant/coupon/87006377870RED01284943EPC00496999PRD00000001.html</t>
  </si>
  <si>
    <t>http://seattle.entertainment.com/discount/La_Palma/coupon/00306884003RED00902153EPC00497999PRD00000056.html</t>
  </si>
  <si>
    <t>http://seattle.entertainment.com/discount/Hop_Jacks/coupon/05005546050RED01352081EPC00497999PRD00000056.html</t>
  </si>
  <si>
    <t>http://seattle.entertainment.com/discount/Andres_Bar__Grill/coupon/05005481050RED01350069EPC00497999PRD00000056.html</t>
  </si>
  <si>
    <t>http://seattle.entertainment.com/discount/Trellis_Cafe/coupon/05005833050RED01377774EPC00497999PRD00000056.html</t>
  </si>
  <si>
    <t>http://seattle.entertainment.com/discount/La_Hacienda/coupon/00315700003RED01288101EPC00496999PRD00000001.html</t>
  </si>
  <si>
    <t>http://seattle.entertainment.com/discount/Reynas_Mexican_Restaurant/coupon/05001854050RED00826168EPC00497999PRD00000056.html</t>
  </si>
  <si>
    <t>http://seattle.entertainment.com/discount/Skippers_Seafood__Chowder/coupon/00313078003RED01126268EPC00496999PRD00000001.html</t>
  </si>
  <si>
    <t>http://seattle.entertainment.com/discount/Mezcal_Family_Mexican_Restaurant/coupon/05004254050RED01106276EPC00497999PRD00000056.html</t>
  </si>
  <si>
    <t>http://seattle.entertainment.com/discount/El_Gitano/coupon/97001949970RED01199425EPC00497999PRD00000056.html</t>
  </si>
  <si>
    <t>http://seattle.entertainment.com/discount/Paraiso/coupon/97002096970RED01271291EPC00497999PRD00000056.html</t>
  </si>
  <si>
    <t>http://seattle.entertainment.com/discount/Padres_Taqueria__Tequila_Bar/coupon/97002281970RED01288088EPC00497999PRD00000056.html</t>
  </si>
  <si>
    <t>http://seattle.entertainment.com/discount/Olympia_Pizza_House/coupon/97002567970RED01379318EPC00497999PRD00000056.html</t>
  </si>
  <si>
    <t>http://seattle.entertainment.com/discount/Las_Coronas_Restaurant__Cantina/coupon/97001109970RED00813817EPC00497999PRD00000056.html</t>
  </si>
  <si>
    <t>http://seattle.entertainment.com/discount/Nadines_All_American_Restaurant/coupon/97002142970RED01275679EPC00497999PRD00000056.html</t>
  </si>
  <si>
    <t>http://seattle.entertainment.com/discount/Aces_Casino_and_Sports_Bar/coupon/97001984970RED01205853EPC00497999PRD00000056.html</t>
  </si>
  <si>
    <t>http://seattle.entertainment.com/discount/Americas_Diner/coupon/05005861050RED01380805EPC00497999PRD00000001.html</t>
  </si>
  <si>
    <t>http://seattle.entertainment.com/discount/R__R_LIVE_Sports_Bar__Grill/coupon/05005917050RED01381840EPC00497999PRD00000056.html</t>
  </si>
  <si>
    <t>http://seattle.entertainment.com/discount/The_Local_Scoop_Cafe/coupon/00316872003RED01367437EPC00497999PRD00000056.html</t>
  </si>
  <si>
    <t>http://seattle.entertainment.com/discount/Pizza_Factory/coupon/97002632970RED01378884EPC00497999PRD00000056.html</t>
  </si>
  <si>
    <t>http://seattle.entertainment.com/discount/Mirkwood__Shire_Cafe/coupon/05004362050RED01127093EPC00497999PRD00000056.html</t>
  </si>
  <si>
    <t>http://seattle.entertainment.com/discount/Dos_Reales_Taqueria/coupon/97001314970RED00591472EPC00497999PRD00000056.html</t>
  </si>
  <si>
    <t>http://seattle.entertainment.com/discount/Gerry_Andals/coupon/97002286970RED01296002EPC00497999PRD00000056.html</t>
  </si>
  <si>
    <t>http://seattle.entertainment.com/discount/Conway_Boxcar_Grill/coupon/97002427970RED01371772EPC00497999PRD00000056.html</t>
  </si>
  <si>
    <t>http://seattle.entertainment.com/discount/Pizza_Factory/coupon/97002630970RED01378756EPC00497999PRD00000056.html</t>
  </si>
  <si>
    <t>http://seattle.entertainment.com/discount/NorthFork_Bar__Grill/coupon/05005635050RED01374001EPC00497999PRD00000056.html</t>
  </si>
  <si>
    <t>http://seattle.entertainment.com/discount/Mayan_Family_Mexican_Restaurant/coupon/05005277050RED01000561EPC00497999PRD00000056.html</t>
  </si>
  <si>
    <t>http://seattle.entertainment.com/discount/Mayan/coupon/05005277050RED01175198EPC00497999PRD00000056.html</t>
  </si>
  <si>
    <t>http://seattle.entertainment.com/discount/Beau_Legs_Fish_N_Chips/coupon/05005937050RED01381056EPC00497999PRD00000056.html</t>
  </si>
  <si>
    <t>http://seattle.entertainment.com/discount/Sharis_Restaurant/coupon/87006377870RED01284937EPC00496999PRD00000001.html</t>
  </si>
  <si>
    <t>http://seattle.entertainment.com/discount/EL_SARAPE/coupon/05005989050RED01381068EPC00497999PRD00000056.html</t>
  </si>
  <si>
    <t>http://seattle.entertainment.com/discount/Mayan_Family_Mexican_Restaurant/coupon/05005277050RED01000560EPC00497999PRD00000056.html</t>
  </si>
  <si>
    <t>http://seattle.entertainment.com/discount/Mayan/coupon/05005277050RED01175197EPC00497999PRD00000056.html</t>
  </si>
  <si>
    <t>http://seattle.entertainment.com/discount/Sharis_Restaurant/coupon/87006377870RED01284942EPC00496999PRD00000001.html</t>
  </si>
  <si>
    <t>http://seattle.entertainment.com/discount/Mi_Pueblo_Grill/coupon/97002251970RED01281644EPC00497999PRD00000056.html</t>
  </si>
  <si>
    <t>http://seattle.entertainment.com/discount/Valle_Azul_Family_Mexican_Restaurant/coupon/97001932970RED01194527EPC00497999PRD00000056.html</t>
  </si>
  <si>
    <t>http://seattle.entertainment.com/discount/Inferno_Burgers_Brew__More/coupon/97002059970RED01227786EPC00497999PRD00000056.html</t>
  </si>
  <si>
    <t>http://seattle.entertainment.com/discount/Arties_Restaurant/coupon/97002521970RED01376108EPC00497999PRD00000056.html</t>
  </si>
  <si>
    <t>http://seattle.entertainment.com/discount/Pizza_Time/coupon/05005287050RED01298612EPC00497999PRD00000056.html</t>
  </si>
  <si>
    <t>http://seattle.entertainment.com/discount/Flanagans_Apple_Irish_Pub/coupon/05005928050RED01381832EPC00497999PRD00000056.html</t>
  </si>
  <si>
    <t>http://seattle.entertainment.com/discount/Hop_Jacks/coupon/05005546050RED01352082EPC00497999PRD00000056.html</t>
  </si>
  <si>
    <t>http://seattle.entertainment.com/discount/Tacos_Gaby/coupon/05005978050RED01381049EPC00497999PRD00000056.html</t>
  </si>
  <si>
    <t>http://seattle.entertainment.com/discount/Mayan_Family_Mexican_Restaurant/coupon/05005277050RED01000562EPC00497999PRD00000056.html</t>
  </si>
  <si>
    <t>http://seattle.entertainment.com/discount/Mayan/coupon/05005277050RED01175199EPC00497999PRD00000056.html</t>
  </si>
  <si>
    <t>http://seattle.entertainment.com/discount/Dobys_Gourmet_Pizza_Kitchen/coupon/05005353050RED01295990EPC00497999PRD00000056.html</t>
  </si>
  <si>
    <t>http://seattle.entertainment.com/discount/Custom_Smoothie__Sports_Nutrition/coupon/00317260003RED01376201EPC00497999PRD00000001.html</t>
  </si>
  <si>
    <t>http://seattle.entertainment.com/discount/Center_House_Seattle_Center/coupon/00302801003RED00658213EPC00496999PRD00000001.html</t>
  </si>
  <si>
    <t>http://seattle.entertainment.com/discount/The_Frankfurter/coupon/00300137003RED00126032EPC00496999PRD00000001.html</t>
  </si>
  <si>
    <t>http://seattle.entertainment.com/discount/Subway/coupon/87018786870RED01346319EPC00496999PRD00000001.html</t>
  </si>
  <si>
    <t>http://seattle.entertainment.com/discount/Subway/coupon/87018786870RED01346256EPC00496999PRD00000001.html</t>
  </si>
  <si>
    <t>http://seattle.entertainment.com/discount/Caffe_Ladro/coupon/00315119003RED00671689EPC00496999PRD00000001.html</t>
  </si>
  <si>
    <t>http://seattle.entertainment.com/discount/Subway/coupon/87018786870RED01346393EPC00496999PRD00000001.html</t>
  </si>
  <si>
    <t>http://seattle.entertainment.com/discount/Subway/coupon/87018786870RED01346443EPC00496999PRD00000001.html</t>
  </si>
  <si>
    <t>http://seattle.entertainment.com/discount/Kidd_Valley/coupon/00300342003RED00000779EPC00496999PRD00000001.html</t>
  </si>
  <si>
    <t>http://seattle.entertainment.com/discount/Subway/coupon/87018786870RED01346192EPC00496999PRD00000001.html</t>
  </si>
  <si>
    <t>http://seattle.entertainment.com/discount/Subway/coupon/87018786870RED01346417EPC00496999PRD00000001.html</t>
  </si>
  <si>
    <t>http://seattle.entertainment.com/discount/Caffe_Ladro/coupon/00315119003RED00671688EPC00496999PRD00000001.html</t>
  </si>
  <si>
    <t>http://seattle.entertainment.com/discount/Pizza_Hutreg/coupon/87015719870RED01292282EPC00496999PRD00000001.html</t>
  </si>
  <si>
    <t>http://seattle.entertainment.com/discount/Bhimas/coupon/00314644003RED01248219EPC00497999PRD00000001.html</t>
  </si>
  <si>
    <t>http://seattle.entertainment.com/discount/Subway/coupon/87018786870RED01346445EPC00496999PRD00000001.html</t>
  </si>
  <si>
    <t>http://seattle.entertainment.com/discount/Subway/coupon/87018786870RED01346245EPC00496999PRD00000001.html</t>
  </si>
  <si>
    <t>http://seattle.entertainment.com/discount/Subway/coupon/87018786870RED01346382EPC00496999PRD00000001.html</t>
  </si>
  <si>
    <t>http://seattle.entertainment.com/discount/Subway/coupon/87018786870RED01346355EPC00496999PRD00000001.html</t>
  </si>
  <si>
    <t>http://seattle.entertainment.com/discount/Subway/coupon/87018786870RED01346429EPC00496999PRD00000001.html</t>
  </si>
  <si>
    <t>http://seattle.entertainment.com/discount/Subway/coupon/87018786870RED01346404EPC00496999PRD00000001.html</t>
  </si>
  <si>
    <t>http://seattle.entertainment.com/discount/Seattle_Gold_Coffee/coupon/00313794003RED01183218EPC00496999PRD00000001.html</t>
  </si>
  <si>
    <t>http://seattle.entertainment.com/discount/Caffe_Ladro/coupon/00315119003RED00671692EPC00496999PRD00000001.html</t>
  </si>
  <si>
    <t>http://seattle.entertainment.com/discount/Subway/coupon/87018786870RED01346263EPC00496999PRD00000001.html</t>
  </si>
  <si>
    <t>http://seattle.entertainment.com/discount/Charleys_Grilled_Subs/coupon/87018818870RED01322576EPC00496999PRD00000001.html</t>
  </si>
  <si>
    <t>http://seattle.entertainment.com/discount/Subway/coupon/87018786870RED01346259EPC00496999PRD00000001.html</t>
  </si>
  <si>
    <t>http://seattle.entertainment.com/discount/Subway/coupon/87018786870RED01346258EPC00496999PRD00000001.html</t>
  </si>
  <si>
    <t>http://seattle.entertainment.com/discount/Subway/coupon/87018786870RED01346401EPC00496999PRD00000001.html</t>
  </si>
  <si>
    <t>http://seattle.entertainment.com/discount/Caffe_Ladro/coupon/00315119003RED00671693EPC00496999PRD00000001.html</t>
  </si>
  <si>
    <t>http://seattle.entertainment.com/discount/Subway/coupon/87018786870RED01346324EPC00496999PRD00000001.html</t>
  </si>
  <si>
    <t>http://seattle.entertainment.com/discount/Subway/coupon/87018786870RED01346279EPC00496999PRD00000001.html</t>
  </si>
  <si>
    <t>http://seattle.entertainment.com/discount/The_Bagel_Deli/coupon/00305532003RED00793825EPC00497999PRD00000001.html</t>
  </si>
  <si>
    <t>http://seattle.entertainment.com/discount/Sisters_European_Snacks/coupon/00305361003RED00783368EPC00497999PRD00000001.html</t>
  </si>
  <si>
    <t>http://seattle.entertainment.com/discount/Subway/coupon/87018786870RED01346470EPC00496999PRD00000001.html</t>
  </si>
  <si>
    <t>http://seattle.entertainment.com/discount/Shy_Giant_Frozen_Desserts/coupon/00306007003RED00002086EPC00497999PRD00000001.html</t>
  </si>
  <si>
    <t>http://seattle.entertainment.com/discount/Subway/coupon/87018786870RED01346444EPC00496999PRD00000001.html</t>
  </si>
  <si>
    <t>http://seattle.entertainment.com/discount/Caffe_Ladro/coupon/00315119003RED00671695EPC00496999PRD00000001.html</t>
  </si>
  <si>
    <t>http://seattle.entertainment.com/discount/Subway/coupon/87018786870RED01346469EPC00496999PRD00000001.html</t>
  </si>
  <si>
    <t>http://seattle.entertainment.com/discount/Custom_Smoothie__Sports_Nutrition/coupon/00317260003RED01376199EPC00497999PRD00000001.html</t>
  </si>
  <si>
    <t>http://seattle.entertainment.com/discount/Subway/coupon/87018786870RED01346436EPC00496999PRD00000001.html</t>
  </si>
  <si>
    <t>http://seattle.entertainment.com/discount/Chocolati_Cafe/coupon/00312539003RED01068676EPC00496999PRD00000001.html</t>
  </si>
  <si>
    <t>http://seattle.entertainment.com/discount/Caffe_Ladro/coupon/00315119003RED00671691EPC00496999PRD00000001.html</t>
  </si>
  <si>
    <t>http://seattle.entertainment.com/discount/Frankly_Sweets/coupon/00308117003RED00866285EPC00497999PRD00000001.html</t>
  </si>
  <si>
    <t>http://seattle.entertainment.com/discount/Subway/coupon/87018786870RED01346379EPC00496999PRD00000001.html</t>
  </si>
  <si>
    <t>http://seattle.entertainment.com/discount/The_Frankfurter/coupon/00300137003RED00616246EPC00496999PRD00000001.html</t>
  </si>
  <si>
    <t>http://seattle.entertainment.com/discount/Subway/coupon/87018786870RED01346416EPC00496999PRD00000001.html</t>
  </si>
  <si>
    <t>http://seattle.entertainment.com/discount/Custom_Smoothie__Sports_Nutrition/coupon/00317260003RED01376200EPC00497999PRD00000001.html</t>
  </si>
  <si>
    <t>http://seattle.entertainment.com/discount/Subway/coupon/87018786870RED01346314EPC00496999PRD00000001.html</t>
  </si>
  <si>
    <t>http://seattle.entertainment.com/discount/Philadelphia_Fevre_Steak__Hoagie_Shop/coupon/00317047003RED01375160EPC00497999PRD00000001.html</t>
  </si>
  <si>
    <t>http://seattle.entertainment.com/discount/Trabant_Coffee__Chai/coupon/00313544003RED01170496EPC00496999PRD00000001.html</t>
  </si>
  <si>
    <t>http://seattle.entertainment.com/discount/Subway/coupon/87018786870RED01346285EPC00496999PRD00000001.html</t>
  </si>
  <si>
    <t>http://seattle.entertainment.com/discount/Pizza_Hutreg/coupon/87015719870RED01292286EPC00496999PRD00000001.html</t>
  </si>
  <si>
    <t>http://seattle.entertainment.com/discount/Subway/coupon/87018786870RED01346353EPC00496999PRD00000001.html</t>
  </si>
  <si>
    <t>http://seattle.entertainment.com/discount/Short_Stop_Coffee/coupon/00317075003RED01374017EPC00497999PRD00000001.html</t>
  </si>
  <si>
    <t>http://seattle.entertainment.com/discount/Chocolati_Cafe/coupon/00312539003RED01068677EPC00496999PRD00000001.html</t>
  </si>
  <si>
    <t>http://seattle.entertainment.com/discount/Fainting_Goat_Gelato/coupon/00315156003RED01274598EPC00497999PRD00000001.html</t>
  </si>
  <si>
    <t>http://seattle.entertainment.com/discount/Subway/coupon/87018786870RED01346481EPC00496999PRD00000001.html</t>
  </si>
  <si>
    <t>http://seattle.entertainment.com/discount/Arosa_Espresso__Waffle_Cafe/coupon/00313373003RED01162958EPC00496999PRD00000001.html</t>
  </si>
  <si>
    <t>http://seattle.entertainment.com/discount/ampm/coupon/87017258870RED01322144EPC00496999PRD00000001.html</t>
  </si>
  <si>
    <t>http://seattle.entertainment.com/discount/Subway/coupon/87018786870RED01346503EPC00496999PRD00000001.html</t>
  </si>
  <si>
    <t>http://seattle.entertainment.com/discount/Subway/coupon/87018786870RED01346176EPC00496999PRD00000001.html</t>
  </si>
  <si>
    <t>http://seattle.entertainment.com/discount/ampm/coupon/87017258870RED01322129EPC00496999PRD00000001.html</t>
  </si>
  <si>
    <t>http://seattle.entertainment.com/discount/Kidd_Valley/coupon/00300342003RED00000777EPC00496999PRD00000001.html</t>
  </si>
  <si>
    <t>http://seattle.entertainment.com/discount/HaagenDazs/coupon/00311579003RED00955988EPC00497999PRD00000001.html</t>
  </si>
  <si>
    <t>http://seattle.entertainment.com/discount/Trabant_Coffee__Chai/coupon/00313544003RED01170495EPC00496999PRD00000001.html</t>
  </si>
  <si>
    <t>http://seattle.entertainment.com/discount/Catfish_Corner/coupon/00314763003RED01252275EPC00496999PRD00000001.html</t>
  </si>
  <si>
    <t>http://seattle.entertainment.com/discount/Corner_Store__Deli/coupon/00317109003RED01374619EPC00497999PRD00000001.html</t>
  </si>
  <si>
    <t>http://seattle.entertainment.com/discount/Da_Vinci_Subs/coupon/00313537003RED01170284EPC00496999PRD00000001.html</t>
  </si>
  <si>
    <t>http://seattle.entertainment.com/discount/Star_Life_on_The_Oasis/coupon/00305386003RED00784195EPC00497999PRD00000001.html</t>
  </si>
  <si>
    <t>http://seattle.entertainment.com/discount/Subway/coupon/87018786870RED01346466EPC00496999PRD00000001.html</t>
  </si>
  <si>
    <t>http://seattle.entertainment.com/discount/Subway/coupon/87018786870RED01346186EPC00496999PRD00000001.html</t>
  </si>
  <si>
    <t>http://seattle.entertainment.com/discount/Subway/coupon/87018786870RED01346197EPC00496999PRD00000001.html</t>
  </si>
  <si>
    <t>http://seattle.entertainment.com/discount/ampm/coupon/87017258870RED01322151EPC00496999PRD00000001.html</t>
  </si>
  <si>
    <t>http://seattle.entertainment.com/discount/Cafe_Lulu/coupon/00317521003RED01380947EPC00497999PRD00000001.html</t>
  </si>
  <si>
    <t>http://seattle.entertainment.com/discount/Subway/coupon/87018786870RED01346174EPC00496999PRD00000001.html</t>
  </si>
  <si>
    <t>http://seattle.entertainment.com/discount/Kidd_Valley/coupon/00300342003RED00000774EPC00496999PRD00000001.html</t>
  </si>
  <si>
    <t>http://seattle.entertainment.com/discount/Subway/coupon/87018786870RED01346370EPC00496999PRD00000001.html</t>
  </si>
  <si>
    <t>http://seattle.entertainment.com/discount/Subway/coupon/87018786870RED01346387EPC00496999PRD00000001.html</t>
  </si>
  <si>
    <t>http://seattle.entertainment.com/discount/Subway/coupon/87018786870RED01346316EPC00496999PRD00000001.html</t>
  </si>
  <si>
    <t>http://seattle.entertainment.com/discount/Savour/coupon/00317202003RED01375481EPC00497999PRD00000001.html</t>
  </si>
  <si>
    <t>http://seattle.entertainment.com/discount/Pizza_Hutreg/coupon/87015719870RED01292281EPC00496999PRD00000001.html</t>
  </si>
  <si>
    <t>http://seattle.entertainment.com/discount/Subway/coupon/87018786870RED01346289EPC00496999PRD00000001.html</t>
  </si>
  <si>
    <t>http://seattle.entertainment.com/discount/Stackers_Pizza__Subs/coupon/00316826003RED01358009EPC00497999PRD00000001.html</t>
  </si>
  <si>
    <t>http://seattle.entertainment.com/discount/Finch_Cafe/coupon/00315330003RED01277516EPC00497999PRD00000001.html</t>
  </si>
  <si>
    <t>http://seattle.entertainment.com/discount/Ravenna_Alehouse/coupon/00317425003RED01378702EPC00497999PRD00000001.html</t>
  </si>
  <si>
    <t>http://seattle.entertainment.com/discount/Garlic_Jims_Famous_Gourmet_Pizza/coupon/00315833003RED00956540EPC00496999PRD00000001.html</t>
  </si>
  <si>
    <t>http://seattle.entertainment.com/discount/Totem_House_Seafood__Chowder/coupon/00316992003RED01371633EPC00497999PRD00000001.html</t>
  </si>
  <si>
    <t>http://seattle.entertainment.com/discount/Subway/coupon/87018786870RED01346306EPC00496999PRD00000001.html</t>
  </si>
  <si>
    <t>http://seattle.entertainment.com/discount/Chocolati_Cafe/coupon/00312539003RED01068675EPC00496999PRD00000001.html</t>
  </si>
  <si>
    <t>http://seattle.entertainment.com/discount/Chocolati_Cafe/coupon/00312539003RED01068678EPC00496999PRD00000001.html</t>
  </si>
  <si>
    <t>http://seattle.entertainment.com/discount/Subway/coupon/87018786870RED01346467EPC00496999PRD00000001.html</t>
  </si>
  <si>
    <t>http://seattle.entertainment.com/discount/Chocolati_Cafe/coupon/00312539003RED01068679EPC00496999PRD00000001.html</t>
  </si>
  <si>
    <t>http://seattle.entertainment.com/discount/ampm/coupon/87017258870RED01322140EPC00496999PRD00000001.html</t>
  </si>
  <si>
    <t>http://seattle.entertainment.com/discount/Mr_Gyros/coupon/00316851003RED01358223EPC00497999PRD00000001.html</t>
  </si>
  <si>
    <t>http://seattle.entertainment.com/discount/Subway/coupon/87018786870RED01346424EPC00496999PRD00000001.html</t>
  </si>
  <si>
    <t>http://seattle.entertainment.com/discount/Subway/coupon/87018786870RED01346448EPC00496999PRD00000001.html</t>
  </si>
  <si>
    <t>http://seattle.entertainment.com/discount/Armstrong_Espresso/coupon/00315959003RED01309367EPC00497999PRD00000001.html</t>
  </si>
  <si>
    <t>http://seattle.entertainment.com/discount/Pizza_Hutreg/coupon/87015719870RED01292280EPC00496999PRD00000001.html</t>
  </si>
  <si>
    <t>http://seattle.entertainment.com/discount/Pizza_Hutreg/coupon/87015719870RED01292291EPC00496999PRD00000001.html</t>
  </si>
  <si>
    <t>http://seattle.entertainment.com/discount/Subway/coupon/87018786870RED01346465EPC00496999PRD00000001.html</t>
  </si>
  <si>
    <t>http://seattle.entertainment.com/discount/Subway/coupon/87018786870RED01346211EPC00496999PRD00000001.html</t>
  </si>
  <si>
    <t>http://seattle.entertainment.com/discount/ampm/coupon/87017258870RED01322133EPC00496999PRD00000001.html</t>
  </si>
  <si>
    <t>http://seattle.entertainment.com/discount/Subway/coupon/87018786870RED01346283EPC00496999PRD00000001.html</t>
  </si>
  <si>
    <t>http://seattle.entertainment.com/discount/Subway/coupon/87018786870RED01346180EPC00496999PRD00000001.html</t>
  </si>
  <si>
    <t>http://seattle.entertainment.com/discount/Marco_Polo_Bar__Grill/coupon/00316891003RED01372611EPC00497999PRD00000001.html</t>
  </si>
  <si>
    <t>http://seattle.entertainment.com/discount/Subway/coupon/87018786870RED01346491EPC00496999PRD00000001.html</t>
  </si>
  <si>
    <t>http://seattle.entertainment.com/discount/Subway/coupon/87018786870RED01346514EPC00496999PRD00000001.html</t>
  </si>
  <si>
    <t>http://seattle.entertainment.com/discount/ampm/coupon/87017258870RED01322131EPC00496999PRD00000001.html</t>
  </si>
  <si>
    <t>http://seattle.entertainment.com/discount/Subway/coupon/87018786870RED01346260EPC00496999PRD00000001.html</t>
  </si>
  <si>
    <t>http://seattle.entertainment.com/discount/ampm/coupon/87017258870RED01322135EPC00496999PRD00000001.html</t>
  </si>
  <si>
    <t>http://seattle.entertainment.com/discount/Subway/coupon/87018786870RED01346363EPC00496999PRD00000001.html</t>
  </si>
  <si>
    <t>http://seattle.entertainment.com/discount/Pizza_Hutreg/coupon/87015719870RED01292288EPC00496999PRD00000001.html</t>
  </si>
  <si>
    <t>http://seattle.entertainment.com/discount/Subway/coupon/87018786870RED01346209EPC00496999PRD00000001.html</t>
  </si>
  <si>
    <t>http://seattle.entertainment.com/discount/Subway/coupon/87018786870RED01346317EPC00496999PRD00000001.html</t>
  </si>
  <si>
    <t>http://seattle.entertainment.com/discount/Subway/coupon/87018786870RED01346265EPC00496999PRD00000001.html</t>
  </si>
  <si>
    <t>http://seattle.entertainment.com/discount/ampm/coupon/87017258870RED01322143EPC00496999PRD00000001.html</t>
  </si>
  <si>
    <t>http://seattle.entertainment.com/discount/Poppinjays_A_Cafe__Catering_Company/coupon/00300081003RED00001946EPC00496999PRD00000001.html</t>
  </si>
  <si>
    <t>http://seattle.entertainment.com/discount/ampm/coupon/87017258870RED01322141EPC00496999PRD00000001.html</t>
  </si>
  <si>
    <t>http://seattle.entertainment.com/discount/Subway/coupon/87018786870RED01346421EPC00496999PRD00000001.html</t>
  </si>
  <si>
    <t>http://seattle.entertainment.com/discount/Caffe_Ladro/coupon/00315119003RED00671690EPC00496999PRD00000001.html</t>
  </si>
  <si>
    <t>http://seattle.entertainment.com/discount/Subway/coupon/87018786870RED01346531EPC00496999PRD00000001.html</t>
  </si>
  <si>
    <t>http://seattle.entertainment.com/discount/Kidd_Valley/coupon/00300342003RED00655371EPC00496999PRD00000001.html</t>
  </si>
  <si>
    <t>http://seattle.entertainment.com/discount/Subway/coupon/87018786870RED01346406EPC00496999PRD00000001.html</t>
  </si>
  <si>
    <t>http://seattle.entertainment.com/discount/Subway/coupon/87018786870RED01346272EPC00496999PRD00000001.html</t>
  </si>
  <si>
    <t>http://seattle.entertainment.com/discount/Red_Star_Pizza/coupon/00314834003RED01263464EPC00496999PRD00000001.html</t>
  </si>
  <si>
    <t>http://seattle.entertainment.com/discount/Poppinjays_A_Cafe__Catering_Company/coupon/00300081003RED00001944EPC00496999PRD00000001.html</t>
  </si>
  <si>
    <t>http://seattle.entertainment.com/discount/Caffe_Ladro/coupon/00315119003RED01287034EPC00496999PRD00000001.html</t>
  </si>
  <si>
    <t>http://seattle.entertainment.com/discount/Subway/coupon/87018786870RED01346233EPC00496999PRD00000001.html</t>
  </si>
  <si>
    <t>http://seattle.entertainment.com/discount/Subway/coupon/87018786870RED01346410EPC00496999PRD00000001.html</t>
  </si>
  <si>
    <t>http://seattle.entertainment.com/discount/Caffe_Ladro/coupon/00315119003RED01120503EPC00496999PRD00000001.html</t>
  </si>
  <si>
    <t>http://seattle.entertainment.com/discount/Subway/coupon/87018786870RED01346178EPC00496999PRD00000001.html</t>
  </si>
  <si>
    <t>http://seattle.entertainment.com/discount/Kidd_Valley/coupon/00300342003RED00000781EPC00496999PRD00000001.html</t>
  </si>
  <si>
    <t>http://seattle.entertainment.com/discount/St_James_Espresso/coupon/00313791003RED01179587EPC00497999PRD00000001.html</t>
  </si>
  <si>
    <t>http://seattle.entertainment.com/discount/ampm/coupon/87017258870RED01322132EPC00496999PRD00000001.html</t>
  </si>
  <si>
    <t>http://seattle.entertainment.com/discount/Subway/coupon/87018786870RED01346418EPC00496999PRD00000001.html</t>
  </si>
  <si>
    <t>http://seattle.entertainment.com/discount/Pizza_Hutreg/coupon/87015719870RED01292287EPC00496999PRD00000001.html</t>
  </si>
  <si>
    <t>http://seattle.entertainment.com/discount/ampm/coupon/87017258870RED01322130EPC00496999PRD00000001.html</t>
  </si>
  <si>
    <t>http://seattle.entertainment.com/discount/Subway/coupon/87018786870RED01346480EPC00496999PRD00000001.html</t>
  </si>
  <si>
    <t>http://seattle.entertainment.com/discount/Subway/coupon/87018786870RED01346238EPC00496999PRD00000001.html</t>
  </si>
  <si>
    <t>http://seattle.entertainment.com/discount/APizza_Mart/coupon/00314881003RED01262692EPC00497999PRD00000001.html</t>
  </si>
  <si>
    <t>http://seattle.entertainment.com/discount/Dubsea_Coffee/coupon/00317057003RED01373729EPC00497999PRD00000001.html</t>
  </si>
  <si>
    <t>http://seattle.entertainment.com/discount/ampm/coupon/87017258870RED01322148EPC00496999PRD00000001.html</t>
  </si>
  <si>
    <t>http://seattle.entertainment.com/discount/Subway/coupon/87018786870RED01346357EPC00496999PRD00000001.html</t>
  </si>
  <si>
    <t>http://seattle.entertainment.com/discount/Subway/coupon/87018786870RED01346366EPC00496999PRD00000001.html</t>
  </si>
  <si>
    <t>http://seattle.entertainment.com/discount/Pizza_Hutreg/coupon/87015719870RED01292283EPC00496999PRD00000001.html</t>
  </si>
  <si>
    <t>http://seattle.entertainment.com/discount/Subway/coupon/87018786870RED01346325EPC00496999PRD00000001.html</t>
  </si>
  <si>
    <t>http://seattle.entertainment.com/discount/Subway/coupon/87018786870RED01346493EPC00496999PRD00000001.html</t>
  </si>
  <si>
    <t>http://seattle.entertainment.com/discount/Subway/coupon/87018786870RED01346318EPC00496999PRD00000001.html</t>
  </si>
  <si>
    <t>http://seattle.entertainment.com/discount/ampm/coupon/87017258870RED01322134EPC00496999PRD00000001.html</t>
  </si>
  <si>
    <t>http://seattle.entertainment.com/discount/Subway/coupon/87018786870RED01346189EPC00496999PRD00000001.html</t>
  </si>
  <si>
    <t>http://seattle.entertainment.com/discount/Gee_Burgers__Wraps/coupon/00316854003RED01357200EPC00497999PRD00000001.html</t>
  </si>
  <si>
    <t>http://seattle.entertainment.com/discount/Jitters/coupon/00300214003RED00000540EPC00496999PRD00000001.html</t>
  </si>
  <si>
    <t>http://seattle.entertainment.com/discount/Subway/coupon/87018786870RED01346331EPC00496999PRD00000001.html</t>
  </si>
  <si>
    <t>http://seattle.entertainment.com/discount/Pizza_Hutreg/coupon/87015719870RED01292284EPC00496999PRD00000001.html</t>
  </si>
  <si>
    <t>http://seattle.entertainment.com/discount/Subway/coupon/87018786870RED01346212EPC00496999PRD00000001.html</t>
  </si>
  <si>
    <t>http://seattle.entertainment.com/discount/Subway/coupon/87018786870RED01346254EPC00496999PRD00000001.html</t>
  </si>
  <si>
    <t>http://seattle.entertainment.com/discount/ampm/coupon/87017258870RED01322152EPC00496999PRD00000001.html</t>
  </si>
  <si>
    <t>http://seattle.entertainment.com/discount/Charleys_Grilled_Subs/coupon/87018818870RED01322577EPC00496999PRD00000001.html</t>
  </si>
  <si>
    <t>http://seattle.entertainment.com/discount/Subway/coupon/87018786870RED01346348EPC00496999PRD00000001.html</t>
  </si>
  <si>
    <t>http://seattle.entertainment.com/discount/Genos_Coffee_Shop__Bakery/coupon/00314534003RED01245375EPC00497999PRD00000001.html</t>
  </si>
  <si>
    <t>http://seattle.entertainment.com/discount/ampm/coupon/87017258870RED01322155EPC00496999PRD00000001.html</t>
  </si>
  <si>
    <t>http://seattle.entertainment.com/discount/Jitters/coupon/00300214003RED00000539EPC00496999PRD00000001.html</t>
  </si>
  <si>
    <t>http://seattle.entertainment.com/discount/ampm/coupon/87017258870RED01322149EPC00496999PRD00000001.html</t>
  </si>
  <si>
    <t>http://seattle.entertainment.com/discount/Subway/coupon/87018786870RED01346376EPC00496999PRD00000001.html</t>
  </si>
  <si>
    <t>http://seattle.entertainment.com/discount/Subway/coupon/87018786870RED01346485EPC00496999PRD00000001.html</t>
  </si>
  <si>
    <t>http://seattle.entertainment.com/discount/Round_Table_Pizza/coupon/05005445003RED00727314EPC00497999PRD00000001.html</t>
  </si>
  <si>
    <t>http://seattle.entertainment.com/discount/Subway/coupon/87018786870RED01346185EPC00496999PRD00000001.html</t>
  </si>
  <si>
    <t>http://seattle.entertainment.com/discount/Pizza_Hutreg/coupon/87015719870RED01292278EPC00496999PRD00000001.html</t>
  </si>
  <si>
    <t>http://seattle.entertainment.com/discount/Subway/coupon/87018786870RED01346286EPC00496999PRD00000001.html</t>
  </si>
  <si>
    <t>http://seattle.entertainment.com/discount/Pizza_Hutreg/coupon/87015719870RED01292285EPC00496999PRD00000001.html</t>
  </si>
  <si>
    <t>http://seattle.entertainment.com/discount/Kidd_Valley/coupon/00300342003RED00000776EPC00496999PRD00000001.html</t>
  </si>
  <si>
    <t>http://seattle.entertainment.com/discount/Subway/coupon/87018786870RED01346329EPC00496999PRD00000001.html</t>
  </si>
  <si>
    <t>http://seattle.entertainment.com/discount/Subway/coupon/87018786870RED01346405EPC00496999PRD00000001.html</t>
  </si>
  <si>
    <t>http://seattle.entertainment.com/discount/The_Frankfurter/coupon/00300137003RED00126054EPC00496999PRD00000001.html</t>
  </si>
  <si>
    <t>http://seattle.entertainment.com/discount/Kidd_Valley/coupon/00300342003RED00000775EPC00496999PRD00000001.html</t>
  </si>
  <si>
    <t>http://seattle.entertainment.com/discount/Subway/coupon/87018786870RED01346494EPC00496999PRD00000001.html</t>
  </si>
  <si>
    <t>http://seattle.entertainment.com/discount/Subway/coupon/87018786870RED01346488EPC00496999PRD00000001.html</t>
  </si>
  <si>
    <t>http://seattle.entertainment.com/discount/Subway/coupon/87018786870RED01346497EPC00496999PRD00000001.html</t>
  </si>
  <si>
    <t>http://seattle.entertainment.com/discount/Village_Yarn__Tea_Shop/coupon/00313763003RED01180261EPC00497999PRD00000001.html</t>
  </si>
  <si>
    <t>http://seattle.entertainment.com/discount/Subway/coupon/87018786870RED01346517EPC00496999PRD00000001.html</t>
  </si>
  <si>
    <t>http://seattle.entertainment.com/discount/ampm/coupon/87017258870RED01322137EPC00496999PRD00000001.html</t>
  </si>
  <si>
    <t>http://seattle.entertainment.com/discount/Pizza_Hutreg/coupon/87015719870RED01292277EPC00496999PRD00000001.html</t>
  </si>
  <si>
    <t>http://seattle.entertainment.com/discount/Sweet_Decadence/coupon/00313424003RED01165291EPC00497999PRD00000001.html</t>
  </si>
  <si>
    <t>http://seattle.entertainment.com/discount/Subway/coupon/87018786870RED01346426EPC00496999PRD00000001.html</t>
  </si>
  <si>
    <t>http://seattle.entertainment.com/discount/Subway/coupon/87018786870RED01346235EPC00496999PRD00000001.html</t>
  </si>
  <si>
    <t>http://seattle.entertainment.com/discount/ampm/coupon/87017258870RED01322128EPC00496999PRD00000001.html</t>
  </si>
  <si>
    <t>http://seattle.entertainment.com/discount/Soul_Food_Books__Cafe/coupon/00313702003RED01179276EPC00497999PRD00000001.html</t>
  </si>
  <si>
    <t>http://seattle.entertainment.com/discount/ampm/coupon/87017258870RED01321869EPC00496999PRD00000001.html</t>
  </si>
  <si>
    <t>http://seattle.entertainment.com/discount/Subway/coupon/87018786870RED01346252EPC00496999PRD00000001.html</t>
  </si>
  <si>
    <t>http://seattle.entertainment.com/discount/ampm/coupon/87017258870RED01322146EPC00496999PRD00000001.html</t>
  </si>
  <si>
    <t>http://seattle.entertainment.com/discount/Everyday_Joe/coupon/00316964003RED01371552EPC00497999PRD00000056.html</t>
  </si>
  <si>
    <t>http://seattle.entertainment.com/discount/Venice_Pizza__Pasta/coupon/00316967003RED01371519EPC00497999PRD00000001.html</t>
  </si>
  <si>
    <t>http://seattle.entertainment.com/discount/Subway/coupon/87018786870RED01346188EPC00496999PRD00000001.html</t>
  </si>
  <si>
    <t>http://seattle.entertainment.com/discount/Subway/coupon/87018786870RED01346210EPC00496999PRD00000001.html</t>
  </si>
  <si>
    <t>http://seattle.entertainment.com/discount/Subway/coupon/87018786870RED01346293EPC00496999PRD00000001.html</t>
  </si>
  <si>
    <t>http://seattle.entertainment.com/discount/Pizza_Hutreg/coupon/87015719870RED01292279EPC00496999PRD00000001.html</t>
  </si>
  <si>
    <t>http://seattle.entertainment.com/discount/Cafe_Village_Espresso/coupon/00309168003RED00917233EPC00496999PRD00000001.html</t>
  </si>
  <si>
    <t>http://seattle.entertainment.com/discount/Subway/coupon/87018786870RED01346239EPC00496999PRD00000001.html</t>
  </si>
  <si>
    <t>http://seattle.entertainment.com/discount/Pizza_Hutreg/coupon/87015719870RED01292293EPC00496999PRD00000001.html</t>
  </si>
  <si>
    <t>http://seattle.entertainment.com/discount/Kidd_Valley/coupon/00300342003RED00433531EPC00496999PRD00000001.html</t>
  </si>
  <si>
    <t>http://seattle.entertainment.com/discount/Great_Harvest_Bread_Co/coupon/00315635003RED01295873EPC00497999PRD00000001.html</t>
  </si>
  <si>
    <t>http://seattle.entertainment.com/discount/Caffe_Ladro/coupon/00315119003RED00868806EPC00496999PRD00000001.html</t>
  </si>
  <si>
    <t>http://seattle.entertainment.com/discount/Dominos/coupon/87016320870RED01362516EPC00496999PRD00000001.html</t>
  </si>
  <si>
    <t>http://seattle.entertainment.com/discount/Pizza_Hutreg/coupon/87015719870RED01291970EPC00496999PRD00000001.html</t>
  </si>
  <si>
    <t>http://seattle.entertainment.com/discount/Pizza_Hutreg/coupon/87015719870RED01291976EPC00496999PRD00000001.html</t>
  </si>
  <si>
    <t>http://seattle.entertainment.com/discount/The_Australian_Pie_Co/coupon/00306263003RED00405593EPC00497999PRD00000001.html</t>
  </si>
  <si>
    <t>http://seattle.entertainment.com/discount/Subway/coupon/87018786870RED01346500EPC00496999PRD00000001.html</t>
  </si>
  <si>
    <t>http://seattle.entertainment.com/discount/Subway/coupon/87018786870RED01346390EPC00496999PRD00000001.html</t>
  </si>
  <si>
    <t>http://seattle.entertainment.com/discount/No_Bull_Saloon/coupon/00313453003RED01167121EPC00497999PRD00000056.html</t>
  </si>
  <si>
    <t>http://seattle.entertainment.com/discount/Subway/coupon/87018786870RED01346425EPC00496999PRD00000001.html</t>
  </si>
  <si>
    <t>http://seattle.entertainment.com/discount/Subway/coupon/87018786870RED01346215EPC00496999PRD00000001.html</t>
  </si>
  <si>
    <t>http://seattle.entertainment.com/discount/ampm/coupon/87017258870RED01321881EPC00496999PRD00000001.html</t>
  </si>
  <si>
    <t>http://seattle.entertainment.com/discount/Subway/coupon/87018786870RED01346420EPC00496999PRD00000001.html</t>
  </si>
  <si>
    <t>http://seattle.entertainment.com/discount/Simply_Fresh_Bakery/coupon/00314712003RED01251277EPC00497999PRD00000001.html</t>
  </si>
  <si>
    <t>http://seattle.entertainment.com/discount/Round_Table_Pizza/coupon/05005445050RED01323583EPC00497999PRD00000001.html</t>
  </si>
  <si>
    <t>http://seattle.entertainment.com/discount/Pizza_Hutreg/coupon/87015719870RED01291975EPC00496999PRD00000001.html</t>
  </si>
  <si>
    <t>http://seattle.entertainment.com/discount/Taqueria_El_Asadero/coupon/00314700003RED01251072EPC00496999PRD00000001.html</t>
  </si>
  <si>
    <t>http://seattle.entertainment.com/discount/Subway/coupon/87018786870RED01346198EPC00496999PRD00000001.html</t>
  </si>
  <si>
    <t>http://seattle.entertainment.com/discount/Pizza_Hutreg/coupon/87015719870RED01291972EPC00496999PRD00000001.html</t>
  </si>
  <si>
    <t>http://seattle.entertainment.com/discount/Subway/coupon/87018786870RED01346411EPC00496999PRD00000001.html</t>
  </si>
  <si>
    <t>http://seattle.entertainment.com/discount/ampm/coupon/87017258870RED01322142EPC00496999PRD00000001.html</t>
  </si>
  <si>
    <t>http://seattle.entertainment.com/discount/Subway/coupon/87018786870RED01346287EPC00496999PRD00000001.html</t>
  </si>
  <si>
    <t>http://seattle.entertainment.com/discount/Subway/coupon/87018786870RED01346419EPC00496999PRD00000001.html</t>
  </si>
  <si>
    <t>http://seattle.entertainment.com/discount/ampm/coupon/87017258870RED01321882EPC00496999PRD00000001.html</t>
  </si>
  <si>
    <t>http://seattle.entertainment.com/discount/ampm/coupon/87017258870RED01321863EPC00496999PRD00000001.html</t>
  </si>
  <si>
    <t>http://seattle.entertainment.com/discount/Liberty_Cafe/coupon/00314651003RED01248223EPC00497999PRD00000001.html</t>
  </si>
  <si>
    <t>http://seattle.entertainment.com/discount/Tot_Spot_Cafe/coupon/00314522003RED01219828EPC00497999PRD00000001.html</t>
  </si>
  <si>
    <t>http://seattle.entertainment.com/discount/Popeyes/coupon/00313208050RED01132854EPC00496999PRD00000001.html</t>
  </si>
  <si>
    <t>http://seattle.entertainment.com/discount/Dominos/coupon/87016320870RED01362555EPC00496999PRD00000001.html</t>
  </si>
  <si>
    <t>http://seattle.entertainment.com/discount/Charleys_Grilled_Subs/coupon/87018818870RED01322578EPC00496999PRD00000001.html</t>
  </si>
  <si>
    <t>http://seattle.entertainment.com/discount/Caffe_Ladro/coupon/00315119003RED00868808EPC00496999PRD00000001.html</t>
  </si>
  <si>
    <t>http://seattle.entertainment.com/discount/Round_Table_Pizza/coupon/05005445003RED01323579EPC00497999PRD00000001.html</t>
  </si>
  <si>
    <t>http://seattle.entertainment.com/discount/Subway/coupon/87018786870RED01346498EPC00496999PRD00000001.html</t>
  </si>
  <si>
    <t>http://seattle.entertainment.com/discount/Uncle_Petezas/coupon/00313550003RED01172908EPC00497999PRD00000056.html</t>
  </si>
  <si>
    <t>http://seattle.entertainment.com/discount/ampm/coupon/87017258870RED01321877EPC00496999PRD00000001.html</t>
  </si>
  <si>
    <t>http://seattle.entertainment.com/discount/Walnut_Street_Coffee/coupon/00312787003RED01101746EPC00497999PRD00000001.html</t>
  </si>
  <si>
    <t>http://seattle.entertainment.com/discount/Subway/coupon/87018786870RED01346214EPC00496999PRD00000001.html</t>
  </si>
  <si>
    <t>http://seattle.entertainment.com/discount/The_Pizza_Man/coupon/00313991003RED01201324EPC00497999PRD00000056.html</t>
  </si>
  <si>
    <t>http://seattle.entertainment.com/discount/ampm/coupon/87017258870RED01322147EPC00496999PRD00000001.html</t>
  </si>
  <si>
    <t>http://seattle.entertainment.com/discount/ampm/coupon/87017258870RED01321864EPC00496999PRD00000001.html</t>
  </si>
  <si>
    <t>http://seattle.entertainment.com/discount/Subway/coupon/87018786870RED01346360EPC00496999PRD00000001.html</t>
  </si>
  <si>
    <t>http://seattle.entertainment.com/discount/Subway/coupon/87018786870RED01346461EPC00496999PRD00000001.html</t>
  </si>
  <si>
    <t>http://seattle.entertainment.com/discount/Maries_Pizza/coupon/00316817003RED01357226EPC00497999PRD00000001.html</t>
  </si>
  <si>
    <t>http://seattle.entertainment.com/discount/Subway/coupon/87018786870RED01346534EPC00496999PRD00000001.html</t>
  </si>
  <si>
    <t>http://seattle.entertainment.com/discount/Wetzels_Pretzels/coupon/01206802012RED01311146EPC00496999PRD00000001.html</t>
  </si>
  <si>
    <t>http://seattle.entertainment.com/discount/Garlic_Jims_Famous_Gourmet_Pizza/coupon/00315833003RED00956523EPC00496999PRD00000001.html</t>
  </si>
  <si>
    <t>http://seattle.entertainment.com/discount/Subway/coupon/87018786870RED01346440EPC00496999PRD00000001.html</t>
  </si>
  <si>
    <t>http://seattle.entertainment.com/discount/Village_Hot_Dog/coupon/00313600003RED01173642EPC00497999PRD00000001.html</t>
  </si>
  <si>
    <t>http://seattle.entertainment.com/discount/Engels_Deli/coupon/00312783003RED01101726EPC00496999PRD00000001.html</t>
  </si>
  <si>
    <t>http://seattle.entertainment.com/discount/Subway/coupon/87018786870RED01346187EPC00496999PRD00000001.html</t>
  </si>
  <si>
    <t>http://seattle.entertainment.com/discount/ampm/coupon/87017258870RED01321876EPC00496999PRD00000001.html</t>
  </si>
  <si>
    <t>http://seattle.entertainment.com/discount/Bensons_Best_Bites/coupon/00314541003RED01245582EPC00496999PRD00000001.html</t>
  </si>
  <si>
    <t>http://seattle.entertainment.com/discount/Subway/coupon/87018786870RED01346183EPC00496999PRD00000001.html</t>
  </si>
  <si>
    <t>http://seattle.entertainment.com/discount/Subway/coupon/87018786870RED01346501EPC00496999PRD00000001.html</t>
  </si>
  <si>
    <t>http://seattle.entertainment.com/discount/Docs_Hideaway_Grill/coupon/00317044003RED01373072EPC00497999PRD00000001.html</t>
  </si>
  <si>
    <t>http://seattle.entertainment.com/discount/Subway/coupon/87018786870RED01346206EPC00496999PRD00000001.html</t>
  </si>
  <si>
    <t>http://seattle.entertainment.com/discount/Aloha_Cafe/coupon/00311249003RED00945383EPC00497999PRD00000001.html</t>
  </si>
  <si>
    <t>http://seattle.entertainment.com/discount/Pizza_Hutreg/coupon/87015719870RED01292292EPC00496999PRD00000001.html</t>
  </si>
  <si>
    <t>http://seattle.entertainment.com/discount/Caffe_Ladro/coupon/00315119003RED01120502EPC00496999PRD00000001.html</t>
  </si>
  <si>
    <t>http://seattle.entertainment.com/discount/ampm/coupon/87017258870RED01322136EPC00496999PRD00000001.html</t>
  </si>
  <si>
    <t>http://seattle.entertainment.com/discount/Subway/coupon/87018786870RED01346374EPC00496999PRD00000001.html</t>
  </si>
  <si>
    <t>http://seattle.entertainment.com/discount/ampm/coupon/87017258870RED01322150EPC00496999PRD00000001.html</t>
  </si>
  <si>
    <t>http://seattle.entertainment.com/discount/ampm/coupon/87017258870RED01321870EPC00496999PRD00000001.html</t>
  </si>
  <si>
    <t>http://seattle.entertainment.com/discount/Subway/coupon/87018786870RED01346345EPC00496999PRD00000001.html</t>
  </si>
  <si>
    <t>http://seattle.entertainment.com/discount/Subway/coupon/87018786870RED01346225EPC00496999PRD00000001.html</t>
  </si>
  <si>
    <t>http://seattle.entertainment.com/discount/Subway/coupon/87018786870RED01346456EPC00496999PRD00000001.html</t>
  </si>
  <si>
    <t>http://seattle.entertainment.com/discount/Pizza_Hutreg/coupon/87015719870RED01291974EPC00496999PRD00000001.html</t>
  </si>
  <si>
    <t>http://seattle.entertainment.com/discount/Subway/coupon/87018786870RED01346490EPC00496999PRD00000001.html</t>
  </si>
  <si>
    <t>http://seattle.entertainment.com/discount/Popeyes_Chicken_and_Biscuits/coupon/00313208003RED01136492EPC00496999PRD00000001.html</t>
  </si>
  <si>
    <t>http://seattle.entertainment.com/discount/Pizza_Hutreg/coupon/87015719870RED01292290EPC00496999PRD00000001.html</t>
  </si>
  <si>
    <t>http://seattle.entertainment.com/discount/Subway/coupon/87018786870RED01346221EPC00496999PRD00000001.html</t>
  </si>
  <si>
    <t>http://seattle.entertainment.com/discount/Subway/coupon/87018786870RED01346394EPC00496999PRD00000001.html</t>
  </si>
  <si>
    <t>http://seattle.entertainment.com/discount/Corner_Coffee_Bar__Caf/coupon/00314206003RED01203107EPC00496999PRD00000001.html</t>
  </si>
  <si>
    <t>http://seattle.entertainment.com/discount/Pizza_Factory/coupon/05004854050RED01246360EPC00496999PRD00000001.html</t>
  </si>
  <si>
    <t>http://seattle.entertainment.com/discount/Subway/coupon/87018786870RED01346338EPC00496999PRD00000001.html</t>
  </si>
  <si>
    <t>http://seattle.entertainment.com/discount/Subway/coupon/87018786870RED01346457EPC00496999PRD00000001.html</t>
  </si>
  <si>
    <t>http://seattle.entertainment.com/discount/Subway/coupon/87018786870RED01346455EPC00496999PRD00000001.html</t>
  </si>
  <si>
    <t>http://seattle.entertainment.com/discount/ampm/coupon/87017258870RED01322139EPC00496999PRD00000001.html</t>
  </si>
  <si>
    <t>http://seattle.entertainment.com/discount/Subway/coupon/87018786870RED01346261EPC00496999PRD00000001.html</t>
  </si>
  <si>
    <t>http://seattle.entertainment.com/discount/Subway/coupon/87018786870RED01346297EPC00496999PRD00000001.html</t>
  </si>
  <si>
    <t>http://seattle.entertainment.com/discount/Subway/coupon/87018786870RED01346499EPC00496999PRD00000001.html</t>
  </si>
  <si>
    <t>http://seattle.entertainment.com/discount/Popeyes_Chicken_and_Biscuits/coupon/00313208003RED01136491EPC00496999PRD00000001.html</t>
  </si>
  <si>
    <t>http://seattle.entertainment.com/discount/Charleys_Grilled_Subs/coupon/87018818870RED01322575EPC00496999PRD00000001.html</t>
  </si>
  <si>
    <t>http://seattle.entertainment.com/discount/Coffee_Oasis/coupon/05005038050RED01268677EPC00497999PRD00000056.html</t>
  </si>
  <si>
    <t>http://seattle.entertainment.com/discount/Double_Wired_Espresso/coupon/00317278003RED01379044EPC00497999PRD00000056.html</t>
  </si>
  <si>
    <t>http://seattle.entertainment.com/discount/Subway/coupon/87018786870RED01346216EPC00496999PRD00000001.html</t>
  </si>
  <si>
    <t>http://seattle.entertainment.com/discount/Subway/coupon/87018786870RED01346323EPC00496999PRD00000001.html</t>
  </si>
  <si>
    <t>http://seattle.entertainment.com/discount/Pizza_Hutreg/coupon/87015719870RED01291977EPC00496999PRD00000001.html</t>
  </si>
  <si>
    <t>http://seattle.entertainment.com/discount/Subway/coupon/87018786870RED01346431EPC00496999PRD00000001.html</t>
  </si>
  <si>
    <t>http://seattle.entertainment.com/discount/Subway/coupon/87018786870RED01346398EPC00496999PRD00000001.html</t>
  </si>
  <si>
    <t>http://seattle.entertainment.com/discount/ampm/coupon/87017258870RED01322153EPC00496999PRD00000001.html</t>
  </si>
  <si>
    <t>http://seattle.entertainment.com/discount/ampm/coupon/87017258870RED01321853EPC00496999PRD00000001.html</t>
  </si>
  <si>
    <t>http://seattle.entertainment.com/discount/Round_Table_Pizza/coupon/05005445003RED01323578EPC00497999PRD00000001.html</t>
  </si>
  <si>
    <t>http://seattle.entertainment.com/discount/Pizza_Factory/coupon/05004854050RED01245538EPC00496999PRD00000001.html</t>
  </si>
  <si>
    <t>http://seattle.entertainment.com/discount/Subway/coupon/87018786870RED01346298EPC00496999PRD00000001.html</t>
  </si>
  <si>
    <t>http://seattle.entertainment.com/discount/Subway/coupon/87018786870RED01346435EPC00496999PRD00000001.html</t>
  </si>
  <si>
    <t>http://seattle.entertainment.com/discount/ampm/coupon/87017258870RED01321873EPC00496999PRD00000001.html</t>
  </si>
  <si>
    <t>http://seattle.entertainment.com/discount/Pizza_Hutreg/coupon/87015719870RED01291973EPC00496999PRD00000001.html</t>
  </si>
  <si>
    <t>http://seattle.entertainment.com/discount/Subway/coupon/87018786870RED01346343EPC00496999PRD00000001.html</t>
  </si>
  <si>
    <t>http://seattle.entertainment.com/discount/ampm/coupon/87017258870RED01322138EPC00496999PRD00000001.html</t>
  </si>
  <si>
    <t>http://seattle.entertainment.com/discount/Subway/coupon/87018786870RED01346182EPC00496999PRD00000001.html</t>
  </si>
  <si>
    <t>http://seattle.entertainment.com/discount/ampm/coupon/87017258870RED01321880EPC00496999PRD00000001.html</t>
  </si>
  <si>
    <t>http://seattle.entertainment.com/discount/Subway/coupon/87018786870RED01346208EPC00496999PRD00000001.html</t>
  </si>
  <si>
    <t>http://seattle.entertainment.com/discount/Subway/coupon/87018786870RED01346196EPC00496999PRD00000001.html</t>
  </si>
  <si>
    <t>http://seattle.entertainment.com/discount/Subway/coupon/87018786870RED01346250EPC00496999PRD00000001.html</t>
  </si>
  <si>
    <t>http://seattle.entertainment.com/discount/Subway/coupon/87018786870RED01346453EPC00496999PRD00000001.html</t>
  </si>
  <si>
    <t>http://seattle.entertainment.com/discount/Snap_Dogs_Diner/coupon/05004910050RED01245998EPC00497999PRD00000056.html</t>
  </si>
  <si>
    <t>http://seattle.entertainment.com/discount/ampm/coupon/87017258870RED01322145EPC00496999PRD00000001.html</t>
  </si>
  <si>
    <t>http://seattle.entertainment.com/discount/ampm/coupon/87017258870RED01321871EPC00496999PRD00000001.html</t>
  </si>
  <si>
    <t>http://seattle.entertainment.com/discount/Subway/coupon/87018786870RED01346229EPC00496999PRD00000001.html</t>
  </si>
  <si>
    <t>http://seattle.entertainment.com/discount/Subway/coupon/87018786870RED01346224EPC00496999PRD00000001.html</t>
  </si>
  <si>
    <t>http://seattle.entertainment.com/discount/Des_Moines_Dog_House/coupon/00310927003RED00936800EPC00496999PRD00000001.html</t>
  </si>
  <si>
    <t>http://seattle.entertainment.com/discount/Pizza_Hutreg/coupon/87015719870RED01291958EPC00496999PRD00000001.html</t>
  </si>
  <si>
    <t>http://seattle.entertainment.com/discount/Subway/coupon/87018786870RED01346175EPC00496999PRD00000001.html</t>
  </si>
  <si>
    <t>http://seattle.entertainment.com/discount/Suzy_Qs_Espresso/coupon/00317002003RED01372058EPC00497999PRD00000001.html</t>
  </si>
  <si>
    <t>http://seattle.entertainment.com/discount/Subway/coupon/87018786870RED01346460EPC00496999PRD00000001.html</t>
  </si>
  <si>
    <t>http://seattle.entertainment.com/discount/ampm/coupon/87017258870RED01321875EPC00496999PRD00000001.html</t>
  </si>
  <si>
    <t>http://seattle.entertainment.com/discount/Something_Delicious_Bakery/coupon/05005820050RED01379567EPC00497999PRD00000001.html</t>
  </si>
  <si>
    <t>http://seattle.entertainment.com/discount/Hope_In_Christ_Ministries__The_Coffee_Oasis/coupon/05005055050RED01265310EPC00497999PRD00000056.html</t>
  </si>
  <si>
    <t>http://seattle.entertainment.com/discount/Subway/coupon/87018786870RED01346337EPC00496999PRD00000001.html</t>
  </si>
  <si>
    <t>http://seattle.entertainment.com/discount/Subway/coupon/87018786870RED01346247EPC00496999PRD00000001.html</t>
  </si>
  <si>
    <t>http://seattle.entertainment.com/discount/Elliott_Bay_Pizza/coupon/00315689003RED01286239EPC00496999PRD00000001.html</t>
  </si>
  <si>
    <t>http://seattle.entertainment.com/discount/Caffe_Ladro/coupon/00315119003RED00938360EPC00496999PRD00000001.html</t>
  </si>
  <si>
    <t>http://seattle.entertainment.com/discount/Subway/coupon/87018786870RED01346513EPC00496999PRD00000001.html</t>
  </si>
  <si>
    <t>http://seattle.entertainment.com/discount/Subway/coupon/87018786870RED01346190EPC00496999PRD00000001.html</t>
  </si>
  <si>
    <t>http://seattle.entertainment.com/discount/Round_Table_Pizza/coupon/05005445003RED01338661EPC00497999PRD00000001.html</t>
  </si>
  <si>
    <t>http://seattle.entertainment.com/discount/Subway/coupon/87018786870RED01346385EPC00496999PRD00000001.html</t>
  </si>
  <si>
    <t>http://seattle.entertainment.com/discount/Pizza_Hutreg/coupon/87015719870RED01291978EPC00496999PRD00000001.html</t>
  </si>
  <si>
    <t>http://seattle.entertainment.com/discount/Subway/coupon/87018786870RED01346253EPC00496999PRD00000001.html</t>
  </si>
  <si>
    <t>http://seattle.entertainment.com/discount/Pizza_Hutreg/coupon/87015719870RED01291971EPC00496999PRD00000001.html</t>
  </si>
  <si>
    <t>http://seattle.entertainment.com/discount/Subway/coupon/87018786870RED01346351EPC00496999PRD00000001.html</t>
  </si>
  <si>
    <t>http://seattle.entertainment.com/discount/Subway/coupon/87018786870RED01346330EPC00496999PRD00000001.html</t>
  </si>
  <si>
    <t>http://seattle.entertainment.com/discount/ampm/coupon/87017258870RED01321874EPC00496999PRD00000001.html</t>
  </si>
  <si>
    <t>http://seattle.entertainment.com/discount/Subway/coupon/87018786870RED01346246EPC00496999PRD00000001.html</t>
  </si>
  <si>
    <t>http://seattle.entertainment.com/discount/Subway/coupon/87018786870RED01346518EPC00496999PRD00000001.html</t>
  </si>
  <si>
    <t>http://seattle.entertainment.com/discount/Christales_Java_Hut/coupon/05004965050RED01263025EPC00497999PRD00000001.html</t>
  </si>
  <si>
    <t>http://seattle.entertainment.com/discount/Subway/coupon/87018786870RED01346194EPC00496999PRD00000001.html</t>
  </si>
  <si>
    <t>http://seattle.entertainment.com/discount/Subway/coupon/87018786870RED01346509EPC00496999PRD00000001.html</t>
  </si>
  <si>
    <t>http://seattle.entertainment.com/discount/ampm/coupon/87017258870RED01321867EPC00496999PRD00000001.html</t>
  </si>
  <si>
    <t>http://seattle.entertainment.com/discount/Cafe_Siena/coupon/05002851050RED00914073EPC00497999PRD00000001.html</t>
  </si>
  <si>
    <t>http://seattle.entertainment.com/discount/Subway/coupon/87018786870RED01346193EPC00496999PRD00000001.html</t>
  </si>
  <si>
    <t>http://seattle.entertainment.com/discount/Subway/coupon/87018786870RED01346299EPC00496999PRD00000001.html</t>
  </si>
  <si>
    <t>http://seattle.entertainment.com/discount/Baskin_Robbins_Cafe_N_Donuts/coupon/05005646050RED01376224EPC00497999PRD00000001.html</t>
  </si>
  <si>
    <t>http://seattle.entertainment.com/discount/Urbia_Fresh_Cafe/coupon/05005622050RED01374876EPC00497999PRD00000001.html</t>
  </si>
  <si>
    <t>http://seattle.entertainment.com/discount/Subway/coupon/87018786870RED01346358EPC00496999PRD00000001.html</t>
  </si>
  <si>
    <t>http://seattle.entertainment.com/discount/Subway/coupon/87018786870RED01346262EPC00496999PRD00000001.html</t>
  </si>
  <si>
    <t>http://seattle.entertainment.com/discount/ampm/coupon/87017258870RED01321821EPC00496999PRD00000001.html</t>
  </si>
  <si>
    <t>http://seattle.entertainment.com/discount/Subway/coupon/87018786870RED01346482EPC00496999PRD00000001.html</t>
  </si>
  <si>
    <t>http://seattle.entertainment.com/discount/Pizza_Hutreg/coupon/87015719870RED01291939EPC00496999PRD00000001.html</t>
  </si>
  <si>
    <t>http://seattle.entertainment.com/discount/Subway/coupon/87018786870RED01346276EPC00496999PRD00000001.html</t>
  </si>
  <si>
    <t>http://seattle.entertainment.com/discount/ampm/coupon/87017258870RED01322154EPC00496999PRD00000001.html</t>
  </si>
  <si>
    <t>http://seattle.entertainment.com/discount/Subway/coupon/87018786870RED01346528EPC00496999PRD00000001.html</t>
  </si>
  <si>
    <t>http://seattle.entertainment.com/discount/ampm/coupon/87017258870RED01321831EPC00496999PRD00000001.html</t>
  </si>
  <si>
    <t>http://seattle.entertainment.com/discount/Pizza_Hutreg/coupon/87015719870RED01292289EPC00496999PRD00000001.html</t>
  </si>
  <si>
    <t>http://seattle.entertainment.com/discount/Seattle_Gold_Coffee/coupon/00313794003RED01183217EPC00496999PRD00000001.html</t>
  </si>
  <si>
    <t>http://seattle.entertainment.com/discount/Subway/coupon/87018786870RED01346356EPC00496999PRD00000001.html</t>
  </si>
  <si>
    <t>http://seattle.entertainment.com/discount/Subway/coupon/87018786870RED01346502EPC00496999PRD00000001.html</t>
  </si>
  <si>
    <t>http://seattle.entertainment.com/discount/Subway/coupon/87018786870RED01346191EPC00496999PRD00000001.html</t>
  </si>
  <si>
    <t>http://seattle.entertainment.com/discount/Julianitos_Mexican_Food/coupon/05005804050RED01379043EPC00497999PRD00000001.html</t>
  </si>
  <si>
    <t>http://seattle.entertainment.com/discount/ampm/coupon/87017258870RED01321854EPC00496999PRD00000001.html</t>
  </si>
  <si>
    <t>http://seattle.entertainment.com/discount/Haleys_Corner_Bakery/coupon/05005766050RED01378361EPC00497999PRD00000001.html</t>
  </si>
  <si>
    <t>http://seattle.entertainment.com/discount/Subway/coupon/87018786870RED01346177EPC00496999PRD00000001.html</t>
  </si>
  <si>
    <t>http://seattle.entertainment.com/discount/ampm/coupon/87017258870RED01321828EPC00496999PRD00000001.html</t>
  </si>
  <si>
    <t>http://seattle.entertainment.com/discount/ampm/coupon/87017258870RED01321872EPC00496999PRD00000001.html</t>
  </si>
  <si>
    <t>http://seattle.entertainment.com/discount/Pizza_Hutreg/coupon/87015719870RED01291942EPC00496999PRD00000001.html</t>
  </si>
  <si>
    <t>http://seattle.entertainment.com/discount/Subway/coupon/87018786870RED01346507EPC00496999PRD00000001.html</t>
  </si>
  <si>
    <t>http://seattle.entertainment.com/discount/Subway/coupon/87018786870RED01346383EPC00496999PRD00000001.html</t>
  </si>
  <si>
    <t>http://seattle.entertainment.com/discount/BaskinRobbins_Ice_Cream/coupon/05004747003RED01197667EPC00496999PRD00000001.html</t>
  </si>
  <si>
    <t>http://seattle.entertainment.com/discount/Subway/coupon/87018786870RED01346336EPC00496999PRD00000001.html</t>
  </si>
  <si>
    <t>http://seattle.entertainment.com/discount/ampm/coupon/87017258870RED01321830EPC00496999PRD00000001.html</t>
  </si>
  <si>
    <t>http://seattle.entertainment.com/discount/Pizza_Hutreg/coupon/87015719870RED01291951EPC00496999PRD00000001.html</t>
  </si>
  <si>
    <t>http://seattle.entertainment.com/discount/Subway/coupon/87018786870RED01346340EPC00496999PRD00000001.html</t>
  </si>
  <si>
    <t>http://seattle.entertainment.com/discount/Subway/coupon/87018786870RED01346179EPC00496999PRD00000001.html</t>
  </si>
  <si>
    <t>http://seattle.entertainment.com/discount/ampm/coupon/87017258870RED01321823EPC00496999PRD00000001.html</t>
  </si>
  <si>
    <t>http://seattle.entertainment.com/discount/Subway/coupon/87018786870RED01346512EPC00496999PRD00000001.html</t>
  </si>
  <si>
    <t>http://seattle.entertainment.com/discount/Subway/coupon/87018786870RED01346294EPC00496999PRD00000001.html</t>
  </si>
  <si>
    <t>http://seattle.entertainment.com/discount/Pizza_Hutreg/coupon/87015719870RED01291980EPC00496999PRD00000001.html</t>
  </si>
  <si>
    <t>http://seattle.entertainment.com/discount/ampm/coupon/87017258870RED01321822EPC00496999PRD00000001.html</t>
  </si>
  <si>
    <t>http://seattle.entertainment.com/discount/ampm/coupon/87017258870RED01321879EPC00496999PRD00000001.html</t>
  </si>
  <si>
    <t>http://seattle.entertainment.com/discount/Los_Bigotes_De_Villa_Taqueria/coupon/05005616050RED01370930EPC00497999PRD00000056.html</t>
  </si>
  <si>
    <t>http://seattle.entertainment.com/discount/ampm/coupon/87017258870RED01321826EPC00496999PRD00000001.html</t>
  </si>
  <si>
    <t>http://seattle.entertainment.com/discount/Subway/coupon/87018786870RED01346432EPC00496999PRD00000001.html</t>
  </si>
  <si>
    <t>http://seattle.entertainment.com/discount/Subway/coupon/87018786870RED01346472EPC00496999PRD00000001.html</t>
  </si>
  <si>
    <t>http://seattle.entertainment.com/discount/Garlic_Jims_Famous_Gourmet_Pizza/coupon/00315833003RED00901102EPC00496999PRD00000001.html</t>
  </si>
  <si>
    <t>http://seattle.entertainment.com/discount/Pizza_Hutreg/coupon/87015719870RED01291979EPC00496999PRD00000001.html</t>
  </si>
  <si>
    <t>http://seattle.entertainment.com/discount/Subway/coupon/87018786870RED01346478EPC00496999PRD00000001.html</t>
  </si>
  <si>
    <t>http://seattle.entertainment.com/discount/Subway/coupon/87018786870RED01346339EPC00496999PRD00000001.html</t>
  </si>
  <si>
    <t>http://seattle.entertainment.com/discount/Subway/coupon/87018786870RED01346271EPC00496999PRD00000001.html</t>
  </si>
  <si>
    <t>http://seattle.entertainment.com/discount/ampm/coupon/87017258870RED01321837EPC00496999PRD00000001.html</t>
  </si>
  <si>
    <t>http://seattle.entertainment.com/discount/ampm/coupon/87017258870RED01321878EPC00496999PRD00000001.html</t>
  </si>
  <si>
    <t>http://seattle.entertainment.com/discount/Marble_Slab_Creamery/coupon/05002787050RED00912620EPC00497999PRD00000056.html</t>
  </si>
  <si>
    <t>http://seattle.entertainment.com/discount/Great_Harvest_Bread_Co/coupon/00315633003RED01295870EPC00496999PRD00000001.html</t>
  </si>
  <si>
    <t>http://seattle.entertainment.com/discount/Subway/coupon/87018786870RED01346205EPC00496999PRD00000001.html</t>
  </si>
  <si>
    <t>http://seattle.entertainment.com/discount/ampm/coupon/87017258870RED01321866EPC00496999PRD00000001.html</t>
  </si>
  <si>
    <t>http://seattle.entertainment.com/discount/Subway/coupon/87018786870RED01346377EPC00496999PRD00000001.html</t>
  </si>
  <si>
    <t>http://seattle.entertainment.com/discount/Mukilteo_Chocolate_Co/coupon/00316286003RED01323563EPC00497999PRD00000001.html</t>
  </si>
  <si>
    <t>http://seattle.entertainment.com/discount/Gyros_House/coupon/00307987003RED00784163EPC00497999PRD00000001.html</t>
  </si>
  <si>
    <t>http://seattle.entertainment.com/discount/ampm/coupon/87017258870RED01321868EPC00496999PRD00000001.html</t>
  </si>
  <si>
    <t>http://seattle.entertainment.com/discount/Subway/coupon/87018786870RED01346399EPC00496999PRD00000001.html</t>
  </si>
  <si>
    <t>http://seattle.entertainment.com/discount/Subway/coupon/87018786870RED01346413EPC00496999PRD00000001.html</t>
  </si>
  <si>
    <t>http://seattle.entertainment.com/discount/Wienerschnitzel/coupon/00308356003RED00875430EPC00496999PRD00000001.html</t>
  </si>
  <si>
    <t>http://seattle.entertainment.com/discount/Java_Inn_Coffee_Roaster/coupon/00316739003RED01352706EPC00497999PRD00000001.html</t>
  </si>
  <si>
    <t>http://seattle.entertainment.com/discount/Subway/coupon/87018786870RED01346516EPC00496999PRD00000001.html</t>
  </si>
  <si>
    <t>http://seattle.entertainment.com/discount/Subway/coupon/87018786870RED01346527EPC00496999PRD00000001.html</t>
  </si>
  <si>
    <t>http://seattle.entertainment.com/discount/Manifesto_Espresso/coupon/00316768003RED01355182EPC00497999PRD00000001.html</t>
  </si>
  <si>
    <t>http://seattle.entertainment.com/discount/Subway/coupon/87018786870RED01346184EPC00496999PRD00000001.html</t>
  </si>
  <si>
    <t>http://seattle.entertainment.com/discount/Tolino_Coffee/coupon/05005601050RED01367406EPC00497999PRD00000056.html</t>
  </si>
  <si>
    <t>http://seattle.entertainment.com/discount/ampm/coupon/87017258870RED01321827EPC00496999PRD00000001.html</t>
  </si>
  <si>
    <t>http://seattle.entertainment.com/discount/Subway/coupon/87018786870RED01346199EPC00496999PRD00000001.html</t>
  </si>
  <si>
    <t>http://seattle.entertainment.com/discount/Subway/coupon/87018786870RED01346240EPC00496999PRD00000001.html</t>
  </si>
  <si>
    <t>http://seattle.entertainment.com/discount/Subway/coupon/87018786870RED01346530EPC00496999PRD00000001.html</t>
  </si>
  <si>
    <t>http://seattle.entertainment.com/discount/Subway/coupon/87018786870RED01346495EPC00496999PRD00000001.html</t>
  </si>
  <si>
    <t>http://seattle.entertainment.com/discount/Pizza_Hutreg/coupon/87015719870RED01291941EPC00496999PRD00000001.html</t>
  </si>
  <si>
    <t>http://seattle.entertainment.com/discount/Subway/coupon/87018786870RED01346313EPC00496999PRD00000001.html</t>
  </si>
  <si>
    <t>http://seattle.entertainment.com/discount/Subway/coupon/87018786870RED01346217EPC00496999PRD00000001.html</t>
  </si>
  <si>
    <t>http://seattle.entertainment.com/discount/Subway/coupon/87018786870RED01346458EPC00496999PRD00000001.html</t>
  </si>
  <si>
    <t>http://seattle.entertainment.com/discount/Subway/coupon/87018786870RED01346433EPC00496999PRD00000001.html</t>
  </si>
  <si>
    <t>http://seattle.entertainment.com/discount/Subway/coupon/87018786870RED01346227EPC00496999PRD00000001.html</t>
  </si>
  <si>
    <t>http://seattle.entertainment.com/discount/The_Great_Steak__Potato_Co/coupon/87014829870RED01276887EPC00496999PRD00000001.html</t>
  </si>
  <si>
    <t>http://seattle.entertainment.com/discount/ampm/coupon/87017258870RED01321829EPC00496999PRD00000001.html</t>
  </si>
  <si>
    <t>http://seattle.entertainment.com/discount/Subway/coupon/87018786870RED01346243EPC00496999PRD00000001.html</t>
  </si>
  <si>
    <t>http://seattle.entertainment.com/discount/Subway/coupon/87018786870RED01346244EPC00496999PRD00000001.html</t>
  </si>
  <si>
    <t>http://seattle.entertainment.com/discount/Popeyes/coupon/00313208050RED00139064EPC00496999PRD00000001.html</t>
  </si>
  <si>
    <t>http://seattle.entertainment.com/discount/Pizza_Hutreg/coupon/87015719870RED01291969EPC00496999PRD00000001.html</t>
  </si>
  <si>
    <t>http://seattle.entertainment.com/discount/Subway/coupon/87018786870RED01346312EPC00496999PRD00000001.html</t>
  </si>
  <si>
    <t>http://seattle.entertainment.com/discount/ampm/coupon/87017258870RED01321820EPC00496999PRD00000001.html</t>
  </si>
  <si>
    <t>http://seattle.entertainment.com/discount/Pizza_Hutreg/coupon/87015719870RED01291952EPC00496999PRD00000001.html</t>
  </si>
  <si>
    <t>http://seattle.entertainment.com/discount/Serious_Soul_Food/coupon/05005589050RED01367404EPC00497999PRD00000056.html</t>
  </si>
  <si>
    <t>http://seattle.entertainment.com/discount/Subway/coupon/87018786870RED01346515EPC00496999PRD00000001.html</t>
  </si>
  <si>
    <t>http://seattle.entertainment.com/discount/Subway/coupon/87018786870RED01346326EPC00496999PRD00000001.html</t>
  </si>
  <si>
    <t>http://seattle.entertainment.com/discount/Subway/coupon/87018786870RED01346510EPC00496999PRD00000001.html</t>
  </si>
  <si>
    <t>http://seattle.entertainment.com/discount/ampm/coupon/87017258870RED01321865EPC00496999PRD00000001.html</t>
  </si>
  <si>
    <t>http://seattle.entertainment.com/discount/Bobs_Pier__Bobs_Pier/coupon/05005794050RED01376958EPC00497999PRD00000056.html</t>
  </si>
  <si>
    <t>http://seattle.entertainment.com/discount/Subway/coupon/87018786870RED01346395EPC00496999PRD00000001.html</t>
  </si>
  <si>
    <t>http://seattle.entertainment.com/discount/The_Coffee_Corral/coupon/00305592003RED00817050EPC00497999PRD00000001.html</t>
  </si>
  <si>
    <t>http://seattle.entertainment.com/discount/Round_Table_Pizza/coupon/05005445050RED01333493EPC00497999PRD00000001.html</t>
  </si>
  <si>
    <t>http://seattle.entertainment.com/discount/Subway/coupon/87018786870RED01346463EPC00496999PRD00000001.html</t>
  </si>
  <si>
    <t>http://seattle.entertainment.com/discount/ampm/coupon/87017258870RED01321848EPC00496999PRD00000001.html</t>
  </si>
  <si>
    <t>http://seattle.entertainment.com/discount/Subway/coupon/87018786870RED01346291EPC00496999PRD00000001.html</t>
  </si>
  <si>
    <t>http://seattle.entertainment.com/discount/Subway/coupon/87018786870RED01346218EPC00496999PRD00000001.html</t>
  </si>
  <si>
    <t>http://seattle.entertainment.com/discount/Subway/coupon/87018786870RED01346441EPC00496999PRD00000001.html</t>
  </si>
  <si>
    <t>http://seattle.entertainment.com/discount/Subway/coupon/87018786870RED01346354EPC00496999PRD00000001.html</t>
  </si>
  <si>
    <t>http://seattle.entertainment.com/discount/ampm/coupon/87017258870RED01321824EPC00496999PRD00000001.html</t>
  </si>
  <si>
    <t>http://seattle.entertainment.com/discount/Subway/coupon/87018786870RED01346284EPC00496999PRD00000001.html</t>
  </si>
  <si>
    <t>http://seattle.entertainment.com/discount/Subway/coupon/87018786870RED01346428EPC00496999PRD00000001.html</t>
  </si>
  <si>
    <t>http://seattle.entertainment.com/discount/Infinite_Soups/coupon/05005682050RED01375054EPC00497999PRD00000056.html</t>
  </si>
  <si>
    <t>http://seattle.entertainment.com/discount/Round_Table_Pizza/coupon/05005445050RED01324316EPC00497999PRD00000001.html</t>
  </si>
  <si>
    <t>http://seattle.entertainment.com/discount/Infinite_Soups/coupon/05005682050RED01375055EPC00497999PRD00000056.html</t>
  </si>
  <si>
    <t>http://seattle.entertainment.com/discount/Pizza_Hutreg/coupon/87015719870RED01291953EPC00496999PRD00000001.html</t>
  </si>
  <si>
    <t>http://seattle.entertainment.com/discount/Subway/coupon/87018786870RED01346181EPC00496999PRD00000001.html</t>
  </si>
  <si>
    <t>http://seattle.entertainment.com/discount/Subway/coupon/87018786870RED01346273EPC00496999PRD00000001.html</t>
  </si>
  <si>
    <t>http://seattle.entertainment.com/discount/Shakabrah/coupon/05005898050RED01378925EPC00497999PRD00000056.html</t>
  </si>
  <si>
    <t>http://seattle.entertainment.com/discount/Subway/coupon/87018786870RED01346403EPC00496999PRD00000001.html</t>
  </si>
  <si>
    <t>http://seattle.entertainment.com/discount/Subway/coupon/87018786870RED01346282EPC00496999PRD00000001.html</t>
  </si>
  <si>
    <t>http://seattle.entertainment.com/discount/Mocha_Java_Central/coupon/05002946050RED00918888EPC00497999PRD00000056.html</t>
  </si>
  <si>
    <t>http://seattle.entertainment.com/discount/Subway/coupon/87018786870RED01346257EPC00496999PRD00000001.html</t>
  </si>
  <si>
    <t>http://seattle.entertainment.com/discount/New_York_Stone_Pizza__Sandwiches/coupon/00314183003RED01212271EPC00496999PRD00000001.html</t>
  </si>
  <si>
    <t>http://seattle.entertainment.com/discount/Subway/coupon/87018786870RED01346200EPC00496999PRD00000001.html</t>
  </si>
  <si>
    <t>http://seattle.entertainment.com/discount/ampm/coupon/87017258870RED01321838EPC00496999PRD00000001.html</t>
  </si>
  <si>
    <t>http://seattle.entertainment.com/discount/ampm/coupon/87017258870RED01321849EPC00496999PRD00000001.html</t>
  </si>
  <si>
    <t>http://seattle.entertainment.com/discount/Subway/coupon/87018786870RED01346346EPC00496999PRD00000001.html</t>
  </si>
  <si>
    <t>http://seattle.entertainment.com/discount/Pizza_Hutreg/coupon/87015719870RED01291964EPC00496999PRD00000001.html</t>
  </si>
  <si>
    <t>http://seattle.entertainment.com/discount/ampm/coupon/87017258870RED01321835EPC00496999PRD00000001.html</t>
  </si>
  <si>
    <t>http://seattle.entertainment.com/discount/Subway/coupon/87018786870RED01346251EPC00496999PRD00000001.html</t>
  </si>
  <si>
    <t>http://seattle.entertainment.com/discount/Emerald_City_Smoothie/coupon/87017073870RED01301345EPC00496999PRD00000001.html</t>
  </si>
  <si>
    <t>http://seattle.entertainment.com/discount/Popeyes/coupon/00313208050RED01132853EPC00496999PRD00000001.html</t>
  </si>
  <si>
    <t>http://seattle.entertainment.com/discount/Subway/coupon/87018786870RED01346449EPC00496999PRD00000001.html</t>
  </si>
  <si>
    <t>http://seattle.entertainment.com/discount/Subway/coupon/87018786870RED01346342EPC00496999PRD00000001.html</t>
  </si>
  <si>
    <t>http://seattle.entertainment.com/discount/Subway/coupon/87018786870RED01346409EPC00496999PRD00000001.html</t>
  </si>
  <si>
    <t>http://seattle.entertainment.com/discount/Harrys_Pizza_Parlor/coupon/00317416003RED01378870EPC00497999PRD00000056.html</t>
  </si>
  <si>
    <t>http://seattle.entertainment.com/discount/Subway/coupon/87018786870RED01346504EPC00496999PRD00000001.html</t>
  </si>
  <si>
    <t>http://seattle.entertainment.com/discount/Subway/coupon/87018786870RED01346288EPC00496999PRD00000001.html</t>
  </si>
  <si>
    <t>http://seattle.entertainment.com/discount/Subway/coupon/87018786870RED01346268EPC00496999PRD00000001.html</t>
  </si>
  <si>
    <t>http://seattle.entertainment.com/discount/Pizza_Hutreg/coupon/87015719870RED01291943EPC00496999PRD00000001.html</t>
  </si>
  <si>
    <t>http://seattle.entertainment.com/discount/Subway/coupon/87018786870RED01346520EPC00496999PRD00000001.html</t>
  </si>
  <si>
    <t>http://seattle.entertainment.com/discount/Subway/coupon/87018786870RED01346541EPC00496999PRD00000001.html</t>
  </si>
  <si>
    <t>http://seattle.entertainment.com/discount/Subway/coupon/87018786870RED01346475EPC00496999PRD00000001.html</t>
  </si>
  <si>
    <t>http://seattle.entertainment.com/discount/Espresso_Yourself/coupon/05002952050RED00918902EPC00497999PRD00000056.html</t>
  </si>
  <si>
    <t>http://seattle.entertainment.com/discount/Wheelz_Skate_Arena/coupon/05005559050RED01355225EPC00497999PRD00000056.html</t>
  </si>
  <si>
    <t>http://seattle.entertainment.com/discount/ampm/coupon/87017258870RED01321857EPC00496999PRD00000001.html</t>
  </si>
  <si>
    <t>http://seattle.entertainment.com/discount/Subway/coupon/87018786870RED01346223EPC00496999PRD00000001.html</t>
  </si>
  <si>
    <t>http://seattle.entertainment.com/discount/Docs_Dream_Cafe/coupon/00314096003RED01206149EPC00496999PRD00000001.html</t>
  </si>
  <si>
    <t>http://seattle.entertainment.com/discount/Subway/coupon/87018786870RED01346407EPC00496999PRD00000001.html</t>
  </si>
  <si>
    <t>http://seattle.entertainment.com/discount/Round_Table_Pizza/coupon/05005445050RED01324317EPC00497999PRD00000001.html</t>
  </si>
  <si>
    <t>http://seattle.entertainment.com/discount/ampm/coupon/87017258870RED01321832EPC00496999PRD00000001.html</t>
  </si>
  <si>
    <t>http://seattle.entertainment.com/discount/Pizza_Hutreg/coupon/87015719870RED01291955EPC00496999PRD00000001.html</t>
  </si>
  <si>
    <t>http://seattle.entertainment.com/discount/Subway/coupon/87018786870RED01346230EPC00496999PRD00000001.html</t>
  </si>
  <si>
    <t>http://seattle.entertainment.com/discount/Subway/coupon/87018786870RED01346388EPC00496999PRD00000001.html</t>
  </si>
  <si>
    <t>http://seattle.entertainment.com/discount/Subway/coupon/87018786870RED01346524EPC00496999PRD00000001.html</t>
  </si>
  <si>
    <t>http://seattle.entertainment.com/discount/Pizza_Hutreg/coupon/87015719870RED01291959EPC00496999PRD00000001.html</t>
  </si>
  <si>
    <t>http://seattle.entertainment.com/discount/Pizza_Hutreg/coupon/87015719870RED01291954EPC00496999PRD00000001.html</t>
  </si>
  <si>
    <t>http://seattle.entertainment.com/discount/Subway/coupon/87018786870RED01346539EPC00496999PRD00000001.html</t>
  </si>
  <si>
    <t>http://seattle.entertainment.com/discount/Subway/coupon/87018786870RED01346275EPC00496999PRD00000001.html</t>
  </si>
  <si>
    <t>http://seattle.entertainment.com/discount/Lindseys_Lattes/coupon/00316898003RED01371098EPC00497999PRD00000056.html</t>
  </si>
  <si>
    <t>http://seattle.entertainment.com/discount/Subway/coupon/87018786870RED01346408EPC00496999PRD00000001.html</t>
  </si>
  <si>
    <t>http://seattle.entertainment.com/discount/Subway/coupon/87018786870RED01346290EPC00496999PRD00000001.html</t>
  </si>
  <si>
    <t>http://seattle.entertainment.com/discount/Subway/coupon/87018786870RED01346476EPC00496999PRD00000001.html</t>
  </si>
  <si>
    <t>http://seattle.entertainment.com/discount/Subway/coupon/87018786870RED01346489EPC00496999PRD00000001.html</t>
  </si>
  <si>
    <t>http://seattle.entertainment.com/discount/Subway/coupon/87018786870RED01346267EPC00496999PRD00000001.html</t>
  </si>
  <si>
    <t>http://seattle.entertainment.com/discount/ampm/coupon/87017258870RED01321845EPC00496999PRD00000001.html</t>
  </si>
  <si>
    <t>http://seattle.entertainment.com/discount/Subway/coupon/87018786870RED01346434EPC00496999PRD00000001.html</t>
  </si>
  <si>
    <t>http://seattle.entertainment.com/discount/Subway/coupon/87018786870RED01346295EPC00496999PRD00000001.html</t>
  </si>
  <si>
    <t>http://seattle.entertainment.com/discount/Subway/coupon/87018786870RED01346540EPC00496999PRD00000001.html</t>
  </si>
  <si>
    <t>http://seattle.entertainment.com/discount/ampm/coupon/87017258870RED01321825EPC00496999PRD00000001.html</t>
  </si>
  <si>
    <t>http://seattle.entertainment.com/discount/Subway/coupon/87018786870RED01346334EPC00496999PRD00000001.html</t>
  </si>
  <si>
    <t>http://seattle.entertainment.com/discount/Subway/coupon/87018786870RED01346307EPC00496999PRD00000001.html</t>
  </si>
  <si>
    <t>http://seattle.entertainment.com/discount/ampm/coupon/87017258870RED01321862EPC00496999PRD00000001.html</t>
  </si>
  <si>
    <t>http://seattle.entertainment.com/discount/Stephs_Pizza/coupon/05004469050RED01163427EPC00497999PRD00000056.html</t>
  </si>
  <si>
    <t>http://seattle.entertainment.com/discount/Subway/coupon/87018786870RED01346302EPC00496999PRD00000001.html</t>
  </si>
  <si>
    <t>http://seattle.entertainment.com/discount/Pizza_Hutreg/coupon/87015719870RED01291948EPC00496999PRD00000001.html</t>
  </si>
  <si>
    <t>http://seattle.entertainment.com/discount/Bagel_Boyz_Bistro/coupon/05004827050RED01246188EPC00497999PRD00000056.html</t>
  </si>
  <si>
    <t>http://seattle.entertainment.com/discount/Pioneer_Bakery/coupon/05005092050RED01274613EPC00497999PRD00000056.html</t>
  </si>
  <si>
    <t>http://seattle.entertainment.com/discount/Caffe_Sorelle/coupon/05005693050RED01377773EPC00497999PRD00000056.html</t>
  </si>
  <si>
    <t>http://seattle.entertainment.com/discount/Subway/coupon/87018786870RED01346471EPC00496999PRD00000001.html</t>
  </si>
  <si>
    <t>http://seattle.entertainment.com/discount/BaskinRobbinsreg_Ice_Cream/coupon/05004755050RED01377739EPC00496999PRD00000001.html</t>
  </si>
  <si>
    <t>http://seattle.entertainment.com/discount/Subway/coupon/87018786870RED01346384EPC00496999PRD00000001.html</t>
  </si>
  <si>
    <t>http://seattle.entertainment.com/discount/Subway/coupon/87018786870RED01346423EPC00496999PRD00000001.html</t>
  </si>
  <si>
    <t>http://seattle.entertainment.com/discount/Subway/coupon/87018786870RED01346349EPC00496999PRD00000001.html</t>
  </si>
  <si>
    <t>http://seattle.entertainment.com/discount/Popeyes/coupon/00313208050RED00718383EPC00496999PRD00000001.html</t>
  </si>
  <si>
    <t>http://seattle.entertainment.com/discount/Subway/coupon/87018786870RED01346462EPC00496999PRD00000001.html</t>
  </si>
  <si>
    <t>http://seattle.entertainment.com/discount/Subway/coupon/87018786870RED01346344EPC00496999PRD00000001.html</t>
  </si>
  <si>
    <t>http://seattle.entertainment.com/discount/Pizza_Hutreg/coupon/87015719870RED01291940EPC00496999PRD00000001.html</t>
  </si>
  <si>
    <t>http://seattle.entertainment.com/discount/Round_Table_Pizza/coupon/05005445050RED01324315EPC00497999PRD00000001.html</t>
  </si>
  <si>
    <t>http://seattle.entertainment.com/discount/Subway/coupon/87018786870RED01346450EPC00496999PRD00000001.html</t>
  </si>
  <si>
    <t>http://seattle.entertainment.com/discount/ampm/coupon/87017258870RED01321841EPC00496999PRD00000001.html</t>
  </si>
  <si>
    <t>http://seattle.entertainment.com/discount/ampm/coupon/87017258870RED01321847EPC00496999PRD00000001.html</t>
  </si>
  <si>
    <t>http://seattle.entertainment.com/discount/Subway/coupon/87018786870RED01346447EPC00496999PRD00000001.html</t>
  </si>
  <si>
    <t>http://seattle.entertainment.com/discount/Subway/coupon/87018786870RED01346308EPC00496999PRD00000001.html</t>
  </si>
  <si>
    <t>http://seattle.entertainment.com/discount/Subway/coupon/87018786870RED01346396EPC00496999PRD00000001.html</t>
  </si>
  <si>
    <t>http://seattle.entertainment.com/discount/Subway/coupon/87018786870RED01346195EPC00496999PRD00000001.html</t>
  </si>
  <si>
    <t>http://seattle.entertainment.com/discount/ampm/coupon/87017258870RED01321855EPC00496999PRD00000001.html</t>
  </si>
  <si>
    <t>http://seattle.entertainment.com/discount/Subway/coupon/87018786870RED01346452EPC00496999PRD00000001.html</t>
  </si>
  <si>
    <t>http://seattle.entertainment.com/discount/Subway/coupon/87018786870RED01346207EPC00496999PRD00000001.html</t>
  </si>
  <si>
    <t>http://seattle.entertainment.com/discount/Pizza_Hutreg/coupon/87015719870RED01291956EPC00496999PRD00000001.html</t>
  </si>
  <si>
    <t>http://seattle.entertainment.com/discount/Pizza_Hutreg/coupon/87015719870RED01291961EPC00496999PRD00000001.html</t>
  </si>
  <si>
    <t>http://seattle.entertainment.com/discount/Caffe_Adamo/coupon/05004812050RED01245446EPC00497999PRD00000056.html</t>
  </si>
  <si>
    <t>http://seattle.entertainment.com/discount/Subway/coupon/87018786870RED01346397EPC00496999PRD00000001.html</t>
  </si>
  <si>
    <t>http://seattle.entertainment.com/discount/The_Great_Steak__Potato_Co/coupon/87014829870RED01276880EPC00496999PRD00000001.html</t>
  </si>
  <si>
    <t>http://seattle.entertainment.com/discount/ampm/coupon/87017258870RED01321851EPC00496999PRD00000001.html</t>
  </si>
  <si>
    <t>http://seattle.entertainment.com/discount/Subway/coupon/87018786870RED01346242EPC00496999PRD00000001.html</t>
  </si>
  <si>
    <t>http://seattle.entertainment.com/discount/Subway/coupon/87018786870RED01346464EPC00496999PRD00000001.html</t>
  </si>
  <si>
    <t>http://seattle.entertainment.com/discount/Pizza_Hutreg/coupon/87015719870RED01291960EPC00496999PRD00000001.html</t>
  </si>
  <si>
    <t>http://seattle.entertainment.com/discount/AWreg_All_American_Foodreg/coupon/87015741870RED01289037EPC00496999PRD00000001.html</t>
  </si>
  <si>
    <t>http://seattle.entertainment.com/discount/Subway/coupon/87018786870RED01346226EPC00496999PRD00000001.html</t>
  </si>
  <si>
    <t>http://seattle.entertainment.com/discount/Subway/coupon/87018786870RED01346232EPC00496999PRD00000001.html</t>
  </si>
  <si>
    <t>http://seattle.entertainment.com/discount/Subway/coupon/87018786870RED01346427EPC00496999PRD00000001.html</t>
  </si>
  <si>
    <t>http://seattle.entertainment.com/discount/Subway/coupon/87018786870RED01346277EPC00496999PRD00000001.html</t>
  </si>
  <si>
    <t>http://seattle.entertainment.com/discount/ampm/coupon/87017258870RED01321860EPC00496999PRD00000001.html</t>
  </si>
  <si>
    <t>http://seattle.entertainment.com/discount/Subway/coupon/87018786870RED01346454EPC00496999PRD00000001.html</t>
  </si>
  <si>
    <t>http://seattle.entertainment.com/discount/Subway/coupon/87018786870RED01346213EPC00496999PRD00000001.html</t>
  </si>
  <si>
    <t>http://seattle.entertainment.com/discount/Pizza_Time/coupon/97001974970RED01208208EPC00497999PRD00000001.html</t>
  </si>
  <si>
    <t>http://seattle.entertainment.com/discount/Subway/coupon/87018786870RED01346533EPC00496999PRD00000001.html</t>
  </si>
  <si>
    <t>http://seattle.entertainment.com/discount/Deli_at_Marysville_Shell/coupon/97002551970RED01374292EPC00497999PRD00000056.html</t>
  </si>
  <si>
    <t>http://seattle.entertainment.com/discount/ampm/coupon/87017258870RED01321852EPC00496999PRD00000001.html</t>
  </si>
  <si>
    <t>http://seattle.entertainment.com/discount/Pizza_Hutreg/coupon/87015719870RED01291945EPC00496999PRD00000001.html</t>
  </si>
  <si>
    <t>http://seattle.entertainment.com/discount/Old_99_Espresso/coupon/97001466970RED00918845EPC00497999PRD00000001.html</t>
  </si>
  <si>
    <t>http://seattle.entertainment.com/discount/Pizza_Hutreg/coupon/87015719870RED01291950EPC00496999PRD00000001.html</t>
  </si>
  <si>
    <t>http://seattle.entertainment.com/discount/Steilacoom_Pub__Grill/coupon/00316865003RED01357323EPC00497999PRD00000001.html</t>
  </si>
  <si>
    <t>http://seattle.entertainment.com/discount/Espresso_by_the_bay/coupon/05005575050RED01357265EPC00497999PRD00000056.html</t>
  </si>
  <si>
    <t>http://seattle.entertainment.com/discount/ampm/coupon/87017258870RED01321846EPC00496999PRD00000001.html</t>
  </si>
  <si>
    <t>http://seattle.entertainment.com/discount/Subway/coupon/87018786870RED01346315EPC00496999PRD00000001.html</t>
  </si>
  <si>
    <t>http://seattle.entertainment.com/discount/Pizza_Hutreg/coupon/87015719870RED01291962EPC00496999PRD00000001.html</t>
  </si>
  <si>
    <t>http://seattle.entertainment.com/discount/PJs_Espresso/coupon/00315051003RED01273498EPC00497999PRD00000001.html</t>
  </si>
  <si>
    <t>http://seattle.entertainment.com/discount/Subway/coupon/87018786870RED01346367EPC00496999PRD00000001.html</t>
  </si>
  <si>
    <t>http://seattle.entertainment.com/discount/Subway/coupon/87018786870RED01346446EPC00496999PRD00000001.html</t>
  </si>
  <si>
    <t>http://seattle.entertainment.com/discount/AWreg_All_American_Foodreg/coupon/87015705870RED01289034EPC00496999PRD00000001.html</t>
  </si>
  <si>
    <t>http://seattle.entertainment.com/discount/Pizza_Hutreg/coupon/87015719870RED01291947EPC00496999PRD00000001.html</t>
  </si>
  <si>
    <t>http://seattle.entertainment.com/discount/Main_Street_Coffee_House/coupon/05005686050RED01375703EPC00497999PRD00000056.html</t>
  </si>
  <si>
    <t>http://seattle.entertainment.com/discount/Subway/coupon/87018786870RED01346402EPC00496999PRD00000001.html</t>
  </si>
  <si>
    <t>http://seattle.entertainment.com/discount/Subway/coupon/87018786870RED01346439EPC00496999PRD00000001.html</t>
  </si>
  <si>
    <t>http://seattle.entertainment.com/discount/Rainier_Pizza/coupon/05004947050RED01263902EPC00497999PRD00000056.html</t>
  </si>
  <si>
    <t>http://seattle.entertainment.com/discount/Round_Table_Pizza/coupon/05005445050RED01323582EPC00497999PRD00000001.html</t>
  </si>
  <si>
    <t>http://seattle.entertainment.com/discount/Subway/coupon/87018786870RED01346280EPC00496999PRD00000001.html</t>
  </si>
  <si>
    <t>http://seattle.entertainment.com/discount/Subway/coupon/87018786870RED01346222EPC00496999PRD00000001.html</t>
  </si>
  <si>
    <t>http://seattle.entertainment.com/discount/Popeyes_Chicken_and_Biscuits/coupon/00313208003RED01136490EPC00496999PRD00000001.html</t>
  </si>
  <si>
    <t>http://seattle.entertainment.com/discount/Subway/coupon/87018786870RED01346511EPC00496999PRD00000001.html</t>
  </si>
  <si>
    <t>http://seattle.entertainment.com/discount/Pizza_Hutreg/coupon/87015719870RED01291944EPC00496999PRD00000001.html</t>
  </si>
  <si>
    <t>http://seattle.entertainment.com/discount/Pizza_Hutreg/coupon/87015719870RED01291957EPC00496999PRD00000001.html</t>
  </si>
  <si>
    <t>http://seattle.entertainment.com/discount/Subway/coupon/87018786870RED01346234EPC00496999PRD00000001.html</t>
  </si>
  <si>
    <t>http://seattle.entertainment.com/discount/Subway/coupon/87018786870RED01346296EPC00496999PRD00000001.html</t>
  </si>
  <si>
    <t>http://seattle.entertainment.com/discount/Subway/coupon/87018786870RED01346526EPC00496999PRD00000001.html</t>
  </si>
  <si>
    <t>http://seattle.entertainment.com/discount/ampm/coupon/87017258870RED01321817EPC00496999PRD00000001.html</t>
  </si>
  <si>
    <t>http://seattle.entertainment.com/discount/ampm/coupon/87017258870RED01321859EPC00496999PRD00000001.html</t>
  </si>
  <si>
    <t>http://seattle.entertainment.com/discount/Paradise_Burgers__Deli/coupon/97002090970RED01271204EPC00497999PRD00000056.html</t>
  </si>
  <si>
    <t>http://seattle.entertainment.com/discount/Subway/coupon/87018786870RED01346381EPC00496999PRD00000001.html</t>
  </si>
  <si>
    <t>http://seattle.entertainment.com/discount/Pizza_Hutreg/coupon/87015719870RED01291965EPC00496999PRD00000001.html</t>
  </si>
  <si>
    <t>http://seattle.entertainment.com/discount/Flying_J_Cafe/coupon/97002364970RED01370472EPC00497999PRD00000056.html</t>
  </si>
  <si>
    <t>http://seattle.entertainment.com/discount/Subway/coupon/87018786870RED01346333EPC00496999PRD00000001.html</t>
  </si>
  <si>
    <t>http://seattle.entertainment.com/discount/ampm/coupon/87017258870RED01321856EPC00496999PRD00000001.html</t>
  </si>
  <si>
    <t>http://seattle.entertainment.com/discount/Popeyes/coupon/00313208050RED00139074EPC00496999PRD00000001.html</t>
  </si>
  <si>
    <t>http://seattle.entertainment.com/discount/Subway/coupon/87018786870RED01346362EPC00496999PRD00000001.html</t>
  </si>
  <si>
    <t>http://seattle.entertainment.com/discount/Subway/coupon/87018786870RED01346525EPC00496999PRD00000001.html</t>
  </si>
  <si>
    <t>http://seattle.entertainment.com/discount/Subway/coupon/87018786870RED01346535EPC00496999PRD00000001.html</t>
  </si>
  <si>
    <t>http://seattle.entertainment.com/discount/Subway/coupon/87018786870RED01346430EPC00496999PRD00000001.html</t>
  </si>
  <si>
    <t>http://seattle.entertainment.com/discount/Subway/coupon/87018786870RED01346352EPC00496999PRD00000001.html</t>
  </si>
  <si>
    <t>http://seattle.entertainment.com/discount/Subway/coupon/87018786870RED01346473EPC00496999PRD00000001.html</t>
  </si>
  <si>
    <t>http://seattle.entertainment.com/discount/Subway/coupon/87018786870RED01346373EPC00496999PRD00000001.html</t>
  </si>
  <si>
    <t>http://seattle.entertainment.com/discount/ampm/coupon/87017258870RED01321858EPC00496999PRD00000001.html</t>
  </si>
  <si>
    <t>http://seattle.entertainment.com/discount/Subway/coupon/87018786870RED01346350EPC00496999PRD00000001.html</t>
  </si>
  <si>
    <t>http://seattle.entertainment.com/discount/Subway/coupon/87018786870RED01346361EPC00496999PRD00000001.html</t>
  </si>
  <si>
    <t>http://seattle.entertainment.com/discount/Coastal_Vie_Espresso/coupon/97002401970RED01372208EPC00497999PRD00000056.html</t>
  </si>
  <si>
    <t>http://seattle.entertainment.com/discount/Scandia_Coffee_House/coupon/00313523003RED01170192EPC00497999PRD00000056.html</t>
  </si>
  <si>
    <t>http://seattle.entertainment.com/discount/ampm/coupon/87017258870RED01321813EPC00496999PRD00000001.html</t>
  </si>
  <si>
    <t>http://seattle.entertainment.com/discount/Saras_Deli/coupon/97002310970RED01331672EPC00497999PRD00000056.html</t>
  </si>
  <si>
    <t>http://seattle.entertainment.com/discount/Subway/coupon/87018786870RED01346532EPC00496999PRD00000001.html</t>
  </si>
  <si>
    <t>http://seattle.entertainment.com/discount/Round_Table_Pizza/coupon/05005445050RED01324318EPC00497999PRD00000001.html</t>
  </si>
  <si>
    <t>http://seattle.entertainment.com/discount/Subway/coupon/87018786870RED01346505EPC00496999PRD00000001.html</t>
  </si>
  <si>
    <t>http://seattle.entertainment.com/discount/Subway/coupon/87018786870RED01346264EPC00496999PRD00000001.html</t>
  </si>
  <si>
    <t>http://seattle.entertainment.com/discount/Julias_Bakery__Cafe/coupon/05005865050RED01380791EPC00497999PRD00000056.html</t>
  </si>
  <si>
    <t>http://seattle.entertainment.com/discount/ampm/coupon/87017258870RED01321850EPC00496999PRD00000001.html</t>
  </si>
  <si>
    <t>http://seattle.entertainment.com/discount/Pizza_Hutreg/coupon/87015719870RED01291967EPC00496999PRD00000001.html</t>
  </si>
  <si>
    <t>http://seattle.entertainment.com/discount/Subway/coupon/87018786870RED01346521EPC00496999PRD00000001.html</t>
  </si>
  <si>
    <t>http://seattle.entertainment.com/discount/Subway/coupon/87018786870RED01346328EPC00496999PRD00000001.html</t>
  </si>
  <si>
    <t>http://seattle.entertainment.com/discount/Pizza_Hutreg/coupon/87015719870RED01291963EPC00496999PRD00000001.html</t>
  </si>
  <si>
    <t>http://seattle.entertainment.com/discount/ampm/coupon/87017258870RED01321834EPC00496999PRD00000001.html</t>
  </si>
  <si>
    <t>http://seattle.entertainment.com/discount/Subway/coupon/87018786870RED01346203EPC00496999PRD00000001.html</t>
  </si>
  <si>
    <t>http://seattle.entertainment.com/discount/Subway/coupon/87018786870RED01346236EPC00496999PRD00000001.html</t>
  </si>
  <si>
    <t>http://seattle.entertainment.com/discount/Subway/coupon/87018786870RED01346442EPC00496999PRD00000001.html</t>
  </si>
  <si>
    <t>http://seattle.entertainment.com/discount/The_Buzz/coupon/05001788050RED00717485EPC00497999PRD00000001.html</t>
  </si>
  <si>
    <t>http://seattle.entertainment.com/discount/Subway/coupon/87018786870RED01346378EPC00496999PRD00000001.html</t>
  </si>
  <si>
    <t>http://seattle.entertainment.com/discount/Subway/coupon/87018786870RED01346266EPC00496999PRD00000001.html</t>
  </si>
  <si>
    <t>http://seattle.entertainment.com/discount/Fusion_Smoothie/coupon/97002485970RED01373925EPC00497999PRD00000056.html</t>
  </si>
  <si>
    <t>http://seattle.entertainment.com/discount/Subway/coupon/87018786870RED01346368EPC00496999PRD00000001.html</t>
  </si>
  <si>
    <t>http://seattle.entertainment.com/discount/Subway/coupon/87018786870RED01346270EPC00496999PRD00000001.html</t>
  </si>
  <si>
    <t>http://seattle.entertainment.com/discount/Popeyes_Chicken_and_Biscuits/coupon/00313208003RED01136495EPC00496999PRD00000001.html</t>
  </si>
  <si>
    <t>http://seattle.entertainment.com/discount/Subway/coupon/87018786870RED01346487EPC00496999PRD00000001.html</t>
  </si>
  <si>
    <t>http://seattle.entertainment.com/discount/CD_Gourmet_Coffee_Company/coupon/05005211050RED01298733EPC00497999PRD00000056.html</t>
  </si>
  <si>
    <t>http://seattle.entertainment.com/discount/Subway/coupon/87018786870RED01346477EPC00496999PRD00000001.html</t>
  </si>
  <si>
    <t>http://seattle.entertainment.com/discount/ampm/coupon/87017258870RED01321815EPC00496999PRD00000001.html</t>
  </si>
  <si>
    <t>http://seattle.entertainment.com/discount/Pizza_Hutreg/coupon/87015719870RED01291936EPC00496999PRD00000001.html</t>
  </si>
  <si>
    <t>http://seattle.entertainment.com/discount/Subway/coupon/87018786870RED01346228EPC00496999PRD00000001.html</t>
  </si>
  <si>
    <t>http://seattle.entertainment.com/discount/Subway/coupon/87018786870RED01346451EPC00496999PRD00000001.html</t>
  </si>
  <si>
    <t>http://seattle.entertainment.com/discount/Subway/coupon/87018786870RED01346468EPC00496999PRD00000001.html</t>
  </si>
  <si>
    <t>http://seattle.entertainment.com/discount/Pizza_Hutreg/coupon/87015719870RED01291966EPC00496999PRD00000001.html</t>
  </si>
  <si>
    <t>http://seattle.entertainment.com/discount/Subway/coupon/87018786870RED01346320EPC00496999PRD00000001.html</t>
  </si>
  <si>
    <t>http://seattle.entertainment.com/discount/Subway/coupon/87018786870RED01346321EPC00496999PRD00000001.html</t>
  </si>
  <si>
    <t>http://seattle.entertainment.com/discount/Subway/coupon/87018786870RED01346486EPC00496999PRD00000001.html</t>
  </si>
  <si>
    <t>http://seattle.entertainment.com/discount/Pizza_Hutreg/coupon/87015719870RED01291949EPC00496999PRD00000001.html</t>
  </si>
  <si>
    <t>http://seattle.entertainment.com/discount/All_American_Ice_Cream_and_Frozen_Yogurt/coupon/87019080870RED01346897EPC00497999PRD00000056.html</t>
  </si>
  <si>
    <t>http://seattle.entertainment.com/discount/Subway/coupon/87018786870RED01346249EPC00496999PRD00000001.html</t>
  </si>
  <si>
    <t>http://seattle.entertainment.com/discount/Subway/coupon/87018786870RED01346305EPC00496999PRD00000001.html</t>
  </si>
  <si>
    <t>http://seattle.entertainment.com/discount/ampm/coupon/87017258870RED01321843EPC00496999PRD00000001.html</t>
  </si>
  <si>
    <t>http://seattle.entertainment.com/discount/Subway/coupon/87018786870RED01346241EPC00496999PRD00000001.html</t>
  </si>
  <si>
    <t>http://seattle.entertainment.com/discount/Subway/coupon/87018786870RED01346438EPC00496999PRD00000001.html</t>
  </si>
  <si>
    <t>http://seattle.entertainment.com/discount/Subway/coupon/87018786870RED01346496EPC00496999PRD00000001.html</t>
  </si>
  <si>
    <t>http://seattle.entertainment.com/discount/Subway/coupon/87018786870RED01346483EPC00496999PRD00000001.html</t>
  </si>
  <si>
    <t>CasualSeafood</t>
  </si>
  <si>
    <t>http://seattle.entertainment.com/discount/dining.shtml?category=Casual+Dining&amp;Nao=&lt;REPLACE_WITH_START_INDEX&gt;&amp;N=25+177+39</t>
  </si>
  <si>
    <t>American</t>
  </si>
  <si>
    <t>Seafood</t>
  </si>
  <si>
    <t>http://seattle.entertainment.com/discount/Skippers_Seafood__Chowder/coupon/00313081003RED01126264EPC00496999PRD00000001.html</t>
  </si>
  <si>
    <t>http://seattle.entertainment.com/discount/Ivars_Seafood_Bar/coupon/00316543003RED00933688EPC00497999PRD00000001.html</t>
  </si>
  <si>
    <t>Barbeque</t>
  </si>
  <si>
    <t>Steakhouses</t>
  </si>
  <si>
    <t>Fast Food</t>
  </si>
  <si>
    <t>African</t>
  </si>
  <si>
    <t>Cajun</t>
  </si>
  <si>
    <t>Caribbean</t>
  </si>
  <si>
    <t>Coffee</t>
  </si>
  <si>
    <t>Bakery</t>
  </si>
  <si>
    <t>European</t>
  </si>
  <si>
    <t>Continental</t>
  </si>
  <si>
    <t>French</t>
  </si>
  <si>
    <t>Greek</t>
  </si>
  <si>
    <t>Irish</t>
  </si>
  <si>
    <t>Indian</t>
  </si>
  <si>
    <t>Italian</t>
  </si>
  <si>
    <t>Mexican</t>
  </si>
  <si>
    <t>Latin American</t>
  </si>
  <si>
    <t>South Western</t>
  </si>
  <si>
    <t>Middle Eastern</t>
  </si>
  <si>
    <t>South American</t>
  </si>
  <si>
    <t>Vegetarian</t>
  </si>
  <si>
    <t>http://seattle.entertainment.com/discount/dining.shtml?category=Seafood&amp;Nao=&lt;REPLACE_WITH_START_INDEX&gt;&amp;N=25+177</t>
  </si>
  <si>
    <t>http://seattle.entertainment.com/discount/dining.shtml?category=Barbecue&amp;Nao=&lt;REPLACE_WITH_START_INDEX&gt;&amp;N=25+192</t>
  </si>
  <si>
    <t>http://seattle.entertainment.com/discount/dining.shtml?category=Steakhouse&amp;Nao=&lt;REPLACE_WITH_START_INDEX&gt;&amp;N=25+186</t>
  </si>
  <si>
    <t>http://seattle.entertainment.com/discount/dining.shtml?category=Fast+Food&amp;Nao=&lt;REPLACE_WITH_START_INDEX&gt;&amp;N=25+169</t>
  </si>
  <si>
    <t>http://seattle.entertainment.com/discount/dining.shtml?category=African&amp;Nao=&lt;REPLACE_WITH_START_INDEX&gt;&amp;N=25+193</t>
  </si>
  <si>
    <t>http://seattle.entertainment.com/discount/dining.shtml?category=American&amp;Nao=&lt;REPLACE_WITH_START_INDEX&gt;&amp;N=25+168</t>
  </si>
  <si>
    <t>http://seattle.entertainment.com/discount/dining.shtml?category=Cajun%2FCreole&amp;Nao=&lt;REPLACE_WITH_START_INDEX&gt;&amp;N=25+184</t>
  </si>
  <si>
    <t>http://seattle.entertainment.com/discount/dining.shtml?category=Caribbean&amp;Nao=&lt;REPLACE_WITH_START_INDEX&gt;&amp;N=25+190</t>
  </si>
  <si>
    <t>http://seattle.entertainment.com/discount/dining.shtml?category=Coffee+House&amp;Nao=&lt;REPLACE_WITH_START_INDEX&gt;&amp;N=25+179</t>
  </si>
  <si>
    <t>http://seattle.entertainment.com/discount/dining.shtml?category=Bakery&amp;Nao=&lt;REPLACE_WITH_START_INDEX&gt;&amp;N=25+183</t>
  </si>
  <si>
    <t>http://seattle.entertainment.com/discount/dining.shtml?category=European&amp;Nao=&lt;REPLACE_WITH_START_INDEX&gt;&amp;N=25+180</t>
  </si>
  <si>
    <t>http://seattle.entertainment.com/discount/dining.shtml?category=Continental&amp;Nao=&lt;REPLACE_WITH_START_INDEX&gt;&amp;N=25+173</t>
  </si>
  <si>
    <t>http://seattle.entertainment.com/discount/dining.shtml?category=French&amp;Nao=&lt;REPLACE_WITH_START_INDEX&gt;&amp;N=25+191</t>
  </si>
  <si>
    <t>http://seattle.entertainment.com/discount/dining.shtml?category=Greek&amp;Nao=&lt;REPLACE_WITH_START_INDEX&gt;&amp;N=25+174</t>
  </si>
  <si>
    <t>http://seattle.entertainment.com/discount/dining.shtml?category=Irish&amp;Nao=&lt;REPLACE_WITH_START_INDEX&gt;&amp;N=25+181</t>
  </si>
  <si>
    <t>http://seattle.entertainment.com/discount/dining.shtml?category=Indian&amp;Nao=&lt;REPLACE_WITH_START_INDEX&gt;&amp;N=25+176</t>
  </si>
  <si>
    <t>http://seattle.entertainment.com/discount/dining.shtml?category=Italian&amp;Nao=&lt;REPLACE_WITH_START_INDEX&gt;&amp;N=25+170</t>
  </si>
  <si>
    <t>http://seattle.entertainment.com/discount/dining.shtml?category=Mexican&amp;Nao=&lt;REPLACE_WITH_START_INDEX&gt;&amp;N=25+171</t>
  </si>
  <si>
    <t>http://seattle.entertainment.com/discount/dining.shtml?category=Latin+American&amp;Nao=&lt;REPLACE_WITH_START_INDEX&gt;&amp;N=25+195</t>
  </si>
  <si>
    <t>http://seattle.entertainment.com/discount/dining.shtml?category=Southwestern&amp;Nao=&lt;REPLACE_WITH_START_INDEX&gt;&amp;N=25+198</t>
  </si>
  <si>
    <t>http://seattle.entertainment.com/discount/dining.shtml?category=Middle+Eastern&amp;Nao=&lt;REPLACE_WITH_START_INDEX&gt;&amp;N=25+178</t>
  </si>
  <si>
    <t>http://seattle.entertainment.com/discount/dining.shtml?category=South+American&amp;Nao=&lt;REPLACE_WITH_START_INDEX&gt;&amp;N=25+197</t>
  </si>
  <si>
    <t>http://seattle.entertainment.com/discount/dining.shtml?category=Vegetarian&amp;Nao=&lt;REPLACE_WITH_START_INDEX&gt;&amp;N=25+194</t>
  </si>
  <si>
    <t>http://seattle.entertainment.com/discount/China_Harbor/coupon/00312793003RED01104847EPC00499999PRD00000001.html</t>
  </si>
  <si>
    <t>http://seattle.entertainment.com/discount/Pho_Alderwood/coupon/00310441003RED00852492EPC00496999PRD00000001.html</t>
  </si>
  <si>
    <t>Barbecue</t>
  </si>
  <si>
    <t>http://seattle.entertainment.com/discount/Willies_Taste_of_Soul_BBQ/coupon/00317501003RED01380619EPC00497999PRD00000001.html</t>
  </si>
  <si>
    <t>http://seattle.entertainment.com/discount/Rhodies_Smokin_BBQ/coupon/00314940003RED01267220EPC00497999PRD00000056.html</t>
  </si>
  <si>
    <t>Steakhouse</t>
  </si>
  <si>
    <t>http://seattle.entertainment.com/discount/Maxwells/coupon/00306733003RED00727375EPC00497999PRD00000056.html</t>
  </si>
  <si>
    <t>http://seattle.entertainment.com/discount/Rusty_Pelican_Cafe/coupon/00316927003RED01371040EPC00497999PRD00000056.html</t>
  </si>
  <si>
    <t>http://seattle.entertainment.com/discount/Soho_Coffee/coupon/00317039003RED01375447EPC00497999PRD00000056.html</t>
  </si>
  <si>
    <t>http://seattle.entertainment.com/discount/Wing_Zone/coupon/00311817003RED00961535EPC00496999PRD00000001.html</t>
  </si>
  <si>
    <t>http://seattle.entertainment.com/discount/Charlies_Flame_Broiled_Burgers/coupon/00317546003RED01380831EPC00497999PRD00000056.html</t>
  </si>
  <si>
    <t>http://seattle.entertainment.com/discount/Blue_Dog_Kitchen/coupon/00315172003RED01274783EPC00497999PRD00000001.html</t>
  </si>
  <si>
    <t>The Original Philly's</t>
  </si>
  <si>
    <t>3019 Martin Luther King Jr. Way S.</t>
  </si>
  <si>
    <t>http://seattle.entertainment.com/discount/The_Goose_Pub__Eatery/coupon/00300117003RED00001785EPC00496999PRD00000001.html</t>
  </si>
  <si>
    <t>http://seattle.entertainment.com/discount/Hancocks_Bakery/coupon/00305816003RED00000724EPC00497999PRD00000056.html</t>
  </si>
  <si>
    <t>http://seattle.entertainment.com/discount/Arbys/coupon/00300598003RED00000154EPC00496999PRD00000001.html</t>
  </si>
  <si>
    <t>http://seattle.entertainment.com/discount/Pop_Gourmet_Popcorn/coupon/00317094003RED01375663EPC00497999PRD00000056.html</t>
  </si>
  <si>
    <t>http://seattle.entertainment.com/discount/Espresso_Buono/coupon/00315254003RED01276210EPC00497999PRD00000001.html</t>
  </si>
  <si>
    <t>http://seattle.entertainment.com/discount/Port_of_Subs/coupon/00309137003RED00916818EPC00497999PRD00000056.html</t>
  </si>
  <si>
    <t>http://seattle.entertainment.com/discount/Rainbow_Cafe/coupon/05005289050RED01316771EPC00496999PRD00000001.html</t>
  </si>
  <si>
    <t>http://seattle.entertainment.com/discount/Eddies_Trackside_Bar__Grill/coupon/97001495970RED00922014EPC00496999PRD00000001.html</t>
  </si>
  <si>
    <t>http://seattle.entertainment.com/discount/Zippys_Java_Lounge/coupon/00309083003RED00914153EPC00497999PRD00000056.html</t>
  </si>
  <si>
    <t>http://seattle.entertainment.com/discount/Arbys/coupon/00300598003RED00000160EPC00496999PRD00000001.html</t>
  </si>
  <si>
    <t>http://seattle.entertainment.com/discount/Creekside/coupon/00314414003RED01196375EPC00497999PRD00000056.html</t>
  </si>
  <si>
    <t>http://seattle.entertainment.com/discount/Lotus_Tea_Bar__Studio/coupon/97002494970RED01375699EPC00497999PRD00000056.html</t>
  </si>
  <si>
    <t>Cajun/Creole</t>
  </si>
  <si>
    <t>Coffee House</t>
  </si>
  <si>
    <t>http://seattle.entertainment.com/discount/Tullys_Coffee/coupon/00314426003RED01236518EPC00496999PRD00000001.html</t>
  </si>
  <si>
    <t>http://seattle.entertainment.com/discount/Tullys_Coffee/coupon/00314426003RED01236497EPC00496999PRD00000001.html</t>
  </si>
  <si>
    <t>http://seattle.entertainment.com/discount/Tullys_Coffee/coupon/00314426003RED01236479EPC00496999PRD00000001.html</t>
  </si>
  <si>
    <t>http://seattle.entertainment.com/discount/Tullys_Coffee/coupon/00314423003RED01236476EPC00496999PRD00000001.html</t>
  </si>
  <si>
    <t>http://seattle.entertainment.com/discount/Tullys_Coffee/coupon/00314426003RED01236502EPC00496999PRD00000001.html</t>
  </si>
  <si>
    <t>http://seattle.entertainment.com/discount/Coffee_Oasis/coupon/05005032050RED01268677EPC00497999PRD00000001.html</t>
  </si>
  <si>
    <t>http://seattle.entertainment.com/discount/Tullys_Coffee/coupon/00314426003RED01236489EPC00496999PRD00000001.html</t>
  </si>
  <si>
    <t>http://seattle.entertainment.com/discount/Simply_Sweet_Cupcakes/coupon/00316764003RED01355187EPC00497999PRD00000056.html</t>
  </si>
  <si>
    <t>http://seattle.entertainment.com/discount/Tullys_Coffee/coupon/00314429003RED01236505EPC00496999PRD00000001.html</t>
  </si>
  <si>
    <t>http://seattle.entertainment.com/discount/Dutch_Bakery_Inc/coupon/00315025003RED01272913EPC00497999PRD00000001.html</t>
  </si>
  <si>
    <t>http://seattle.entertainment.com/discount/Crepe_Cafe__Wine_Bar/coupon/00310647003RED00931882EPC00499999PRD00000001.html</t>
  </si>
  <si>
    <t>http://seattle.entertainment.com/discount/The_House_Restaurant/coupon/00314584003RED01245966EPC00499999PRD00000001.html</t>
  </si>
  <si>
    <t>http://seattle.entertainment.com/discount/Tandoor_Restaurant/coupon/00313531003RED01170280EPC00499999PRD00000001.html</t>
  </si>
  <si>
    <t>http://seattle.entertainment.com/discount/The_Everest_Kitchen/coupon/00315079003RED01273713EPC00496999PRD00000001.html</t>
  </si>
  <si>
    <t>http://seattle.entertainment.com/discount/Mehfil_Fine_Indian_Dining/coupon/00317438003RED01379040EPC00497999PRD00000056.html</t>
  </si>
  <si>
    <t>http://seattle.entertainment.com/discount/Mondello/coupon/00314964003RED01270678EPC00497999PRD00000001.html</t>
  </si>
  <si>
    <t>http://seattle.entertainment.com/discount/Chucks_85th_St_Market/coupon/00317013003RED01372001EPC00497999PRD00000056.html</t>
  </si>
  <si>
    <t>http://seattle.entertainment.com/discount/Eymans_Pizza__Cafe/coupon/00314602003RED01247386EPC00497999PRD00000001.html</t>
  </si>
  <si>
    <t>http://seattle.entertainment.com/discount/Uncle_Petezas/coupon/00313548003RED01172908EPC00496999PRD00000001.html</t>
  </si>
  <si>
    <t>http://seattle.entertainment.com/discount/Romios_Pizza__Pasta/coupon/00315659003RED01261526EPC00497999PRD00000001.html</t>
  </si>
  <si>
    <t>http://seattle.entertainment.com/discount/Capri_Ristorante_Italiano/coupon/00315695003RED01298485EPC00497999PRD00000001.html</t>
  </si>
  <si>
    <t>http://seattle.entertainment.com/discount/Mayas_Peppered_Pizza/coupon/00313870003RED01187849EPC00497999PRD00000056.html</t>
  </si>
  <si>
    <t>Gianni's Italian Restaurant</t>
  </si>
  <si>
    <t>5030 Evergreen Way</t>
  </si>
  <si>
    <t>http://seattle.entertainment.com/discount/Pappys_Pizza/coupon/05005826050RED01379465EPC00497999PRD00000056.html</t>
  </si>
  <si>
    <t>El Quetzal</t>
  </si>
  <si>
    <t>3209 Beacon Ave S</t>
  </si>
  <si>
    <t>http://seattle.entertainment.com/discount/Burney_Brothers_BBQ/coupon/00316839003RED01358096EPC00497999PRD00000001.html</t>
  </si>
  <si>
    <t>http://seattle.entertainment.com/discount/La_Costa/coupon/00315386003RED01281106EPC00496999PRD00000001.html</t>
  </si>
  <si>
    <t>http://seattle.entertainment.com/discount/Agave_Cocina__Tequilas/coupon/00317296003RED01379154EPC00497999PRD00000001.html</t>
  </si>
  <si>
    <t>http://seattle.entertainment.com/discount/Los_Cabos/coupon/00314809050RED01263083EPC00497999PRD00000001.html</t>
  </si>
  <si>
    <t>http://seattle.entertainment.com/discount/Juanitos_Taco_Shop/coupon/05004991050RED01263064EPC00497999PRD00000001.html</t>
  </si>
  <si>
    <t>http://seattle.entertainment.com/discount/Panaderia_y_Marisqueria_Guadalajara/coupon/00313779003RED01179804EPC00497999PRD00000056.html</t>
  </si>
  <si>
    <t>http://seattle.entertainment.com/discount/Los_Cabos/coupon/00314808003RED01262763EPC00496999PRD00000001.html</t>
  </si>
  <si>
    <t>Mis Tres Amigos Mexican Restaurant</t>
  </si>
  <si>
    <t>8013-D Steilacoom Blvd. SW</t>
  </si>
  <si>
    <t>http://seattle.entertainment.com/discount/Mis_Tres_Amigos_Mexican_Restaurant/coupon/05006010050RED01383991EPC00497999PRD00000056.html</t>
  </si>
  <si>
    <t>17530 Meridian E.</t>
  </si>
  <si>
    <t>http://seattle.entertainment.com/discount/Mis_Tres_Amigos_Mexican_Restaurant/coupon/05006010050RED01383990EPC00497999PRD00000056.html</t>
  </si>
  <si>
    <t>Southwestern</t>
  </si>
  <si>
    <t>http://seattle.entertainment.com/discount/Gyro_House/coupon/00316135003RED01300985EPC00496999PRD00000001.html</t>
  </si>
  <si>
    <t>Grilla Bites</t>
  </si>
  <si>
    <t>http://seattle.entertainment.com/discount/Mondello/coupon/00314967003RED01270678EPC00497999PRD00000001.html</t>
  </si>
  <si>
    <t>http://seattle.entertainment.com/discount/Jack_in_the_Box/coupon/87017451870RED01327866EPC00496999PRD00000001.html</t>
  </si>
  <si>
    <t>http://seattle.entertainment.com/discount/Emerald_City_Smoothie/coupon/87017067870RED01301337EPC00496999PRD00000001.html</t>
  </si>
  <si>
    <t>http://seattle.entertainment.com/discount/Jack_in_the_Box/coupon/87017464870RED01327850EPC00496999PRD00000001.html</t>
  </si>
  <si>
    <t>http://seattle.entertainment.com/discount/Jack_in_the_Box/coupon/87017469870RED01327863EPC00496999PRD00000001.html</t>
  </si>
  <si>
    <t>http://seattle.entertainment.com/discount/Emerald_City_Smoothie/coupon/87017067870RED01301308EPC00496999PRD00000001.html</t>
  </si>
  <si>
    <t>http://seattle.entertainment.com/discount/AWreg_All_American_Foodreg/coupon/87015705870RED01289108EPC00496999PRD00000001.html</t>
  </si>
  <si>
    <t>http://seattle.entertainment.com/discount/Jack_in_the_Box/coupon/87017451870RED01327811EPC00496999PRD00000001.html</t>
  </si>
  <si>
    <t>http://seattle.entertainment.com/discount/Dominos/coupon/87016286870RED01362550EPC00496999PRD00000001.html</t>
  </si>
  <si>
    <t>http://seattle.entertainment.com/discount/Jack_in_the_Box/coupon/87017473870RED01327899EPC00496999PRD00000001.html</t>
  </si>
  <si>
    <t>http://seattle.entertainment.com/discount/Jack_in_the_Box/coupon/87017464870RED01327864EPC00496999PRD00000001.html</t>
  </si>
  <si>
    <t>http://seattle.entertainment.com/discount/Dominos/coupon/87016286870RED01362518EPC00496999PRD00000001.html</t>
  </si>
  <si>
    <t>FREE PRETZEL</t>
  </si>
  <si>
    <t>http://seattle.entertainment.com/discount/Wetzels_Pretzels/coupon/01206794012RED01311143EPC00496999PRD00000001.html</t>
  </si>
  <si>
    <t>e:\temp\couponlisting</t>
  </si>
  <si>
    <t>http://seattle.entertainment.com/discount/Ivars_Seafood_Bar/coupon/00316543003RED00933697EPC00497999PRD00000001.html</t>
  </si>
  <si>
    <t>http://seattle.entertainment.com/discount/Skippers_Seafood__Chowder/coupon/00313081003RED01126256EPC00496999PRD00000001.html</t>
  </si>
  <si>
    <t>http://seattle.entertainment.com/discount/Ivars_Seafood_Bar/coupon/00316543003RED00933700EPC00497999PRD00000001.html</t>
  </si>
  <si>
    <t>http://seattle.entertainment.com/discount/Ivars_Seafood_Bar/coupon/00316543003RED00933692EPC00497999PRD00000001.html</t>
  </si>
  <si>
    <t>http://seattle.entertainment.com/discount/Ivars_Seafood_Bar/coupon/00316542003RED00933686EPC00496999PRD00000001.html</t>
  </si>
  <si>
    <t>http://seattle.entertainment.com/discount/Ivars_Seafood_Bar/coupon/00316543003RED00933690EPC00497999PRD00000001.html</t>
  </si>
  <si>
    <t>http://seattle.entertainment.com/discount/Ivars_Seafood_Bars/coupon/00316543003RED01126282EPC00497999PRD00000001.html</t>
  </si>
  <si>
    <t>http://seattle.entertainment.com/discount/Skippers_Seafood__Chowder/coupon/00313078003RED01126263EPC00496999PRD00000001.html</t>
  </si>
  <si>
    <t>http://seattle.entertainment.com/discount/Jup_Jup_Jup_Thai_Restaurant/coupon/00316269003RED01339989EPC00496999PRD00000001.html</t>
  </si>
  <si>
    <t>http://seattle.entertainment.com/discount/Krittikas_Noodles__Thurst_Lounge/coupon/00317526003RED01380924EPC00497999PRD00000001.html</t>
  </si>
  <si>
    <t>606 N.105th St</t>
  </si>
  <si>
    <t>$9.00 VALUE</t>
  </si>
  <si>
    <t>http://seattle.entertainment.com/discount/Oishii_Teriyaki__Sushi/coupon/00317664003RED01387621EPC00497999PRD00000001.html</t>
  </si>
  <si>
    <t>http://seattle.entertainment.com/discount/Rickshaw_Restaurant/coupon/00315241003RED01276186EPC00497999PRD00000001.html</t>
  </si>
  <si>
    <t>http://seattle.entertainment.com/discount/Yummy_Teriyaki/coupon/00315188003RED01275067EPC00496999PRD00000001.html</t>
  </si>
  <si>
    <t>13242 Aurora Ave. N.</t>
  </si>
  <si>
    <t>http://seattle.entertainment.com/discount/Great_China_Restaurant/coupon/00315183003RED01274914EPC00497999PRD00000001.html</t>
  </si>
  <si>
    <t>http://seattle.entertainment.com/discount/Racha_Thai__Asian_Kitchen/coupon/00317680003RED01333471EPC00497999PRD00000056.html</t>
  </si>
  <si>
    <t>http://seattle.entertainment.com/discount/Mayflower_of_China/coupon/00317652003RED01271919EPC00497999PRD00000001.html</t>
  </si>
  <si>
    <t>http://seattle.entertainment.com/discount/Asian_Wok/coupon/00317742003RED01271770EPC00497999PRD00000001.html</t>
  </si>
  <si>
    <t>http://seattle.entertainment.com/discount/Suthanya_Thai_Renaissance_Bistro/coupon/00314623003RED01248209EPC00499999PRD00000001.html</t>
  </si>
  <si>
    <t>http://seattle.entertainment.com/discount/Zen_Garden_Restaurant/coupon/00315730003RED01301815EPC00499999PRD00000001.html</t>
  </si>
  <si>
    <t>7825 Evergreen Way Ste B</t>
  </si>
  <si>
    <t>http://seattle.entertainment.com/discount/Somphou_Thai_Restaurant/coupon/00313576003RED01165470EPC00497999PRD00000056.html</t>
  </si>
  <si>
    <t>http://seattle.entertainment.com/discount/The_Fishermans_Restaurant__Bar/coupon/00315049003RED01273208EPC00499999PRD00000001.html</t>
  </si>
  <si>
    <t>http://seattle.entertainment.com/discount/Steamers_Seafood_Cafe/coupon/00315284003RED01277116EPC00497999PRD00000001.html</t>
  </si>
  <si>
    <t>http://seattle.entertainment.com/discount/Steamers_Seafood_Cafe/coupon/00315283003RED01277118EPC00496999PRD00000001.html</t>
  </si>
  <si>
    <t>http://seattle.entertainment.com/discount/RoRo_BBQ__Grill/coupon/00312804003RED01104867EPC00496999PRD00000001.html</t>
  </si>
  <si>
    <t>http://seattle.entertainment.com/discount/Caspers_A_Taste_of_the_South/coupon/00314791003RED01263120EPC00497999PRD00000001.html</t>
  </si>
  <si>
    <t>Sam's Pitt II Mobile BBQ</t>
  </si>
  <si>
    <t>400 Olympia Ave. NE</t>
  </si>
  <si>
    <t>Fana's Cuisine</t>
  </si>
  <si>
    <t>3621 33rd Ave S Suite C5</t>
  </si>
  <si>
    <t>http://seattle.entertainment.com/discount/Fanas_Cuisine/coupon/00317754003RED01389454EPC00497999PRD00000001.html</t>
  </si>
  <si>
    <t>Quincy's</t>
  </si>
  <si>
    <t>http://seattle.entertainment.com/discount/Quincys/coupon/00317783003RED01277119EPC00497999PRD00000001.html</t>
  </si>
  <si>
    <t>http://seattle.entertainment.com/discount/Paragon_Restaurant__Bar/coupon/00306361003RED00569568EPC00497999PRD00000056.html</t>
  </si>
  <si>
    <t>http://seattle.entertainment.com/discount/The_Georgian/coupon/00315726003RED01283324EPC00497999PRD00000001.html</t>
  </si>
  <si>
    <t>http://seattle.entertainment.com/discount/Lama_Gs_Cafe/coupon/00316859003RED01356970EPC00497999PRD00000056.html</t>
  </si>
  <si>
    <t>http://seattle.entertainment.com/discount/I_Love_New_York_Deli/coupon/00317491003RED01379739EPC00497999PRD00000056.html</t>
  </si>
  <si>
    <t>http://seattle.entertainment.com/discount/Melt_Cafe/coupon/00316423003RED01320178EPC00496999PRD00000001.html</t>
  </si>
  <si>
    <t>http://seattle.entertainment.com/discount/Cupcake_Royale/coupon/00315618003RED01073276EPC00497999PRD00000001.html</t>
  </si>
  <si>
    <t>Safeco Field</t>
  </si>
  <si>
    <t>http://seattle.entertainment.com/discount/Blazing_Bagels/coupon/00317797003RED01392510EPC00497999PRD00000001.html</t>
  </si>
  <si>
    <t>http://seattle.entertainment.com/discount/Seattle_Pie_Company/coupon/00314923003RED01265617EPC00497999PRD00000001.html</t>
  </si>
  <si>
    <t>http://seattle.entertainment.com/discount/Ballard_Brothers_Seafood__Burgers/coupon/00314877003RED01265000EPC00496999PRD00000001.html</t>
  </si>
  <si>
    <t>Bus Stop Espresso</t>
  </si>
  <si>
    <t>800 NE 65th St</t>
  </si>
  <si>
    <t>http://seattle.entertainment.com/discount/Bus_Stop_Espresso/coupon/00317618003RED01383758EPC00497999PRD00000001.html</t>
  </si>
  <si>
    <t>Peaks Frozen Custard Cafe</t>
  </si>
  <si>
    <t>FREE 2 TOPPINGS</t>
  </si>
  <si>
    <t>http://seattle.entertainment.com/discount/Peaks_Frozen_Custard_Cafe/coupon/00317803003RED01390983EPC00497999PRD00000001.html</t>
  </si>
  <si>
    <t>http://seattle.entertainment.com/discount/Cupcake_Royale/coupon/00315618003RED01295864EPC00497999PRD00000001.html</t>
  </si>
  <si>
    <t>http://seattle.entertainment.com/discount/Beacon_Shell_Food_Mart_Deli/coupon/00317676003RED01205127EPC00497999PRD00000001.html</t>
  </si>
  <si>
    <t>http://seattle.entertainment.com/discount/Wing_Dome/coupon/00317785003RED01277122EPC00497999PRD00000001.html</t>
  </si>
  <si>
    <t>http://seattle.entertainment.com/discount/The_Original_Phillys/coupon/00317591003RED01381805EPC00497999PRD00000001.html</t>
  </si>
  <si>
    <t>http://seattle.entertainment.com/discount/Brger_Madness__Seattle/coupon/00316194003RED01320148EPC00497999PRD00000001.html</t>
  </si>
  <si>
    <t>http://seattle.entertainment.com/discount/Chucks_85th_St_Market/coupon/00317003003RED01372001EPC00497999PRD00000001.html</t>
  </si>
  <si>
    <t>4523 California Ave. SW</t>
  </si>
  <si>
    <t>http://seattle.entertainment.com/discount/Wing_Dome/coupon/00317785003RED01389436EPC00497999PRD00000001.html</t>
  </si>
  <si>
    <t>http://seattle.entertainment.com/discount/Cupcake_Royale/coupon/00315616003RED01073277EPC00496999PRD00000001.html</t>
  </si>
  <si>
    <t>http://seattle.entertainment.com/discount/Jumpin_Java_Bistro_Boutique/coupon/00317281003RED01376849EPC00497999PRD00000001.html</t>
  </si>
  <si>
    <t>http://seattle.entertainment.com/discount/Great_Harvest_Bread_Co/coupon/00315635003RED01295875EPC00497999PRD00000001.html</t>
  </si>
  <si>
    <t>http://seattle.entertainment.com/discount/Blazing_Bagels/coupon/00317797003RED01251559EPC00497999PRD00000001.html</t>
  </si>
  <si>
    <t>http://seattle.entertainment.com/discount/Jonahs_Restaurant__Bar/coupon/00312721003RED01080766EPC00499999PRD00000001.html</t>
  </si>
  <si>
    <t>http://seattle.entertainment.com/discount/Wing_Dome/coupon/00317785003RED01277121EPC00497999PRD00000001.html</t>
  </si>
  <si>
    <t>http://seattle.entertainment.com/discount/Pub_85/coupon/00313379003RED01162995EPC00497999PRD00000056.html</t>
  </si>
  <si>
    <t>http://seattle.entertainment.com/discount/Great_Harvest_Bread_Co/coupon/00315633003RED01295868EPC00496999PRD00000001.html</t>
  </si>
  <si>
    <t>http://seattle.entertainment.com/discount/Goldbergs_Famous_Delicatessen/coupon/00315524003RED01236387EPC00497999PRD00000056.html</t>
  </si>
  <si>
    <t>http://seattle.entertainment.com/discount/Dannys_Pub__Eatery/coupon/00314841003RED01264640EPC00497999PRD00000001.html</t>
  </si>
  <si>
    <t>http://seattle.entertainment.com/discount/Crossroads_Bar__Grill/coupon/00315576003RED01284671EPC00497999PRD00000001.html</t>
  </si>
  <si>
    <t>http://seattle.entertainment.com/discount/Arbys/coupon/00300597003RED00000155EPC00496999PRD00000001.html</t>
  </si>
  <si>
    <t>http://seattle.entertainment.com/discount/Mick_Finsters_Pub__Grill/coupon/00305529003RED00793860EPC00497999PRD00000056.html</t>
  </si>
  <si>
    <t>http://seattle.entertainment.com/discount/Blazing_Bagels/coupon/00317797003RED01251558EPC00497999PRD00000001.html</t>
  </si>
  <si>
    <t>http://seattle.entertainment.com/discount/BTown_Burgers__Shakes/coupon/00316982003RED01374038EPC00497999PRD00000056.html</t>
  </si>
  <si>
    <t>http://seattle.entertainment.com/discount/Daves_Burgers/coupon/00315351003RED01279948EPC00496999PRD00000001.html</t>
  </si>
  <si>
    <t>http://seattle.entertainment.com/discount/Rumbar_Cafe/coupon/00317310003RED01379566EPC00497999PRD00000056.html</t>
  </si>
  <si>
    <t>http://seattle.entertainment.com/discount/Issaquah_Coffee_Company/coupon/00317496003RED01381852EPC00497999PRD00000056.html</t>
  </si>
  <si>
    <t>Lighthouse Restaurant</t>
  </si>
  <si>
    <t>429 Bay St.</t>
  </si>
  <si>
    <t>http://seattle.entertainment.com/discount/Lighthouse_Restaurant/coupon/05006123050RED01389333EPC00497999PRD00000056.html</t>
  </si>
  <si>
    <t>http://seattle.entertainment.com/discount/Lighthouse_Lounge/coupon/00314537003RED01245559EPC00496999PRD00000001.html</t>
  </si>
  <si>
    <t>http://seattle.entertainment.com/discount/AllStar_Sports_Bar/coupon/00317204003RED01375623EPC00497999PRD00000001.html</t>
  </si>
  <si>
    <t>http://seattle.entertainment.com/discount/Wing_Dome/coupon/00317785003RED01277120EPC00497999PRD00000001.html</t>
  </si>
  <si>
    <t>http://seattle.entertainment.com/discount/BaskinRobbinsreg_Ice_Cream/coupon/05004747050RED01376223EPC00496999PRD00000001.html</t>
  </si>
  <si>
    <t>http://seattle.entertainment.com/discount/Arbys/coupon/00300598003RED00000156EPC00496999PRD00000001.html</t>
  </si>
  <si>
    <t>http://seattle.entertainment.com/discount/Wine_101_The_Gathering_Place/coupon/00317852003RED01392781EPC00497999PRD00000001.html</t>
  </si>
  <si>
    <t>http://seattle.entertainment.com/discount/Carnation_Golf_Course/coupon/00314721003RED01261186EPC00496999PRD00000001.html</t>
  </si>
  <si>
    <t>http://seattle.entertainment.com/discount/Great_Harvest_Bread_Co/coupon/00315633003RED01295869EPC00496999PRD00000001.html</t>
  </si>
  <si>
    <t>Everett Bob's</t>
  </si>
  <si>
    <t>1611 SE Everett Mall Way</t>
  </si>
  <si>
    <t>http://seattle.entertainment.com/discount/Everett_Bobs/coupon/97002724970RED01390783EPC00497999PRD00000001.html</t>
  </si>
  <si>
    <t>http://seattle.entertainment.com/discount/Bobs_Burger__Brew/coupon/00315456003RED01281967EPC00499999PRD00000001.html</t>
  </si>
  <si>
    <t>http://seattle.entertainment.com/discount/Fall_City_Roadhouse/coupon/00316327003RED01323600EPC00497999PRD00000001.html</t>
  </si>
  <si>
    <t>Patty's Eggnest At Chuckwagon Inn</t>
  </si>
  <si>
    <t>6720 Evergreen Way</t>
  </si>
  <si>
    <t>http://seattle.entertainment.com/discount/Pattys_Eggnest_At_Chuckwagon_Inn/coupon/00317627003RED01382102EPC00497999PRD00000001.html</t>
  </si>
  <si>
    <t>http://seattle.entertainment.com/discount/Chicago_Willys_Gourmet_Burgers/coupon/05005609050RED01372799EPC00497999PRD00000001.html</t>
  </si>
  <si>
    <t>http://seattle.entertainment.com/discount/S__S_Sub_Shop/coupon/05005194050RED01296307EPC00497999PRD00000001.html</t>
  </si>
  <si>
    <t>http://seattle.entertainment.com/discount/The_Chocolate_Moose/coupon/00316153003RED01312601EPC00497999PRD00000056.html</t>
  </si>
  <si>
    <t>http://seattle.entertainment.com/discount/Zolas_Cafe__Coffee/coupon/05005369050RED01298493EPC00497999PRD00000056.html</t>
  </si>
  <si>
    <t>http://seattle.entertainment.com/discount/AKA_Wired_Espresso__Deli/coupon/00316302003RED01313038EPC00496999PRD00000001.html</t>
  </si>
  <si>
    <t>349 Butler Avenue</t>
  </si>
  <si>
    <t>http://seattle.entertainment.com/discount/Sahara_Pizza/coupon/00317630003RED01379928EPC00497999PRD00000001.html</t>
  </si>
  <si>
    <t>http://seattle.entertainment.com/discount/Pizza_Brava/coupon/00316201003RED01315510EPC00496999PRD00000001.html</t>
  </si>
  <si>
    <t>http://seattle.entertainment.com/discount/Totem_Family_Dining/coupon/00316308003RED01311884EPC00497999PRD00000001.html</t>
  </si>
  <si>
    <t>http://seattle.entertainment.com/discount/Donels_Espresso__Zipperdoodle/coupon/05005214050RED01299553EPC00497999PRD00000001.html</t>
  </si>
  <si>
    <t>http://seattle.entertainment.com/discount/Pazzo_Coffee/coupon/05005198050RED01298602EPC00497999PRD00000001.html</t>
  </si>
  <si>
    <t>http://seattle.entertainment.com/discount/Barrys_Catering__Cafe/coupon/00316141003RED01178640EPC00496999PRD00000001.html</t>
  </si>
  <si>
    <t>http://seattle.entertainment.com/discount/KoKo_Beans_Coffee_House/coupon/00316002003RED01328409EPC00497999PRD00000001.html</t>
  </si>
  <si>
    <t>Best Burgers</t>
  </si>
  <si>
    <t>7714 Custer Rd. W.</t>
  </si>
  <si>
    <t>http://seattle.entertainment.com/discount/Best_Burgers/coupon/05006044050RED01273202EPC00497999PRD00000056.html</t>
  </si>
  <si>
    <t>http://seattle.entertainment.com/discount/Bobs_Burger__Brew/coupon/00315456003RED01281966EPC00499999PRD00000001.html</t>
  </si>
  <si>
    <t>Marysville/Tulalip Bob's</t>
  </si>
  <si>
    <t>8822 Quilceda Pkwy</t>
  </si>
  <si>
    <t>http://seattle.entertainment.com/discount/MarysvilleTulalip_Bobs/coupon/97002724970RED01390785EPC00497999PRD00000001.html</t>
  </si>
  <si>
    <t>http://seattle.entertainment.com/discount/Cedarcrest_Grill/coupon/00316864003RED01357193EPC00497999PRD00000056.html</t>
  </si>
  <si>
    <t>http://seattle.entertainment.com/discount/BaskinRobbinsreg_Ice_Cream/coupon/05004747050RED01377740EPC00496999PRD00000001.html</t>
  </si>
  <si>
    <t>Fire Creek Grill</t>
  </si>
  <si>
    <t>15711 Marine Drive NE</t>
  </si>
  <si>
    <t>http://seattle.entertainment.com/discount/Fire_Creek_Grill/coupon/97002751970RED01391494EPC00497999PRD00000056.html</t>
  </si>
  <si>
    <t>http://seattle.entertainment.com/discount/BaskinRobbinsreg_Ice_Cream/coupon/05004747050RED01377741EPC00496999PRD00000001.html</t>
  </si>
  <si>
    <t>Gleneagle Family Restaurant Bar &amp; Grill</t>
  </si>
  <si>
    <t>7619 Country Club Dr.</t>
  </si>
  <si>
    <t>http://seattle.entertainment.com/discount/Gleneagle_Family_Restaurant_Bar__Grill/coupon/97002687970RED01387633EPC00497999PRD00000056.html</t>
  </si>
  <si>
    <t>http://seattle.entertainment.com/discount/Sahara_Pizza/coupon/00317630970RED01378938EPC00497999PRD00000001.html</t>
  </si>
  <si>
    <t>Willoughby's Restaurant</t>
  </si>
  <si>
    <t>113 Yelm Ave. E</t>
  </si>
  <si>
    <t>http://seattle.entertainment.com/discount/Willoughbys_Restaurant/coupon/05006018050RED01381843EPC00497999PRD00000056.html</t>
  </si>
  <si>
    <t>Chicken Express</t>
  </si>
  <si>
    <t>http://seattle.entertainment.com/discount/Chicken_Express/coupon/00317771003RED01389455EPC00497999PRD00000001.html</t>
  </si>
  <si>
    <t>http://seattle.entertainment.com/discount/Celtic_Bayou/coupon/00315412003RED01085521EPC00497999PRD00000001.html</t>
  </si>
  <si>
    <t>http://seattle.entertainment.com/discount/Tullys_Coffee/coupon/00314423003RED01236493EPC00496999PRD00000001.html</t>
  </si>
  <si>
    <t>http://seattle.entertainment.com/discount/Tullys_Coffee/coupon/00314429003RED01236503EPC00496999PRD00000001.html</t>
  </si>
  <si>
    <t>http://seattle.entertainment.com/discount/Tullys_Coffee/coupon/00314426003RED01236485EPC00496999PRD00000001.html</t>
  </si>
  <si>
    <t>http://seattle.entertainment.com/discount/Katys_Corner_Cafe/coupon/00314647003RED01248220EPC00497999PRD00000001.html</t>
  </si>
  <si>
    <t>http://seattle.entertainment.com/discount/Tullys_Coffee/coupon/00314429003RED01236475EPC00496999PRD00000001.html</t>
  </si>
  <si>
    <t>http://seattle.entertainment.com/discount/Tullys_Coffee/coupon/00314426003RED01236484EPC00496999PRD00000001.html</t>
  </si>
  <si>
    <t>http://seattle.entertainment.com/discount/Tullys_Coffee/coupon/00314423003RED01236486EPC00496999PRD00000001.html</t>
  </si>
  <si>
    <t>http://seattle.entertainment.com/discount/Tullys_Coffee/coupon/00314429003RED01236492EPC00496999PRD00000001.html</t>
  </si>
  <si>
    <t>http://seattle.entertainment.com/discount/Tullys_Coffee/coupon/00314423003RED01236474EPC00496999PRD00000001.html</t>
  </si>
  <si>
    <t>http://seattle.entertainment.com/discount/Tullys_Coffee/coupon/00314426003RED01236498EPC00496999PRD00000001.html</t>
  </si>
  <si>
    <t>http://seattle.entertainment.com/discount/Tullys_Coffee/coupon/00314429003RED01236504EPC00496999PRD00000001.html</t>
  </si>
  <si>
    <t>http://seattle.entertainment.com/discount/Tullys_Coffee/coupon/00314429003RED01236501EPC00496999PRD00000001.html</t>
  </si>
  <si>
    <t>http://seattle.entertainment.com/discount/Tullys_Coffee/coupon/00314429003RED01236529EPC00496999PRD00000001.html</t>
  </si>
  <si>
    <t>http://seattle.entertainment.com/discount/Tullys_Coffee/coupon/00314423003RED01236526EPC00496999PRD00000001.html</t>
  </si>
  <si>
    <t>http://seattle.entertainment.com/discount/Tullys_Coffee/coupon/00314429003RED01236491EPC00496999PRD00000001.html</t>
  </si>
  <si>
    <t>http://seattle.entertainment.com/discount/Beetlejuice_Java_Cafe/coupon/00317243003RED01376441EPC00497999PRD00000056.html</t>
  </si>
  <si>
    <t>http://seattle.entertainment.com/discount/Yummies_Eats__Treats/coupon/97002469970RED01375141EPC00497999PRD00000056.html</t>
  </si>
  <si>
    <t>Greek Express</t>
  </si>
  <si>
    <t>4058 Factoria Sq. Mall SE.</t>
  </si>
  <si>
    <t>http://seattle.entertainment.com/discount/Greek_Express/coupon/00317826003RED01391639EPC00497999PRD00000001.html</t>
  </si>
  <si>
    <t>Gyro World</t>
  </si>
  <si>
    <t>16114 NE 87th St.</t>
  </si>
  <si>
    <t>http://seattle.entertainment.com/discount/Gyro_World/coupon/00317831003RED01391641EPC00497999PRD00000001.html</t>
  </si>
  <si>
    <t>http://seattle.entertainment.com/discount/Bamiyan_Restaurant/coupon/00317729003RED01273721EPC00497999PRD00000001.html</t>
  </si>
  <si>
    <t>http://seattle.entertainment.com/discount/Tantalus_Restaurant/coupon/00317727003RED01273719EPC00497999PRD00000056.html</t>
  </si>
  <si>
    <t>http://seattle.entertainment.com/discount/Bengal_Tiger/coupon/00315004003RED01272995EPC00496999PRD00000001.html</t>
  </si>
  <si>
    <t>http://seattle.entertainment.com/discount/Saffron_Grill/coupon/00317732003RED01247647EPC00497999PRD00000001.html</t>
  </si>
  <si>
    <t>http://seattle.entertainment.com/discount/Mehak_Indian_Cuisine/coupon/00315125003RED01274022EPC00497999PRD00000001.html</t>
  </si>
  <si>
    <t>Tikka Masala Indian Cuisine</t>
  </si>
  <si>
    <t>12821 SE 38th St.</t>
  </si>
  <si>
    <t>http://seattle.entertainment.com/discount/Kabab_Palace/coupon/00317760003RED01271915EPC00497999PRD00000056.html</t>
  </si>
  <si>
    <t>http://seattle.entertainment.com/discount/India_Gate/coupon/00314973003RED01272407EPC00497999PRD00000001.html</t>
  </si>
  <si>
    <t>http://seattle.entertainment.com/discount/Kalia_Indian_Cuisine__Lynnwood/coupon/00315680003RED01281649EPC00499999PRD00000001.html</t>
  </si>
  <si>
    <t>http://seattle.entertainment.com/discount/India_Combo/coupon/00310626003RED00339445EPC00496999PRD00000001.html</t>
  </si>
  <si>
    <t>http://seattle.entertainment.com/discount/ENZA_Cucina_Siciliana/coupon/00314997003RED01271286EPC00499999PRD00000001.html</t>
  </si>
  <si>
    <t>http://seattle.entertainment.com/discount/Good_Guys_Pizza/coupon/00317350003RED01378084EPC00497999PRD00000056.html</t>
  </si>
  <si>
    <t>http://seattle.entertainment.com/discount/Snoose_Junction_Pizzeria_Part_Dieu/coupon/00315911003RED01299589EPC00499999PRD00000001.html</t>
  </si>
  <si>
    <t>http://seattle.entertainment.com/discount/Angelos_Ristorante/coupon/00316311003RED01228732EPC00499999PRD00000001.html</t>
  </si>
  <si>
    <t>http://seattle.entertainment.com/discount/Romios_Pizza__Pasta/coupon/00315659003RED01282190EPC00497999PRD00000001.html</t>
  </si>
  <si>
    <t>http://seattle.entertainment.com/discount/Alfys_Pizza__Pasta/coupon/97001712970RED01006897EPC00496999PRD00000001.html</t>
  </si>
  <si>
    <t>http://seattle.entertainment.com/discount/Cucina_Cucina_Italian_Cafe/coupon/00317354003RED01380856EPC00497999PRD00000056.html</t>
  </si>
  <si>
    <t>http://seattle.entertainment.com/discount/Mad_Moose_Pizza/coupon/05004849050RED01246261EPC00496999PRD00000001.html</t>
  </si>
  <si>
    <t>http://seattle.entertainment.com/discount/Athens_Pizza__Pasta_of_Des_Moines/coupon/00312904003RED01115570EPC00496999PRD00000001.html</t>
  </si>
  <si>
    <t>13121 SE Kent Kangley Rd.</t>
  </si>
  <si>
    <t>http://seattle.entertainment.com/discount/Alfys_Pizza__Pasta/coupon/97001712970RED01006892EPC00496999PRD00000001.html</t>
  </si>
  <si>
    <t>http://seattle.entertainment.com/discount/Alfys_Pizza__Pasta/coupon/97001712970RED01006890EPC00496999PRD00000001.html</t>
  </si>
  <si>
    <t>http://seattle.entertainment.com/discount/Sahara_Pizza/coupon/00317402003RED01377380EPC00497999PRD00000056.html</t>
  </si>
  <si>
    <t>http://seattle.entertainment.com/discount/Alfys_Pizza__Pasta/coupon/97001713970RED01006895EPC00497999PRD00000001.html</t>
  </si>
  <si>
    <t>http://seattle.entertainment.com/discount/Alfys_Pizza__Pasta/coupon/97001712970RED01006898EPC00496999PRD00000001.html</t>
  </si>
  <si>
    <t>3405 173rd Pl. NE&lt;p&gt;</t>
  </si>
  <si>
    <t>http://seattle.entertainment.com/discount/El_Farol_Mexican_Restaurant/coupon/00314851003RED01264643EPC00497999PRD00000001.html</t>
  </si>
  <si>
    <t>http://seattle.entertainment.com/discount/Casa_Patron_Mexican__Latin_Food/coupon/00317537003RED01380920EPC00497999PRD00000001.html</t>
  </si>
  <si>
    <t>http://seattle.entertainment.com/discount/La_Botana/coupon/00300535003RED00537608EPC00496999PRD00000001.html</t>
  </si>
  <si>
    <t>Luisa's Mexican Grill</t>
  </si>
  <si>
    <t>9747 4th Ave. NW.</t>
  </si>
  <si>
    <t>http://seattle.entertainment.com/discount/Luisas_Mexican_Grill/coupon/00317622003RED01383794EPC00497999PRD00000001.html</t>
  </si>
  <si>
    <t>http://seattle.entertainment.com/discount/Aventura_Mexican_Restaurant/coupon/00315263003RED01276181EPC00497999PRD00000056.html</t>
  </si>
  <si>
    <t>http://seattle.entertainment.com/discount/Taqueria_La_Fondita/coupon/00313613003RED01175614EPC00497999PRD00000056.html</t>
  </si>
  <si>
    <t>http://seattle.entertainment.com/discount/Mezcall_Grill/coupon/00316355003RED01346669EPC00497999PRD00000001.html</t>
  </si>
  <si>
    <t>http://seattle.entertainment.com/discount/La_Costa_Mexican_Restaurant/coupon/00317656003RED01274013EPC00497999PRD00000001.html</t>
  </si>
  <si>
    <t>http://seattle.entertainment.com/discount/Casa_Durango/coupon/00313352003RED00782656EPC00496999PRD00000001.html</t>
  </si>
  <si>
    <t>http://seattle.entertainment.com/discount/Los_Cabos/coupon/00314808050RED01262504EPC00496999PRD00000001.html</t>
  </si>
  <si>
    <t>http://seattle.entertainment.com/discount/Rancho_Grande/coupon/00315386003RED01281104EPC00496999PRD00000001.html</t>
  </si>
  <si>
    <t>http://seattle.entertainment.com/discount/La_Casita/coupon/00315386003RED01281105EPC00496999PRD00000001.html</t>
  </si>
  <si>
    <t>http://seattle.entertainment.com/discount/Burney_Brothers_BBQ/coupon/00316843003RED01358095EPC00497999PRD00000056.html</t>
  </si>
  <si>
    <t>http://seattle.entertainment.com/discount/Los_Cazadores_Mexican_Restaurant/coupon/05004346050RED01115810EPC00497999PRD00000056.html</t>
  </si>
  <si>
    <t>http://seattle.entertainment.com/discount/Lago_Azul/coupon/00313938003RED01199369EPC00496999PRD00000001.html</t>
  </si>
  <si>
    <t>http://seattle.entertainment.com/discount/Los_Cabos/coupon/00314808003RED01262764EPC00496999PRD00000001.html</t>
  </si>
  <si>
    <t>Antojitos "La Santa"</t>
  </si>
  <si>
    <t>http://seattle.entertainment.com/discount/Mariscos_Los_Pinos/coupon/00313862003RED01187724EPC00496999PRD00000001.html</t>
  </si>
  <si>
    <t>http://seattle.entertainment.com/discount/El_Caporal_Fall_City/coupon/00316326003RED01311904EPC00497999PRD00000056.html</t>
  </si>
  <si>
    <t>http://seattle.entertainment.com/discount/El_Paraiso_Mexican_Grill/coupon/00317716003RED01273252EPC00497999PRD00000056.html</t>
  </si>
  <si>
    <t>Funky Iguana</t>
  </si>
  <si>
    <t>http://seattle.entertainment.com/discount/Funky_Iguana/coupon/05006050050RED01273368EPC00497999PRD00000056.html</t>
  </si>
  <si>
    <t>http://seattle.entertainment.com/discount/El_Rey/coupon/97001942970RED01197712EPC00496999PRD00000001.html</t>
  </si>
  <si>
    <t>1200 Cooper Point Road</t>
  </si>
  <si>
    <t>http://seattle.entertainment.com/discount/EL_SARAPE/coupon/05006025050RED01381014EPC00497999PRD00000056.html</t>
  </si>
  <si>
    <t>http://seattle.entertainment.com/discount/Harissa_Mediterranean_Cuisine/coupon/00317479003RED01379729EPC00497999PRD00000056.html</t>
  </si>
  <si>
    <t>http://seattle.entertainment.com/discount/Snoose_Junction_Pizzeria/coupon/00315911003RED01299588EPC00499999PRD00000001.html</t>
  </si>
  <si>
    <t>http://seattle.entertainment.com/discount/Galerias_Gourmet_Mexican_Restaurant/coupon/00315508003RED01128878EPC00496999PRD00000001.html</t>
  </si>
  <si>
    <t>http://seattle.entertainment.com/discount/Round_Table_Pizza/coupon/87018201870RED01389639EPC00496999PRD00000001.html</t>
  </si>
  <si>
    <t>http://seattle.entertainment.com/discount/Rainforest_Caf/coupon/87014411870RED01270515EPC00496999PRD00000001.html</t>
  </si>
  <si>
    <t>http://seattle.entertainment.com/discount/Round_Table_Pizza/coupon/87018205870RED01389895EPC00497999PRD00000001.html</t>
  </si>
  <si>
    <t>http://seattle.entertainment.com/discount/Johnny_Rockets/coupon/87015243870RED01283350EPC00496999PRD00000001.html</t>
  </si>
  <si>
    <t>http://seattle.entertainment.com/discount/Foxys_Pub__Eatery/coupon/00316127003RED01298717EPC00497999PRD00000056.html</t>
  </si>
  <si>
    <t>http://seattle.entertainment.com/discount/Round_Table_Pizza/coupon/87018207870RED01389610EPC00496999PRD00000001.html</t>
  </si>
  <si>
    <t>http://seattle.entertainment.com/discount/Emerald_City_Smoothie/coupon/87017070870RED01301334EPC00496999PRD00000001.html</t>
  </si>
  <si>
    <t>http://seattle.entertainment.com/discount/Mrs_Fields_Cookies/coupon/87019669870RED01355053EPC00497999PRD00000001.html</t>
  </si>
  <si>
    <t>http://seattle.entertainment.com/discount/Emerald_City_Smoothie/coupon/87017073870RED01301336EPC00496999PRD00000001.html</t>
  </si>
  <si>
    <t>http://seattle.entertainment.com/discount/Jack_in_the_Box/coupon/87017451870RED01327894EPC00496999PRD00000001.html</t>
  </si>
  <si>
    <t>http://seattle.entertainment.com/discount/Jack_in_the_Box/coupon/87017464870RED01327903EPC00496999PRD00000001.html</t>
  </si>
  <si>
    <t>http://seattle.entertainment.com/discount/Auntie_Annes/coupon/87019834870RED01371756EPC00497999PRD00000001.html</t>
  </si>
  <si>
    <t>http://seattle.entertainment.com/discount/Jack_in_the_Box/coupon/87017473870RED01327915EPC00496999PRD00000001.html</t>
  </si>
  <si>
    <t>10902 NE 39th Place</t>
  </si>
  <si>
    <t>Bellvue</t>
  </si>
  <si>
    <t>http://seattle.entertainment.com/discount/Natures_Table_Caf/coupon/87016604870RED01391481EPC00496999PRD00000001.html</t>
  </si>
  <si>
    <t>http://seattle.entertainment.com/discount/Woodys_Chicago_Style_Hot_Dogs/coupon/87015480870RED01287125EPC00496999PRD00000001.html</t>
  </si>
  <si>
    <t>http://seattle.entertainment.com/discount/Jack_in_the_Box/coupon/87017473870RED01327880EPC00496999PRD00000001.html</t>
  </si>
  <si>
    <t>http://seattle.entertainment.com/discount/Jack_in_the_Box/coupon/87017451870RED01327867EPC00496999PRD00000001.html</t>
  </si>
  <si>
    <t>http://seattle.entertainment.com/discount/Dominos/coupon/87016286870RED01362554EPC00496999PRD00000001.html</t>
  </si>
  <si>
    <t>http://seattle.entertainment.com/discount/Jack_in_the_Box/coupon/87017464870RED01327828EPC00496999PRD00000001.html</t>
  </si>
  <si>
    <t>http://seattle.entertainment.com/discount/Emerald_City_Smoothie/coupon/87017067870RED01369515EPC00496999PRD00000001.html</t>
  </si>
  <si>
    <t>http://seattle.entertainment.com/discount/Jack_in_the_Box/coupon/87017469870RED01327852EPC00496999PRD00000001.html</t>
  </si>
  <si>
    <t>http://seattle.entertainment.com/discount/Natures_Table_Caf/coupon/87016604870RED01391410EPC00496999PRD00000001.html</t>
  </si>
  <si>
    <t>SOUTHCENTER MALL&lt;p&gt;504 SOUTHCENTER MALL</t>
  </si>
  <si>
    <t>TUKWILA</t>
  </si>
  <si>
    <t>http://seattle.entertainment.com/discount/Natures_Table_Caf/coupon/87016604870RED01391409EPC00496999PRD00000001.html</t>
  </si>
  <si>
    <t>http://seattle.entertainment.com/discount/Dominos/coupon/87016317870RED01362561EPC00496999PRD00000001.html</t>
  </si>
  <si>
    <t>http://seattle.entertainment.com/discount/Jack_in_the_Box/coupon/87017451870RED01327908EPC00496999PRD00000001.html</t>
  </si>
  <si>
    <t>http://seattle.entertainment.com/discount/Dominos/coupon/87016286870RED01362524EPC00496999PRD00000001.html</t>
  </si>
  <si>
    <t>http://seattle.entertainment.com/discount/Woodys_Chicago_Style_Hot_Dogs/coupon/87015480870RED01287126EPC00496999PRD00000001.html</t>
  </si>
  <si>
    <t>http://seattle.entertainment.com/discount/Woodys_Coffee__Espresso/coupon/87015500870RED01287167EPC00497999PRD00000001.html</t>
  </si>
  <si>
    <t>http://seattle.entertainment.com/discount/Jack_in_the_Box/coupon/87017451870RED01327881EPC00496999PRD00000001.html</t>
  </si>
  <si>
    <t>http://seattle.entertainment.com/discount/AWreg_All_American_Foodreg/coupon/87015741870RED01289040EPC00496999PRD00000001.html</t>
  </si>
  <si>
    <t>http://seattle.entertainment.com/discount/Dominos/coupon/87016320870RED01362501EPC00496999PRD00000001.html</t>
  </si>
  <si>
    <t>http://seattle.entertainment.com/discount/Dominos/coupon/87016317870RED01362565EPC00496999PRD00000001.html</t>
  </si>
  <si>
    <t>http://seattle.entertainment.com/discount/Mrs_Fields_Cookies/coupon/87019669870RED01355055EPC00497999PRD00000001.html</t>
  </si>
  <si>
    <t>http://seattle.entertainment.com/discount/TCBY/coupon/87015676870RED01369163EPC00496999PRD00000001.html</t>
  </si>
  <si>
    <t>http://seattle.entertainment.com/discount/TCBY/coupon/00313309003RED00728548EPC00496999PRD00000001.html</t>
  </si>
  <si>
    <t>http://seattle.entertainment.com/discount/Dairy_Queenreg/coupon/87017282870RED01320928EPC00496999PRD00000001.html</t>
  </si>
  <si>
    <t>http://seattle.entertainment.com/discount/Dominos/coupon/87016320870RED01362494EPC00496999PRD00000001.html</t>
  </si>
  <si>
    <t>http://seattle.entertainment.com/discount/Dominos/coupon/87016317870RED01362546EPC00496999PRD00000001.html</t>
  </si>
  <si>
    <t>http://seattle.entertainment.com/discount/Dominos/coupon/87016317870RED01362503EPC00496999PRD00000001.html</t>
  </si>
  <si>
    <t>http://seattle.entertainment.com/discount/Dairy_Queenreg/coupon/87017276870RED01320930EPC00496999PRD00000001.html</t>
  </si>
  <si>
    <t>http://seattle.entertainment.com/discount/Jack_in_the_Box/coupon/87017473870RED01327901EPC00496999PRD00000001.html</t>
  </si>
  <si>
    <t>http://seattle.entertainment.com/discount/Dominos/coupon/87016320870RED01362552EPC00496999PRD00000001.html</t>
  </si>
  <si>
    <t>http://seattle.entertainment.com/discount/BaskinRobbins/coupon/05004750003RED01197668EPC00496999PRD00000001.html</t>
  </si>
  <si>
    <t>http://seattle.entertainment.com/discount/Jack_in_the_Box/coupon/87017473870RED01327861EPC00496999PRD00000001.html</t>
  </si>
  <si>
    <t>http://seattle.entertainment.com/discount/Dominos/coupon/87016320870RED01362548EPC00496999PRD00000001.html</t>
  </si>
  <si>
    <t>http://seattle.entertainment.com/discount/Mrs_Fields_Cookies/coupon/87019640870RED01354857EPC00497999PRD00000001.html</t>
  </si>
  <si>
    <t>http://seattle.entertainment.com/discount/Jack_in_the_Box/coupon/87017469870RED01327868EPC00496999PRD00000001.html</t>
  </si>
  <si>
    <t>http://seattle.entertainment.com/discount/Dominos/coupon/87016317870RED01362540EPC00496999PRD00000001.html</t>
  </si>
  <si>
    <t>SUPERMALL OF THE GREAT NW&lt;p&gt;1101 SUPERMALL WAY STE 1041</t>
  </si>
  <si>
    <t>http://seattle.entertainment.com/discount/Dairy_Queenreg/coupon/87017276870RED01320929EPC00496999PRD00000001.html</t>
  </si>
  <si>
    <t>1101 Supermall Way&lt;p&gt;Space 1030</t>
  </si>
  <si>
    <t>FREE REGULAR SOFT DRINK</t>
  </si>
  <si>
    <t>http://seattle.entertainment.com/discount/Dominos/coupon/87016320870RED01362507EPC00496999PRD00000001.html</t>
  </si>
  <si>
    <t>http://seattle.entertainment.com/discount/Dairy_Queenreg/coupon/87017282870RED01320926EPC00496999PRD00000001.html</t>
  </si>
  <si>
    <t>http://seattle.entertainment.com/discount/Dairy_Queenreg/coupon/87017426870RED01320895EPC00496999PRD00000001.html</t>
  </si>
  <si>
    <t>http://seattle.entertainment.com/discount/Dominos/coupon/87016320870RED01362498EPC00496999PRD00000001.html</t>
  </si>
  <si>
    <t>http://seattle.entertainment.com/discount/Jack_in_the_Box/coupon/87017469870RED01327812EPC00496999PRD00000001.html</t>
  </si>
  <si>
    <t>http://seattle.entertainment.com/discount/AWreg_All_American_Foodreg/coupon/87015705870RED01289035EPC00496999PRD00000001.html</t>
  </si>
  <si>
    <t>http://seattle.entertainment.com/discount/Dairy_Queenreg/coupon/87017426870RED01320917EPC00496999PRD00000001.html</t>
  </si>
  <si>
    <t>TACOMA MALL&lt;p&gt;4502 S STEELE ST STE 519</t>
  </si>
  <si>
    <t>http://seattle.entertainment.com/discount/Jack_in_the_Box/coupon/87017473870RED01327907EPC00496999PRD00000001.html</t>
  </si>
  <si>
    <t>http://seattle.entertainment.com/discount/Dominos/coupon/87016317870RED01362536EPC00496999PRD00000001.html</t>
  </si>
  <si>
    <t>http://seattle.entertainment.com/discount/Dairy_Queenreg/coupon/87017282870RED01320921EPC00496999PRD00000001.html</t>
  </si>
  <si>
    <t>http://seattle.entertainment.com/discount/AWreg_All_American_Foodreg/coupon/87015741870RED01289038EPC00496999PRD00000001.html</t>
  </si>
  <si>
    <t>10600 Quil Ceda Blvd.&lt;p&gt;#381C</t>
  </si>
  <si>
    <t>http://seattle.entertainment.com/discount/AWreg_All_American_Foodreg/coupon/87015741870RED01289036EPC00496999PRD00000001.html</t>
  </si>
  <si>
    <t>http://seattle.entertainment.com/discount/Dominos/coupon/87016320870RED01362545EPC00496999PRD00000001.html</t>
  </si>
  <si>
    <t>http://seattle.entertainment.com/discount/Emerald_City_Smoothie/coupon/87017070870RED01301307EPC00496999PRD00000001.html</t>
  </si>
  <si>
    <t>http://seattle.entertainment.com/discount/Jack_in_the_Box/coupon/87017464870RED01327904EPC00496999PRD00000001.html</t>
  </si>
  <si>
    <t>http://seattle.entertainment.com/discount/Jack_in_the_Box/coupon/87017451870RED01327839EPC00496999PRD00000001.html</t>
  </si>
  <si>
    <t>http://seattle.entertainment.com/discount/Dominos/coupon/87016286870RED01362523EPC00496999PRD00000001.html</t>
  </si>
  <si>
    <t>http://seattle.entertainment.com/discount/Dairy_Queenreg/coupon/87017355870RED01320901EPC00496999PRD00000001.html</t>
  </si>
  <si>
    <t>http://seattle.entertainment.com/discount/Dominos/coupon/87016317870RED01362541EPC00496999PRD00000001.html</t>
  </si>
  <si>
    <t>http://seattle.entertainment.com/discount/Dairy_Queenreg/coupon/87017276870RED01320897EPC00496999PRD00000001.html</t>
  </si>
  <si>
    <t>http://seattle.entertainment.com/discount/Dairy_Queenreg/coupon/87017355870RED01320887EPC00496999PRD00000001.html</t>
  </si>
  <si>
    <t>http://seattle.entertainment.com/discount/Ivars_Seafood_Bars/coupon/00316543003RED01205499EPC00497999PRD00000001.html</t>
  </si>
  <si>
    <t>http://seattle.entertainment.com/discount/Skippers_Seafood__Chowder/coupon/00313081003RED01126258EPC00496999PRD00000001.html</t>
  </si>
  <si>
    <t>http://seattle.entertainment.com/discount/Ivars_Seafood_Bar/coupon/00316542003RED00933687EPC00496999PRD00000001.html</t>
  </si>
  <si>
    <t>http://seattle.entertainment.com/discount/Ivars_Seafood_Bar/coupon/00316542003RED00933694EPC00496999PRD00000001.html</t>
  </si>
  <si>
    <t>http://seattle.entertainment.com/discount/Ivars_Seafood_Bar/coupon/00316543003RED00933685EPC00497999PRD00000001.html</t>
  </si>
  <si>
    <t>http://seattle.entertainment.com/discount/Ivars_Seafood_Bar/coupon/00316542003RED00933684EPC00496999PRD00000001.html</t>
  </si>
  <si>
    <t>http://seattle.entertainment.com/discount/Skippers_Seafood__Chowder/coupon/00313078003RED01126262EPC00496999PRD00000001.html</t>
  </si>
  <si>
    <t>http://seattle.entertainment.com/discount/Skippers_Seafood__Chowder/coupon/00313081003RED01126260EPC00496999PRD00000001.html</t>
  </si>
  <si>
    <t>http://seattle.entertainment.com/discount/Asian_Breeze/coupon/00314990003RED01271296EPC00499999PRD00000001.html</t>
  </si>
  <si>
    <t>http://seattle.entertainment.com/discount/Maui_Wowi_Hawaiian/coupon/00317570003RED01381493EPC00497999PRD00000001.html</t>
  </si>
  <si>
    <t>http://seattle.entertainment.com/discount/Krittikas_Noodles__Thai_Cuisine/coupon/00317531003RED01380927EPC00497999PRD00000001.html</t>
  </si>
  <si>
    <t>http://seattle.entertainment.com/discount/Indo_Cafe/coupon/00316343003RED01298519EPC00496999PRD00000001.html</t>
  </si>
  <si>
    <t>http://seattle.entertainment.com/discount/Daimonji_Japanese_Restaurant/coupon/00316889003RED01372610EPC00497999PRD00000056.html</t>
  </si>
  <si>
    <t>http://seattle.entertainment.com/discount/Atrium_Bistro/coupon/00317474003RED01379640EPC00497999PRD00000056.html</t>
  </si>
  <si>
    <t>http://seattle.entertainment.com/discount/Thai_Palms/coupon/00314772003RED01262669EPC00496999PRD00000001.html</t>
  </si>
  <si>
    <t>http://seattle.entertainment.com/discount/T_Station_Cafe/coupon/00317315003RED01377289EPC00497999PRD00000056.html</t>
  </si>
  <si>
    <t>http://seattle.entertainment.com/discount/Changs_Mongolian_Grill/coupon/00315554003RED01287227EPC00497999PRD00000001.html</t>
  </si>
  <si>
    <t>http://seattle.entertainment.com/discount/Royal_Orchid/coupon/00316403003RED01340032EPC00496999PRD00000001.html</t>
  </si>
  <si>
    <t>http://seattle.entertainment.com/discount/Irene_Family_Thai_Restaurant/coupon/00313636003RED01174517EPC00496999PRD00000001.html</t>
  </si>
  <si>
    <t>http://seattle.entertainment.com/discount/Thai_Woodinville/coupon/00314719003RED01261183EPC00496999PRD00000001.html</t>
  </si>
  <si>
    <t>http://seattle.entertainment.com/discount/Hot_Iron_Mongolian_Grill/coupon/00317256003RED01378252EPC00497999PRD00000001.html</t>
  </si>
  <si>
    <t>50% OFF ONE DINNER BOWL</t>
  </si>
  <si>
    <t>http://seattle.entertainment.com/discount/Kings_Mongolian_Grill/coupon/00316809003RED01358272EPC00497999PRD00000001.html</t>
  </si>
  <si>
    <t>http://seattle.entertainment.com/discount/Sushi_Spott/coupon/00317067003RED01374898EPC00497999PRD00000056.html</t>
  </si>
  <si>
    <t>http://seattle.entertainment.com/discount/New_Engs_Restaurant__Bar/coupon/05005800050RED01379046EPC00497999PRD00000001.html</t>
  </si>
  <si>
    <t>http://seattle.entertainment.com/discount/Changs_Mongolian_Grill/coupon/00315554003RED01287228EPC00497999PRD00000001.html</t>
  </si>
  <si>
    <t>http://seattle.entertainment.com/discount/Ringo_Wok_Teriyaki/coupon/05005245050RED01296330EPC00497999PRD00000001.html</t>
  </si>
  <si>
    <t>http://seattle.entertainment.com/discount/Saigon_Palace_Pho__Vietnamese_Cuisine/coupon/05005220050RED01301874EPC00496999PRD00000001.html</t>
  </si>
  <si>
    <t>http://seattle.entertainment.com/discount/Hong_Kong_Gardens/coupon/00316280003RED01313055EPC00497999PRD00000001.html</t>
  </si>
  <si>
    <t>http://seattle.entertainment.com/discount/Mae_Phim_Thai_Restaurant/coupon/00316745003RED01352863EPC00497999PRD00000056.html</t>
  </si>
  <si>
    <t>http://seattle.entertainment.com/discount/Miyakos_Teriyaki_and_Wok/coupon/97002382970RED01370649EPC00497999PRD00000056.html</t>
  </si>
  <si>
    <t>http://seattle.entertainment.com/discount/Ivars_Seafood_Bars/coupon/00316542003RED01010101EPC00496999PRD00000001.html</t>
  </si>
  <si>
    <t>http://seattle.entertainment.com/discount/Ivars_Seafood_Bars/coupon/00316542003RED01340182EPC00496999PRD00000001.html</t>
  </si>
  <si>
    <t>http://seattle.entertainment.com/discount/Ivars_Seafood_Bar/coupon/00316543003RED00933696EPC00497999PRD00000001.html</t>
  </si>
  <si>
    <t>http://seattle.entertainment.com/discount/Ivars_Seafood_Bar/coupon/00316542003RED00933682EPC00496999PRD00000001.html</t>
  </si>
  <si>
    <t>http://seattle.entertainment.com/discount/Island_Grill/coupon/00317824003RED01249543EPC00497999PRD00000056.html</t>
  </si>
  <si>
    <t>http://seattle.entertainment.com/discount/Skippers_Seafood__Chowder/coupon/00313081003RED01126257EPC00496999PRD00000001.html</t>
  </si>
  <si>
    <t>http://seattle.entertainment.com/discount/Sams_Pitt_II_Mobile_BBQ/coupon/00317773003RED01390068EPC00497999PRD00000001.html</t>
  </si>
  <si>
    <t>http://seattle.entertainment.com/discount/Mr_Moos_BBQ/coupon/00316219003RED01324323EPC00497999PRD00000056.html</t>
  </si>
  <si>
    <t>http://seattle.entertainment.com/discount/Afrikando_Afrikando/coupon/00314600003RED01246438EPC00497999PRD00000056.html</t>
  </si>
  <si>
    <t>http://seattle.entertainment.com/discount/Pike_Place_Chowder/coupon/00315398003RED01281109EPC00497999PRD00000056.html</t>
  </si>
  <si>
    <t>http://seattle.entertainment.com/discount/Terrace_Garden/coupon/00307855003RED00861994EPC00499999PRD00000001.html</t>
  </si>
  <si>
    <t>http://seattle.entertainment.com/discount/Pike_Place_Chowder/coupon/00315395003RED01281108EPC00497999PRD00000001.html</t>
  </si>
  <si>
    <t>http://seattle.entertainment.com/discount/Cupcake_Royale/coupon/00315616003RED01212191EPC00496999PRD00000001.html</t>
  </si>
  <si>
    <t>http://seattle.entertainment.com/discount/Q_Cafe/coupon/00314904003RED01269433EPC00497999PRD00000001.html</t>
  </si>
  <si>
    <t>http://seattle.entertainment.com/discount/Ballard_Grill__Alehouse/coupon/00317169003RED01375195EPC00497999PRD00000056.html</t>
  </si>
  <si>
    <t>http://seattle.entertainment.com/discount/Treehouse_Bar__Grill/coupon/00315112003RED01273873EPC00497999PRD00000056.html</t>
  </si>
  <si>
    <t>http://seattle.entertainment.com/discount/Cheeky_Cafe/coupon/00317053003RED01374621EPC00497999PRD00000056.html</t>
  </si>
  <si>
    <t>http://seattle.entertainment.com/discount/I_Love_New_York_Deli/coupon/00317485003RED01379738EPC00497999PRD00000001.html</t>
  </si>
  <si>
    <t>http://seattle.entertainment.com/discount/Taste_of_Chicago/coupon/00315326003RED01277066EPC00497999PRD00000056.html</t>
  </si>
  <si>
    <t>http://seattle.entertainment.com/discount/Zayda_Buddys_Pizza/coupon/00315348003RED01279763EPC00497999PRD00000001.html</t>
  </si>
  <si>
    <t>http://seattle.entertainment.com/discount/Oberto_Factory_Store/coupon/00315537003RED01286287EPC00497999PRD00000001.html</t>
  </si>
  <si>
    <t>http://seattle.entertainment.com/discount/Great_Harvest_Bread_Co/coupon/00315633003RED01295874EPC00496999PRD00000001.html</t>
  </si>
  <si>
    <t>http://seattle.entertainment.com/discount/Scooters_Burgers__Shakes/coupon/00315748003RED01283836EPC00496999PRD00000001.html</t>
  </si>
  <si>
    <t>http://seattle.entertainment.com/discount/Great_Harvest_Bread_Co/coupon/00315633003RED01295876EPC00496999PRD00000001.html</t>
  </si>
  <si>
    <t>http://seattle.entertainment.com/discount/Couth_Buzzard_Espresso_Buono/coupon/00315253003RED01276213EPC00497999PRD00000056.html</t>
  </si>
  <si>
    <t>http://seattle.entertainment.com/discount/Cafe_Kopi/coupon/00317185003RED01377298EPC00497999PRD00000001.html</t>
  </si>
  <si>
    <t>http://seattle.entertainment.com/discount/Sweet_on_You/coupon/00314931003RED01265331EPC00496999PRD00000001.html</t>
  </si>
  <si>
    <t>http://seattle.entertainment.com/discount/Mojo_on_the_Go/coupon/00317158003RED01375052EPC00497999PRD00000056.html</t>
  </si>
  <si>
    <t>http://seattle.entertainment.com/discount/Bamboo_Bar__Grill/coupon/00314916003RED00791868EPC00496999PRD00000001.html</t>
  </si>
  <si>
    <t>http://seattle.entertainment.com/discount/Wheatless_In_Seattle/coupon/00314928003RED01264441EPC00497999PRD00000001.html</t>
  </si>
  <si>
    <t>http://seattle.entertainment.com/discount/Rocksport_Bar__Grill/coupon/00316367003RED01338874EPC00497999PRD00000001.html</t>
  </si>
  <si>
    <t>http://seattle.entertainment.com/discount/Arbys/coupon/00300598003RED00000159EPC00496999PRD00000001.html</t>
  </si>
  <si>
    <t>http://seattle.entertainment.com/discount/Michigan_Street_Deli/coupon/00317083003RED01375651EPC00497999PRD00000001.html</t>
  </si>
  <si>
    <t>http://seattle.entertainment.com/discount/Cafe_Lati/coupon/00317191003RED01375545EPC00497999PRD00000001.html</t>
  </si>
  <si>
    <t>http://seattle.entertainment.com/discount/Brief_Encounter_Cafe/coupon/00313668003RED01175194EPC00496999PRD00000001.html</t>
  </si>
  <si>
    <t>http://seattle.entertainment.com/discount/Fatburger/coupon/00315976003RED01308665EPC00496999PRD00000001.html</t>
  </si>
  <si>
    <t>http://seattle.entertainment.com/discount/BaskinRobbinsreg_Ice_Cream/coupon/05004755003RED01381261EPC00496999PRD00000001.html</t>
  </si>
  <si>
    <t>http://seattle.entertainment.com/discount/Aurora_Donuts/coupon/00317340003RED01377475EPC00497999PRD00000056.html</t>
  </si>
  <si>
    <t>http://seattle.entertainment.com/discount/Brickhouse_Pub/coupon/00308353003RED00875164EPC00497999PRD00000056.html</t>
  </si>
  <si>
    <t>http://seattle.entertainment.com/discount/Jimmy_Gs_70th_Street_Grill/coupon/00313560003RED01172916EPC00496999PRD00000001.html</t>
  </si>
  <si>
    <t>http://seattle.entertainment.com/discount/Steves_Bar__Grill/coupon/00314730003RED01261190EPC00497999PRD00000001.html</t>
  </si>
  <si>
    <t>http://seattle.entertainment.com/discount/Honey_Bear_Bakery/coupon/00315304003RED01277565EPC00497999PRD00000001.html</t>
  </si>
  <si>
    <t>http://seattle.entertainment.com/discount/Great_Harvest_Bread_Co/coupon/00315633003RED01295871EPC00496999PRD00000001.html</t>
  </si>
  <si>
    <t>http://seattle.entertainment.com/discount/Arbys/coupon/00300599003RED00102001EPC00496999PRD00000001.html</t>
  </si>
  <si>
    <t>http://seattle.entertainment.com/discount/Froots/coupon/00316916003RED01372862EPC00497999PRD00000056.html</t>
  </si>
  <si>
    <t>http://seattle.entertainment.com/discount/Oddfellows_Grill_on_Leary/coupon/00313819003RED01184593EPC00496999PRD00000001.html</t>
  </si>
  <si>
    <t>UP TO $20.00 VALUE</t>
  </si>
  <si>
    <t>http://seattle.entertainment.com/discount/Mark_Restaurant_and_Bar/coupon/00314447003RED01233237EPC00496999PRD00000001.html</t>
  </si>
  <si>
    <t>http://seattle.entertainment.com/discount/Redhook_Ale_Brewery/coupon/00315401003RED01198491EPC00496999PRD00000001.html</t>
  </si>
  <si>
    <t>http://seattle.entertainment.com/discount/Plum_Delicious_Family_Restaurant/coupon/00315072003RED01201928EPC00497999PRD00000001.html</t>
  </si>
  <si>
    <t>http://seattle.entertainment.com/discount/Club_Java/coupon/00316960003RED01371809EPC00497999PRD00000056.html</t>
  </si>
  <si>
    <t>http://seattle.entertainment.com/discount/Rubattinos/coupon/00306439003RED00592658EPC00497999PRD00000056.html</t>
  </si>
  <si>
    <t>FREE MEDIUM OR LARGE PIZZA</t>
  </si>
  <si>
    <t>http://seattle.entertainment.com/discount/Family_Fun_Center__Bullwinkles_Restaurant/coupon/00315715003RED01299768EPC00497999PRD00000001.html</t>
  </si>
  <si>
    <t>http://seattle.entertainment.com/discount/BaskinRobbins_Ice_Cream/coupon/05004747003RED01197669EPC00496999PRD00000001.html</t>
  </si>
  <si>
    <t>http://seattle.entertainment.com/discount/Johnnys_Sports_Bar__Grill/coupon/00312763003RED01101627EPC00497999PRD00000056.html</t>
  </si>
  <si>
    <t>http://seattle.entertainment.com/discount/McCarthys_Bar__Grill/coupon/00310456003RED00925699EPC00497999PRD00000056.html</t>
  </si>
  <si>
    <t>http://seattle.entertainment.com/discount/Cove_To_Go_Gourmet_Meals/coupon/00314570003RED01246883EPC00496999PRD00000001.html</t>
  </si>
  <si>
    <t>http://seattle.entertainment.com/discount/Arbys/coupon/00300599003RED00000158EPC00496999PRD00000001.html</t>
  </si>
  <si>
    <t>http://seattle.entertainment.com/discount/BaskinRobbinsreg_Ice_Cream/coupon/05004755003RED01214356EPC00496999PRD00000001.html</t>
  </si>
  <si>
    <t>http://seattle.entertainment.com/discount/Rock_N_Roll_Burger/coupon/00317132003RED01376641EPC00497999PRD00000001.html</t>
  </si>
  <si>
    <t>http://seattle.entertainment.com/discount/Fatburger/coupon/00316331003RED01308666EPC00497999PRD00000001.html</t>
  </si>
  <si>
    <t>http://seattle.entertainment.com/discount/GWs_Soup_Salad_and_Subs/coupon/05004979050RED01262241EPC00497999PRD00000056.html</t>
  </si>
  <si>
    <t>http://seattle.entertainment.com/discount/Tuscany_at_Des_Moines_Creek/coupon/00314270003RED01212157EPC00496999PRD00000001.html</t>
  </si>
  <si>
    <t>http://seattle.entertainment.com/discount/KidznCoffee/coupon/00314831003RED01263306EPC00497999PRD00000056.html</t>
  </si>
  <si>
    <t>http://seattle.entertainment.com/discount/Yacht_Club/coupon/05005712050RED01376218EPC00497999PRD00000056.html</t>
  </si>
  <si>
    <t>http://seattle.entertainment.com/discount/Big_Apple_Bagels/coupon/00309392003RED00920087EPC00497999PRD00000056.html</t>
  </si>
  <si>
    <t>http://seattle.entertainment.com/discount/Kona_Kai_Coffee_Company/coupon/05005818050RED01379464EPC00497999PRD00000056.html</t>
  </si>
  <si>
    <t>http://seattle.entertainment.com/discount/Bailys_C_C_Espresso__Ice_Creamery/coupon/00316316003RED01339445EPC00496999PRD00000001.html</t>
  </si>
  <si>
    <t>http://seattle.entertainment.com/discount/Duvall_Grill/coupon/00315964003RED01313574EPC00497999PRD00000001.html</t>
  </si>
  <si>
    <t>UP TO 20% OFF</t>
  </si>
  <si>
    <t>http://seattle.entertainment.com/discount/Mongos_at_Clearview/coupon/00313739003RED01177899EPC00497999PRD00000056.html</t>
  </si>
  <si>
    <t>http://seattle.entertainment.com/discount/Sandys_Espresso__Sandwich_Shop/coupon/00316392003RED01313576EPC00497999PRD00000056.html</t>
  </si>
  <si>
    <t>http://seattle.entertainment.com/discount/Zs_Burger/coupon/00315095003RED01273693EPC00497999PRD00000001.html</t>
  </si>
  <si>
    <t>http://seattle.entertainment.com/discount/Flights_Pub/coupon/00313440003RED01165511EPC00496999PRD00000001.html</t>
  </si>
  <si>
    <t>http://seattle.entertainment.com/discount/Baskin_RobbinsIce_Cream/coupon/05004755050RED01374862EPC00496999PRD00000001.html</t>
  </si>
  <si>
    <t>http://seattle.entertainment.com/discount/Steiner_Diner/coupon/05005395050RED01324345EPC00496999PRD00000001.html</t>
  </si>
  <si>
    <t>FREE WILLY DELUXE BURGER &amp;amp; FRIES</t>
  </si>
  <si>
    <t>http://seattle.entertainment.com/discount/Paesanos_Coffee/coupon/00316432003RED01312598EPC00497999PRD00000056.html</t>
  </si>
  <si>
    <t>http://seattle.entertainment.com/discount/The_Burger__More/coupon/00316754003RED01355199EPC00497999PRD00000056.html</t>
  </si>
  <si>
    <t>http://seattle.entertainment.com/discount/Hot_Dog_Cafe_at_Pegasus_Shops/coupon/00316735003RED01352686EPC00497999PRD00000001.html</t>
  </si>
  <si>
    <t>http://seattle.entertainment.com/discount/Mix_It_Up_Ice_Creamery/coupon/00316248003RED01336295EPC00496999PRD00000001.html</t>
  </si>
  <si>
    <t>http://seattle.entertainment.com/discount/i_Burger__Grill/coupon/00316339003RED01323587EPC00497999PRD00000001.html</t>
  </si>
  <si>
    <t>http://seattle.entertainment.com/discount/Uncorked_Wine_Bar__Restaurant/coupon/00316172003RED01323085EPC00499999PRD00000001.html</t>
  </si>
  <si>
    <t>http://seattle.entertainment.com/discount/Kitschen/coupon/05004805050RED01245444EPC00496999PRD00000001.html</t>
  </si>
  <si>
    <t>http://seattle.entertainment.com/discount/Spunky_Monkey_Bar__Grill/coupon/05005268050RED01299591EPC00497999PRD00000056.html</t>
  </si>
  <si>
    <t>http://seattle.entertainment.com/discount/Sweet_Indulgence/coupon/00316445003RED01314647EPC00496999PRD00000001.html</t>
  </si>
  <si>
    <t>http://seattle.entertainment.com/discount/Fatburger/coupon/00316331003RED01308669EPC00497999PRD00000001.html</t>
  </si>
  <si>
    <t>http://seattle.entertainment.com/discount/Curry_Bistro/coupon/00313581003RED01173395EPC00497999PRD00000056.html</t>
  </si>
  <si>
    <t>http://seattle.entertainment.com/discount/Chew_Chew_Cafe__Candy/coupon/00316319003RED01323585EPC00496999PRD00000001.html</t>
  </si>
  <si>
    <t>http://seattle.entertainment.com/discount/Snoqualmie_Brewery__Taproom/coupon/00315134003RED01274026EPC00497999PRD00000001.html</t>
  </si>
  <si>
    <t>http://seattle.entertainment.com/discount/Arbys/coupon/00300598003RED00000161EPC00496999PRD00000001.html</t>
  </si>
  <si>
    <t>http://seattle.entertainment.com/discount/Legendary_Doughnuts/coupon/05005781050RED01379056EPC00497999PRD00000001.html</t>
  </si>
  <si>
    <t>http://seattle.entertainment.com/discount/Sawdust_Coffee_Co/coupon/00316396003RED01331767EPC00496999PRD00000001.html</t>
  </si>
  <si>
    <t>http://seattle.entertainment.com/discount/Village_Restaurant/coupon/00316537003RED01284043EPC00496999PRD00000001.html</t>
  </si>
  <si>
    <t>http://seattle.entertainment.com/discount/Pacific_Rim_Restaurant__Nightclub/coupon/00316933003RED01371103EPC00497999PRD00000056.html</t>
  </si>
  <si>
    <t>http://seattle.entertainment.com/discount/BaskinRobbinsreg_Ice_Cream/coupon/05004747050RED01377742EPC00496999PRD00000001.html</t>
  </si>
  <si>
    <t>http://seattle.entertainment.com/discount/Arbys/coupon/00300597003RED00000157EPC00496999PRD00000001.html</t>
  </si>
  <si>
    <t>http://seattle.entertainment.com/discount/Jet_City_Pizza_Co/coupon/97002527970RED01374578EPC00497999PRD00000056.html</t>
  </si>
  <si>
    <t>http://seattle.entertainment.com/discount/Great_Harvest_Bread_Co/coupon/00315635003RED01295872EPC00497999PRD00000001.html</t>
  </si>
  <si>
    <t>http://seattle.entertainment.com/discount/BaskinRobbins_Ice_Cream/coupon/05004747050RED01199002EPC00496999PRD00000001.html</t>
  </si>
  <si>
    <t>http://seattle.entertainment.com/discount/Celtic_Bayou/coupon/00315412003RED01279794EPC00497999PRD00000001.html</t>
  </si>
  <si>
    <t>http://seattle.entertainment.com/discount/Catfish_Corner/coupon/00314763003RED01252276EPC00496999PRD00000001.html</t>
  </si>
  <si>
    <t>http://seattle.entertainment.com/discount/Tullys_Coffee/coupon/00314426003RED01236482EPC00496999PRD00000001.html</t>
  </si>
  <si>
    <t>http://seattle.entertainment.com/discount/Tullys_Coffee/coupon/00314429003RED01236532EPC00496999PRD00000001.html</t>
  </si>
  <si>
    <t>http://seattle.entertainment.com/discount/Tullys_Coffee/coupon/00314423003RED01236510EPC00496999PRD00000001.html</t>
  </si>
  <si>
    <t>http://seattle.entertainment.com/discount/Tullys_Coffee/coupon/00314429003RED01236494EPC00496999PRD00000001.html</t>
  </si>
  <si>
    <t>http://seattle.entertainment.com/discount/Tullys_Coffee/coupon/00314429003RED01236488EPC00496999PRD00000001.html</t>
  </si>
  <si>
    <t>http://seattle.entertainment.com/discount/Tullys_Coffee/coupon/00314423003RED01236523EPC00496999PRD00000001.html</t>
  </si>
  <si>
    <t>http://seattle.entertainment.com/discount/Tullys_Coffee/coupon/00314426003RED01236531EPC00496999PRD00000001.html</t>
  </si>
  <si>
    <t>http://seattle.entertainment.com/discount/Tullys_Coffee/coupon/00314426003RED01236496EPC00496999PRD00000001.html</t>
  </si>
  <si>
    <t>http://seattle.entertainment.com/discount/Tullys_Coffee/coupon/00314423003RED01236487EPC00496999PRD00000001.html</t>
  </si>
  <si>
    <t>http://seattle.entertainment.com/discount/Tullys_Coffee/coupon/00314426003RED01236499EPC00496999PRD00000001.html</t>
  </si>
  <si>
    <t>http://seattle.entertainment.com/discount/Tullys_Coffee/coupon/00314423003RED01236522EPC00496999PRD00000001.html</t>
  </si>
  <si>
    <t>http://seattle.entertainment.com/discount/Tullys_Coffee/coupon/00314423003RED01236507EPC00496999PRD00000001.html</t>
  </si>
  <si>
    <t>http://seattle.entertainment.com/discount/Tullys_Coffee/coupon/00314426003RED01236516EPC00496999PRD00000001.html</t>
  </si>
  <si>
    <t>http://seattle.entertainment.com/discount/Tullys_Coffee/coupon/00314423003RED01236521EPC00496999PRD00000001.html</t>
  </si>
  <si>
    <t>http://seattle.entertainment.com/discount/Tullys_Coffee/coupon/00314429003RED01236520EPC00496999PRD00000001.html</t>
  </si>
  <si>
    <t>http://seattle.entertainment.com/discount/Tullys_Coffee/coupon/00314423003RED01236524EPC00496999PRD00000001.html</t>
  </si>
  <si>
    <t>http://seattle.entertainment.com/discount/Tullys_Coffee/coupon/00314429003RED01236527EPC00496999PRD00000001.html</t>
  </si>
  <si>
    <t>http://seattle.entertainment.com/discount/Tullys_Coffee/coupon/00314429003RED01236509EPC00496999PRD00000001.html</t>
  </si>
  <si>
    <t>http://seattle.entertainment.com/discount/Hotwire_Online_Coffeehouse/coupon/00306670003RED00712527EPC00497999PRD00000056.html</t>
  </si>
  <si>
    <t>http://seattle.entertainment.com/discount/Tullys_Coffee/coupon/00314426003RED01236519EPC00496999PRD00000001.html</t>
  </si>
  <si>
    <t>http://seattle.entertainment.com/discount/Tullys_Coffee/coupon/00314429003RED01236512EPC00496999PRD00000001.html</t>
  </si>
  <si>
    <t>http://seattle.entertainment.com/discount/Tullys_Coffee/coupon/00314429003RED01236508EPC00496999PRD00000001.html</t>
  </si>
  <si>
    <t>http://seattle.entertainment.com/discount/Tullys_Coffee/coupon/00314429003RED01236525EPC00496999PRD00000001.html</t>
  </si>
  <si>
    <t>http://seattle.entertainment.com/discount/Tullys_Coffee/coupon/00314426003RED01236517EPC00496999PRD00000001.html</t>
  </si>
  <si>
    <t>http://seattle.entertainment.com/discount/Tullys_Coffee/coupon/00314423003RED01236478EPC00496999PRD00000001.html</t>
  </si>
  <si>
    <t>http://seattle.entertainment.com/discount/Tullys_Coffee/coupon/00314423003RED01236495EPC00496999PRD00000001.html</t>
  </si>
  <si>
    <t>http://seattle.entertainment.com/discount/Tullys_Coffee/coupon/00314423003RED01236480EPC00496999PRD00000001.html</t>
  </si>
  <si>
    <t>http://seattle.entertainment.com/discount/Tullys_Coffee/coupon/00314423003RED01236530EPC00496999PRD00000001.html</t>
  </si>
  <si>
    <t>http://seattle.entertainment.com/discount/Tullys_Coffee/coupon/00314429003RED01236500EPC00496999PRD00000001.html</t>
  </si>
  <si>
    <t>http://seattle.entertainment.com/discount/Tullys_Coffee/coupon/00314426003RED01236511EPC00496999PRD00000001.html</t>
  </si>
  <si>
    <t>http://seattle.entertainment.com/discount/Tullys_Coffee/coupon/00314429003RED01236490EPC00496999PRD00000001.html</t>
  </si>
  <si>
    <t>http://seattle.entertainment.com/discount/Tullys_Coffee/coupon/00314423003RED01236483EPC00496999PRD00000001.html</t>
  </si>
  <si>
    <t>http://seattle.entertainment.com/discount/Tullys_Coffee/coupon/00314426003RED01236515EPC00496999PRD00000001.html</t>
  </si>
  <si>
    <t>http://seattle.entertainment.com/discount/Java_Hut_Espresso/coupon/00314385003RED01234735EPC00497999PRD00000001.html</t>
  </si>
  <si>
    <t>UP TO $3.00 VALUE</t>
  </si>
  <si>
    <t>http://seattle.entertainment.com/discount/Celtic_Coffee_Shop__Deli/coupon/00317269003RED01378755EPC00497999PRD00000001.html</t>
  </si>
  <si>
    <t>http://seattle.entertainment.com/discount/Tullys_Coffee/coupon/00314423003RED01236481EPC00496999PRD00000001.html</t>
  </si>
  <si>
    <t>http://seattle.entertainment.com/discount/Tullys_Coffee/coupon/00314426003RED01236513EPC00496999PRD00000001.html</t>
  </si>
  <si>
    <t>http://seattle.entertainment.com/discount/Tullys_Coffee/coupon/00314429003RED01236514EPC00496999PRD00000001.html</t>
  </si>
  <si>
    <t>http://seattle.entertainment.com/discount/Tullys_Coffee/coupon/00314429003RED01236506EPC00496999PRD00000001.html</t>
  </si>
  <si>
    <t>http://seattle.entertainment.com/discount/Bambrew_Espresso/coupon/00316901003RED01371057EPC00497999PRD00000001.html</t>
  </si>
  <si>
    <t>http://seattle.entertainment.com/discount/Mediterranean_Express/coupon/00315501003RED01281262EPC00497999PRD00000001.html</t>
  </si>
  <si>
    <t>http://seattle.entertainment.com/discount/Olympia_Pizza__Spaghetti_House/coupon/00316730003RED01352100EPC00497999PRD00000001.html</t>
  </si>
  <si>
    <t>http://seattle.entertainment.com/discount/Anitas_Crepes/coupon/00315116003RED01273880EPC00496999PRD00000001.html</t>
  </si>
  <si>
    <t>http://seattle.entertainment.com/discount/Grill_Xpress_A_Mediterranean_Signature/coupon/00317711003RED01372760EPC00497999PRD00000056.html</t>
  </si>
  <si>
    <t>http://seattle.entertainment.com/discount/Olympia_Pizza__Pasta/coupon/00316724003RED01352099EPC00497999PRD00000001.html</t>
  </si>
  <si>
    <t>http://seattle.entertainment.com/discount/The_Orexi_Restaurant/coupon/00315307003RED01277595EPC00499999PRD00000001.html</t>
  </si>
  <si>
    <t>http://seattle.entertainment.com/discount/Danube_Bistro/coupon/00315472003RED01283840EPC00496999PRD00000001.html</t>
  </si>
  <si>
    <t>http://seattle.entertainment.com/discount/Seven_Hills_Grille/coupon/00305991003RED00001997EPC00497999PRD00000056.html</t>
  </si>
  <si>
    <t>http://seattle.entertainment.com/discount/Finaghtys_Irish_Pub__Restaurant/coupon/00316261003RED01340038EPC00496999PRD00000001.html</t>
  </si>
  <si>
    <t>http://seattle.entertainment.com/discount/Mirch_Masala/coupon/00315150003RED01273984EPC00497999PRD00000001.html</t>
  </si>
  <si>
    <t>http://seattle.entertainment.com/discount/Shalimar/coupon/00315204003RED01275653EPC00499999PRD00000001.html</t>
  </si>
  <si>
    <t>http://seattle.entertainment.com/discount/Jewel_of_India/coupon/00315655003RED01283881EPC00497999PRD00000056.html</t>
  </si>
  <si>
    <t>http://seattle.entertainment.com/discount/Kabab_House/coupon/00314895003RED01266062EPC00497999PRD00000056.html</t>
  </si>
  <si>
    <t>http://seattle.entertainment.com/discount/Kalia_Indian_Cuisine__Greenwood/coupon/00315681003RED01281648EPC00497999PRD00000001.html</t>
  </si>
  <si>
    <t>http://seattle.entertainment.com/discount/Masala_of_India_Cuisine/coupon/00315044003RED01273260EPC00496999PRD00000001.html</t>
  </si>
  <si>
    <t>http://seattle.entertainment.com/discount/Star_India_Restaurant/coupon/00316776003RED01355283EPC00497999PRD00000001.html</t>
  </si>
  <si>
    <t>http://seattle.entertainment.com/discount/Moghul_Palace/coupon/00315439003RED01230613EPC00497999PRD00000001.html</t>
  </si>
  <si>
    <t>http://seattle.entertainment.com/discount/Tikka_Masala_Indian_Cuisine/coupon/00317854003RED01392808EPC00497999PRD00000001.html</t>
  </si>
  <si>
    <t>http://seattle.entertainment.com/discount/Shalimar/coupon/00315198003RED01275654EPC00497999PRD00000001.html</t>
  </si>
  <si>
    <t>http://seattle.entertainment.com/discount/Kabab_House/coupon/00314952003RED01266011EPC00497999PRD00000001.html</t>
  </si>
  <si>
    <t>http://seattle.entertainment.com/discount/Cafe_Amore/coupon/00311888003RED00963193EPC00499999PRD00000001.html</t>
  </si>
  <si>
    <t>http://seattle.entertainment.com/discount/Romios_Pizza__Pasta/coupon/00315659003RED01282186EPC00497999PRD00000001.html</t>
  </si>
  <si>
    <t>http://seattle.entertainment.com/discount/Alberonas/coupon/00317341003RED01377962EPC00497999PRD00000056.html</t>
  </si>
  <si>
    <t>http://seattle.entertainment.com/discount/Stacias_Gourmet_Pizza__Pasta/coupon/00309356003RED00920008EPC00497999PRD00000056.html</t>
  </si>
  <si>
    <t>http://seattle.entertainment.com/discount/Amante_Pizza__Pasta/coupon/00314513003RED01224999EPC00496999PRD00000001.html</t>
  </si>
  <si>
    <t>http://seattle.entertainment.com/discount/Vinces_Italian_Restaurant__Pizzeria/coupon/00315847003RED01296276EPC00496999PRD00000001.html</t>
  </si>
  <si>
    <t>http://seattle.entertainment.com/discount/Bella_Kitchen/coupon/00317235003RED01378234EPC00497999PRD00000001.html</t>
  </si>
  <si>
    <t>http://seattle.entertainment.com/discount/Tinos_Pizza/coupon/00314558003RED01246150EPC00496999PRD00000001.html</t>
  </si>
  <si>
    <t>http://seattle.entertainment.com/discount/Romios_Pizza__Pasta/coupon/00315658003RED01282191EPC00496999PRD00000001.html</t>
  </si>
  <si>
    <t>http://seattle.entertainment.com/discount/North_City_Bistro/coupon/00315161003RED01274315EPC00497999PRD00000056.html</t>
  </si>
  <si>
    <t>http://seattle.entertainment.com/discount/Mia_Roma/coupon/00315557003RED01287225EPC00497999PRD00000001.html</t>
  </si>
  <si>
    <t>http://seattle.entertainment.com/discount/Paolis_Pizza_and_Pasta/coupon/00313744003RED01178325EPC00497999PRD00000056.html</t>
  </si>
  <si>
    <t>http://seattle.entertainment.com/discount/Vinces_Italian_Restaurant__Pizzeria/coupon/00315845003RED01296273EPC00497999PRD00000001.html</t>
  </si>
  <si>
    <t>http://seattle.entertainment.com/discount/Angelos_Ristorante/coupon/00316311003RED01228733EPC00499999PRD00000001.html</t>
  </si>
  <si>
    <t>http://seattle.entertainment.com/discount/Vinces_Italian_Restaurant__Pizzeria/coupon/00315848003RED01296275EPC00496999PRD00000001.html</t>
  </si>
  <si>
    <t>http://seattle.entertainment.com/discount/Rachels_on_the_East_Side/coupon/05005002050RED01262252EPC00497999PRD00000001.html</t>
  </si>
  <si>
    <t>http://seattle.entertainment.com/discount/Avanti_Pizza__Pasta/coupon/00313808003RED01184585EPC00496999PRD00000001.html</t>
  </si>
  <si>
    <t>http://seattle.entertainment.com/discount/Villa_Nuova_Ristorante_Italiano/coupon/00315358003RED01279912EPC00497999PRD00000056.html</t>
  </si>
  <si>
    <t>FREE BREADS OR DESSERTS</t>
  </si>
  <si>
    <t>FREE ALFY'S TOASTED SANDWICH</t>
  </si>
  <si>
    <t>http://seattle.entertainment.com/discount/Alfys_Pizza__Pasta/coupon/97001715970RED01006906EPC00496999PRD00000001.html</t>
  </si>
  <si>
    <t>http://seattle.entertainment.com/discount/Garlic_Jims_Famous_Gourmet_Pizza/coupon/05006052050RED01379559EPC00497999PRD00000001.html</t>
  </si>
  <si>
    <t>http://seattle.entertainment.com/discount/Giannis_Italian_Restaurant/coupon/00317584003RED01381631EPC00497999PRD00000001.html</t>
  </si>
  <si>
    <t>http://seattle.entertainment.com/discount/Alfys_Pizza__Pasta/coupon/97001721970RED01006909EPC00496999PRD00000001.html</t>
  </si>
  <si>
    <t>http://seattle.entertainment.com/discount/Alfys_Pizza__Pasta/coupon/97001721970RED01006900EPC00496999PRD00000001.html</t>
  </si>
  <si>
    <t>http://seattle.entertainment.com/discount/The_Hat_Trick_Pizzeria__Grill/coupon/00316748003RED01353484EPC00497999PRD00000001.html</t>
  </si>
  <si>
    <t>http://seattle.entertainment.com/discount/Paolis_Pizza__Pasta/coupon/00313696003RED01178716EPC00497999PRD00000056.html</t>
  </si>
  <si>
    <t>http://seattle.entertainment.com/discount/Alfys_Pizza__Pasta/coupon/97001721970RED01006904EPC00496999PRD00000001.html</t>
  </si>
  <si>
    <t>http://seattle.entertainment.com/discount/Alfys_Pizza__Pasta/coupon/97001712970RED01006893EPC00496999PRD00000001.html</t>
  </si>
  <si>
    <t>http://seattle.entertainment.com/discount/Alfys_Pizza__Pasta/coupon/97001713970RED01006885EPC00497999PRD00000001.html</t>
  </si>
  <si>
    <t>http://seattle.entertainment.com/discount/La_Palma/coupon/05000141050RED00311028EPC00496999PRD00000001.html</t>
  </si>
  <si>
    <t>http://seattle.entertainment.com/discount/Rositas_Mexican_Grill/coupon/00317420003RED01276346EPC00497999PRD00000001.html</t>
  </si>
  <si>
    <t>http://seattle.entertainment.com/discount/El_Quetzal/coupon/00317603003RED01383680EPC00497999PRD00000056.html</t>
  </si>
  <si>
    <t>http://seattle.entertainment.com/discount/Mayas_Family_Mexican_Restaurant/coupon/00300682003RED00000972EPC00496999PRD00000001.html</t>
  </si>
  <si>
    <t>http://seattle.entertainment.com/discount/Burney_Brothers_BBQ/coupon/00316843003RED01358097EPC00497999PRD00000056.html</t>
  </si>
  <si>
    <t>http://seattle.entertainment.com/discount/Desert_Fire/coupon/00314959003RED01271477EPC00497999PRD00000001.html</t>
  </si>
  <si>
    <t>http://seattle.entertainment.com/discount/Taqueria_La_Fondita/coupon/00313613003RED01175613EPC00497999PRD00000056.html</t>
  </si>
  <si>
    <t>http://seattle.entertainment.com/discount/Casa_Durango/coupon/00313352003RED01161182EPC00496999PRD00000001.html</t>
  </si>
  <si>
    <t>http://seattle.entertainment.com/discount/Yucatan_Mexican_Family_Restaurant__Cantina/coupon/00315103003RED01273712EPC00496999PRD00000001.html</t>
  </si>
  <si>
    <t>http://seattle.entertainment.com/discount/Casa_Corona/coupon/00316847003RED01358347EPC00497999PRD00000056.html</t>
  </si>
  <si>
    <t>http://seattle.entertainment.com/discount/Antojitos_La_Santa/coupon/00317211003RED01375659EPC00497999PRD00000056.html</t>
  </si>
  <si>
    <t>http://seattle.entertainment.com/discount/Taqueria_Tequila/coupon/05005742050RED01378229EPC00497999PRD00000001.html</t>
  </si>
  <si>
    <t>http://seattle.entertainment.com/discount/Guadalajara_Tacos_Y_Mariscos/coupon/00313718003RED01179782EPC00496999PRD00000001.html</t>
  </si>
  <si>
    <t>http://seattle.entertainment.com/discount/Fridas_Gourmet_Mexican_Cuisine/coupon/00306250003RED00602525EPC00497999PRD00000056.html</t>
  </si>
  <si>
    <t>http://seattle.entertainment.com/discount/Avocados_Mexican_Restaurant/coupon/00316833003RED01356679EPC00497999PRD00000056.html</t>
  </si>
  <si>
    <t>http://seattle.entertainment.com/discount/El_Paraiso_Mexican_Grill/coupon/00317716003RED01273251EPC00497999PRD00000056.html</t>
  </si>
  <si>
    <t>http://seattle.entertainment.com/discount/La_Hacienda/coupon/00315223003RED01275926EPC00497999PRD00000001.html</t>
  </si>
  <si>
    <t>http://seattle.entertainment.com/discount/El_Tapatio_Family_Mexican_Restaurant/coupon/00316187003RED01315486EPC00496999PRD00000001.html</t>
  </si>
  <si>
    <t>http://seattle.entertainment.com/discount/El_Tapatio_Family_Mexican_Restaurant/coupon/00316187003RED01315487EPC00496999PRD00000001.html</t>
  </si>
  <si>
    <t>http://seattle.entertainment.com/discount/Los_Cabos/coupon/05005016050RED01264641EPC00497999PRD00000056.html</t>
  </si>
  <si>
    <t>http://seattle.entertainment.com/discount/El_Paraiso_Mexican_Grill/coupon/00317713003RED01273253EPC00497999PRD00000001.html</t>
  </si>
  <si>
    <t>http://seattle.entertainment.com/discount/Hacienda_Del_Mar_Family_Mexican_Restaurant/coupon/00317123003RED01376216EPC00497999PRD00000001.html</t>
  </si>
  <si>
    <t>http://seattle.entertainment.com/discount/Los_Cabos/coupon/00314809050RED01264642EPC00497999PRD00000001.html</t>
  </si>
  <si>
    <t>http://seattle.entertainment.com/discount/La_Hacienda/coupon/00315700003RED01288098EPC00496999PRD00000001.html</t>
  </si>
  <si>
    <t>http://seattle.entertainment.com/discount/La_Hacienda/coupon/00315700003RED01288099EPC00496999PRD00000001.html</t>
  </si>
  <si>
    <t>http://seattle.entertainment.com/discount/Gyro_Hut/coupon/00316132003RED01301124EPC00497999PRD00000056.html</t>
  </si>
  <si>
    <t>http://seattle.entertainment.com/discount/Marimba/coupon/00316184003RED01315477EPC00497999PRD00000056.html</t>
  </si>
  <si>
    <t>http://seattle.entertainment.com/discount/Thrive/coupon/00314710003RED01251351EPC00497999PRD00000056.html</t>
  </si>
  <si>
    <t>http://seattle.entertainment.com/discount/Grilla_Bites/coupon/00317597003RED01381633EPC00497999PRD00000056.html</t>
  </si>
  <si>
    <t>http://seattle.entertainment.com/discount/Danube_Bistro/coupon/00315474003RED01283840EPC00497999PRD00000001.html</t>
  </si>
  <si>
    <t>http://seattle.entertainment.com/discount/Johnny_Rockets/coupon/87015243870RED01283349EPC00496999PRD00000001.html</t>
  </si>
  <si>
    <t>http://seattle.entertainment.com/discount/Round_Table_Pizza/coupon/87018205870RED01389623EPC00497999PRD00000001.html</t>
  </si>
  <si>
    <t>http://seattle.entertainment.com/discount/Round_Table_Pizza/coupon/87018204870RED01389655EPC00496999PRD00000001.html</t>
  </si>
  <si>
    <t>1505 156th Ave. N.E.</t>
  </si>
  <si>
    <t>13501 100th Ave. N.E.</t>
  </si>
  <si>
    <t>50% Off Ice Cream/Yogurt</t>
  </si>
  <si>
    <t>street</t>
  </si>
  <si>
    <t>Informal &amp;amp; Carryout</t>
  </si>
  <si>
    <t>Cold Stone Creamery</t>
  </si>
  <si>
    <t>624 N. 34th St.</t>
  </si>
  <si>
    <t>$3 OFF ANY SIGNATURE CAKE</t>
  </si>
  <si>
    <t>FREE ROOT BEER FLOAT</t>
  </si>
  <si>
    <t>FREE PARFAIT</t>
  </si>
  <si>
    <t>2 FOR $5</t>
  </si>
  <si>
    <t>$1.00 VALUE</t>
  </si>
  <si>
    <t>17848 Garden Way N.E.</t>
  </si>
  <si>
    <t>2 FOR $9</t>
  </si>
  <si>
    <t>17304 Southcenter Parkway</t>
  </si>
  <si>
    <t>FREE 1-ITEM COMBO</t>
  </si>
  <si>
    <t>50 Washington Avenue Suite 104</t>
  </si>
  <si>
    <t>3000 184th Street SW Suite 908</t>
  </si>
  <si>
    <t>6100 E. Lake Sammamish Pkwy SE Suite 6</t>
  </si>
  <si>
    <t>9601 Mickelberry Road NW Suite 101</t>
  </si>
  <si>
    <t>504 Ramsay Way Suite 109</t>
  </si>
  <si>
    <t>1405 S.E. Everett Mall Way Suite B</t>
  </si>
  <si>
    <t>17017 SE 270th Place Suite 114</t>
  </si>
  <si>
    <t>2430 S. 319th Pl.</t>
  </si>
  <si>
    <t>2601 B. North Pearl St.</t>
  </si>
  <si>
    <t>430 East 25Th St #32 &amp;amp; 33</t>
  </si>
  <si>
    <t>http://seattle.entertainment.com/discount/Jack_in_the_Box/coupon/87017469870RED01327842EPC00496999PRD00000001.html</t>
  </si>
  <si>
    <t>http://seattle.entertainment.com/discount/Jack_in_the_Box/coupon/87017464870RED01327873EPC00496999PRD00000001.html</t>
  </si>
  <si>
    <t>http://seattle.entertainment.com/discount/Dairy_Queenreg/coupon/87017276870RED01320892EPC00496999PRD00000001.html</t>
  </si>
  <si>
    <t>http://seattle.entertainment.com/discount/Dominos/coupon/87016320870RED01362537EPC00496999PRD00000001.html</t>
  </si>
  <si>
    <t>http://seattle.entertainment.com/discount/Dominos/coupon/87016317870RED01362534EPC00496999PRD00000001.html</t>
  </si>
  <si>
    <t>http://seattle.entertainment.com/discount/Jack_in_the_Box/coupon/87017464870RED01327889EPC00496999PRD00000001.html</t>
  </si>
  <si>
    <t>http://seattle.entertainment.com/discount/Dairy_Queenreg/coupon/87017276870RED01320913EPC00496999PRD00000001.html</t>
  </si>
  <si>
    <t>http://seattle.entertainment.com/discount/Jack_in_the_Box/coupon/87017451870RED01327875EPC00496999PRD00000001.html</t>
  </si>
  <si>
    <t>http://seattle.entertainment.com/discount/AWreg_All_American_Foodreg/coupon/87015736870RED01289039EPC00496999PRD00000001.html</t>
  </si>
  <si>
    <t>http://seattle.entertainment.com/discount/Jack_in_the_Box/coupon/87017451870RED01327882EPC00496999PRD00000001.html</t>
  </si>
  <si>
    <t>http://seattle.entertainment.com/discount/Dairy_Queenreg/coupon/87017426870RED01320904EPC00496999PRD00000001.html</t>
  </si>
  <si>
    <t>http://seattle.entertainment.com/discount/Bleachers_Burgers_Place/coupon/00315106003RED01273895EPC00496999PRD00000001.html</t>
  </si>
  <si>
    <t>http://seattle.entertainment.com/discount/Jack_in_the_Box/coupon/87017451870RED01327816EPC00496999PRD00000001.html</t>
  </si>
  <si>
    <t>http://seattle.entertainment.com/discount/Dominos/coupon/87016320870RED01362492EPC00496999PRD00000001.html</t>
  </si>
  <si>
    <t>http://seattle.entertainment.com/discount/Jack_in_the_Box/coupon/87017464870RED01327895EPC00496999PRD00000001.html</t>
  </si>
  <si>
    <t>http://seattle.entertainment.com/discount/Auntie_Annes/coupon/87019828870RED01371758EPC00497999PRD00000001.html</t>
  </si>
  <si>
    <t>http://seattle.entertainment.com/discount/Auntie_Annes/coupon/87019825870RED01371757EPC00497999PRD00000001.html</t>
  </si>
  <si>
    <t>http://seattle.entertainment.com/discount/Jack_in_the_Box/coupon/87017473870RED01327878EPC00496999PRD00000001.html</t>
  </si>
  <si>
    <t>http://seattle.entertainment.com/discount/Jack_in_the_Box/coupon/87017464870RED01327888EPC00496999PRD00000001.html</t>
  </si>
  <si>
    <t>http://seattle.entertainment.com/discount/Jack_in_the_Box/coupon/87017451870RED01327910EPC00496999PRD00000001.html</t>
  </si>
  <si>
    <t>http://seattle.entertainment.com/discount/Dairy_Queenreg/coupon/87017282870RED01320906EPC00496999PRD00000001.html</t>
  </si>
  <si>
    <t>http://seattle.entertainment.com/discount/Dominos/coupon/87016317870RED01362500EPC00496999PRD00000001.html</t>
  </si>
  <si>
    <t>http://seattle.entertainment.com/discount/Jack_in_the_Box/coupon/87017464870RED01327890EPC00496999PRD00000001.html</t>
  </si>
  <si>
    <t>http://seattle.entertainment.com/discount/Emerald_City_Smoothie/coupon/87017060870RED01301305EPC00496999PRD00000001.html</t>
  </si>
  <si>
    <t>http://seattle.entertainment.com/discount/Jack_in_the_Box/coupon/87017464870RED01327857EPC00496999PRD00000001.html</t>
  </si>
  <si>
    <t>http://seattle.entertainment.com/discount/Dominos/coupon/87016317870RED01362529EPC00496999PRD00000001.html</t>
  </si>
  <si>
    <t>http://seattle.entertainment.com/discount/Emerald_City_Smoothie/coupon/87017067870RED01301318EPC00496999PRD00000001.html</t>
  </si>
  <si>
    <t>10417 Gravelly Lake Dr. SW Suite A</t>
  </si>
  <si>
    <t>http://seattle.entertainment.com/discount/Cold_Stone_Creamery/coupon/87020775870RED01386999EPC00497999PRD00000001.html</t>
  </si>
  <si>
    <t>http://seattle.entertainment.com/discount/Dominos/coupon/87016320870RED01362505EPC00496999PRD00000001.html</t>
  </si>
  <si>
    <t>http://seattle.entertainment.com/discount/Emerald_City_Smoothie/coupon/87017073870RED01301346EPC00496999PRD00000001.html</t>
  </si>
  <si>
    <t>http://seattle.entertainment.com/discount/Emerald_City_Smoothie/coupon/87017073870RED01301310EPC00496999PRD00000001.html</t>
  </si>
  <si>
    <t>http://seattle.entertainment.com/discount/AWreg_All_American_Foodreg/coupon/87015705870RED01289033EPC00496999PRD00000001.html</t>
  </si>
  <si>
    <t>http://seattle.entertainment.com/discount/Jack_in_the_Box/coupon/87017464870RED01327885EPC00496999PRD00000001.html</t>
  </si>
  <si>
    <t>http://seattle.entertainment.com/discount/Cold_Stone_Creamery/coupon/87020775870RED01386997EPC00497999PRD00000001.html</t>
  </si>
  <si>
    <t>http://seattle.entertainment.com/discount/Dominos/coupon/87016317870RED01362535EPC00496999PRD00000001.html</t>
  </si>
  <si>
    <t>http://seattle.entertainment.com/discount/Dairy_Queenreg/coupon/87017426870RED01320907EPC00496999PRD00000001.html</t>
  </si>
  <si>
    <t>http://seattle.entertainment.com/discount/Emerald_City_Smoothie/coupon/87017067870RED01301329EPC00496999PRD00000001.html</t>
  </si>
  <si>
    <t>http://seattle.entertainment.com/discount/Jack_in_the_Box/coupon/87017469870RED01327909EPC00496999PRD00000001.html</t>
  </si>
  <si>
    <t>16822 Twin Lakes Avenue Suite 106</t>
  </si>
  <si>
    <t>http://seattle.entertainment.com/discount/Cold_Stone_Creamery/coupon/87020775870RED01386995EPC00497999PRD00000001.html</t>
  </si>
  <si>
    <t>http://seattle.entertainment.com/discount/Jack_in_the_Box/coupon/87017464870RED01327893EPC00496999PRD00000001.html</t>
  </si>
  <si>
    <t>http://seattle.entertainment.com/discount/Dominos/coupon/87016286870RED01362520EPC00496999PRD00000001.html</t>
  </si>
  <si>
    <t>http://seattle.entertainment.com/discount/Emerald_City_Smoothie/coupon/87017070870RED01301326EPC00496999PRD00000001.html</t>
  </si>
  <si>
    <t>http://seattle.entertainment.com/discount/Dairy_Queenreg/coupon/87017276870RED01320911EPC00496999PRD00000001.html</t>
  </si>
  <si>
    <t>http://seattle.entertainment.com/discount/Jack_in_the_Box/coupon/87017473870RED01327846EPC00496999PRD00000001.html</t>
  </si>
  <si>
    <t>http://seattle.entertainment.com/discount/Dominos/coupon/87016320870RED01362544EPC00496999PRD00000001.html</t>
  </si>
  <si>
    <t>http://seattle.entertainment.com/discount/Dominos/coupon/87016286870RED01362528EPC00496999PRD00000001.html</t>
  </si>
  <si>
    <t>http://seattle.entertainment.com/discount/Dairy_Queenreg/coupon/87017355870RED01320884EPC00496999PRD00000001.html</t>
  </si>
  <si>
    <t>http://seattle.entertainment.com/discount/Jack_in_the_Box/coupon/87017469870RED01327838EPC00496999PRD00000001.html</t>
  </si>
  <si>
    <t>1350 Marvin Rd. NE Suite A</t>
  </si>
  <si>
    <t>http://seattle.entertainment.com/discount/Cold_Stone_Creamery/coupon/87020789870RED01387000EPC00497999PRD00000001.html</t>
  </si>
  <si>
    <t>http://seattle.entertainment.com/discount/Jack_in_the_Box/coupon/87017451870RED01327826EPC00496999PRD00000001.html</t>
  </si>
  <si>
    <t>http://seattle.entertainment.com/discount/Dominos/coupon/87016317870RED01362478EPC00496999PRD00000001.html</t>
  </si>
  <si>
    <t>http://seattle.entertainment.com/discount/Jack_in_the_Box/coupon/87017473870RED01327822EPC00496999PRD00000001.html</t>
  </si>
  <si>
    <t>http://seattle.entertainment.com/discount/AWreg_All_American_Foodreg/coupon/87015731870RED01289041EPC00496999PRD00000001.html</t>
  </si>
  <si>
    <t>http://seattle.entertainment.com/discount/Jack_in_the_Box/coupon/87017473870RED01327871EPC00496999PRD00000001.html</t>
  </si>
  <si>
    <t>http://seattle.entertainment.com/discount/Dairy_Queenreg/coupon/87017355870RED01320914EPC00496999PRD00000001.html</t>
  </si>
  <si>
    <t>http://seattle.entertainment.com/discount/Jack_in_the_Box/coupon/87017464870RED01327865EPC00496999PRD00000001.html</t>
  </si>
  <si>
    <t>http://seattle.entertainment.com/discount/Jack_in_the_Box/coupon/87017473870RED01327837EPC00496999PRD00000001.html</t>
  </si>
  <si>
    <t>http://seattle.entertainment.com/discount/Dominos/coupon/87016320870RED01362547EPC00496999PRD00000001.html</t>
  </si>
  <si>
    <t>http://seattle.entertainment.com/discount/Jack_in_the_Box/coupon/87017473870RED01327884EPC00496999PRD00000001.html</t>
  </si>
  <si>
    <t>http://seattle.entertainment.com/discount/Jack_in_the_Box/coupon/87017451870RED01327824EPC00496999PRD00000001.html</t>
  </si>
  <si>
    <t>http://seattle.entertainment.com/discount/Dominos/coupon/87016320870RED01362526EPC00496999PRD00000001.html</t>
  </si>
  <si>
    <t>http://seattle.entertainment.com/discount/Dairy_Queenreg/coupon/87017426870RED01320896EPC00496999PRD00000001.html</t>
  </si>
  <si>
    <t>3080 148th Ave. S.E.</t>
  </si>
  <si>
    <t xml:space="preserve">10000 Aurora Ave. N. </t>
  </si>
  <si>
    <t xml:space="preserve">1212 State Ave </t>
  </si>
  <si>
    <t xml:space="preserve">5963 Corson Ave S. Suite </t>
  </si>
  <si>
    <t xml:space="preserve">16421 Cleveland St. </t>
  </si>
  <si>
    <t xml:space="preserve">17530 132nd Ave. N.E. </t>
  </si>
  <si>
    <t xml:space="preserve">3756 Rainier Ave. S. </t>
  </si>
  <si>
    <t xml:space="preserve">1402 SE Everett Mall Way </t>
  </si>
  <si>
    <t xml:space="preserve">1500 Pike Place </t>
  </si>
  <si>
    <t xml:space="preserve">13300 Bothell Everett Hwy. </t>
  </si>
  <si>
    <t>14655 Fryelands Blvd. SE Suite</t>
  </si>
  <si>
    <t xml:space="preserve">445 Tacoma Avenue South </t>
  </si>
  <si>
    <t xml:space="preserve">505 Cedar Ave </t>
  </si>
  <si>
    <t xml:space="preserve">9414 State Avenue </t>
  </si>
  <si>
    <t xml:space="preserve">710 SE Fidalgo Ave. </t>
  </si>
  <si>
    <t xml:space="preserve">1191 SE Dock Street </t>
  </si>
  <si>
    <t>12811   4th Ave. W</t>
  </si>
  <si>
    <t>1520   41st St.</t>
  </si>
  <si>
    <t>8305   15th Ave. N.W.</t>
  </si>
  <si>
    <t>17610   140th Ave. N.E.</t>
  </si>
  <si>
    <t>1018   164th St. S.E.</t>
  </si>
  <si>
    <t xml:space="preserve">1700 132nd St. SE </t>
  </si>
  <si>
    <t>25410   104th Ave. SE</t>
  </si>
  <si>
    <t>10224   196th St. Ct. E.</t>
  </si>
  <si>
    <t>14455 Woodinville Redmond Rd.</t>
  </si>
  <si>
    <t>3610 C Factoria Blvd. S.E.</t>
  </si>
  <si>
    <t>11516   124th Avenue NE</t>
  </si>
  <si>
    <t>15259 N.E. Bel Red Rd.</t>
  </si>
  <si>
    <t>8431   244th St. SW</t>
  </si>
  <si>
    <t>115   5th Ave. S.</t>
  </si>
  <si>
    <t>21224   84th Ave. S</t>
  </si>
  <si>
    <t>16330 Bothell Everett Hwy</t>
  </si>
  <si>
    <t>124   4th Avenue S.</t>
  </si>
  <si>
    <t>122   128th St. S.E.</t>
  </si>
  <si>
    <t xml:space="preserve">11601 Harbour Pointe Blvd </t>
  </si>
  <si>
    <t xml:space="preserve">1404 Central Ave. S. </t>
  </si>
  <si>
    <t>1201 D S.E. Everett Mall Way</t>
  </si>
  <si>
    <t>12990 SE Kent Kangley Rd.</t>
  </si>
  <si>
    <t>4200 Preston Fall City Road S.E.</t>
  </si>
  <si>
    <t>1917 S. 72nd St. B 17</t>
  </si>
  <si>
    <t>10312   120th St. E</t>
  </si>
  <si>
    <t>25445   104th Avenue SE</t>
  </si>
  <si>
    <t>435   15th Ave. E.</t>
  </si>
  <si>
    <t>6314   196th St. SW.</t>
  </si>
  <si>
    <t>677   120th Avenue NE</t>
  </si>
  <si>
    <t>19409 Bothell Everett Highway</t>
  </si>
  <si>
    <t>24023   104th Ave.</t>
  </si>
  <si>
    <t>1830   130th Avenue N.E.</t>
  </si>
  <si>
    <t>1510   11th Ave. NW</t>
  </si>
  <si>
    <t>11223   19th Ave SE</t>
  </si>
  <si>
    <t>31525   3rd Avenue</t>
  </si>
  <si>
    <t>507 C Hwy. 2</t>
  </si>
  <si>
    <t>7211   166th Avenue NE</t>
  </si>
  <si>
    <t>314 C Park Ave. N.</t>
  </si>
  <si>
    <t>20615 Bothell Everett Hwy.</t>
  </si>
  <si>
    <t>480   228th Avenue NE</t>
  </si>
  <si>
    <t>3076 Issaquah Pine Lake Road S.E.</t>
  </si>
  <si>
    <t>3226   132nd St. S.E.</t>
  </si>
  <si>
    <t>25415   104th Ave. SE</t>
  </si>
  <si>
    <t>11014   19th Avenue SE</t>
  </si>
  <si>
    <t>33703 Redmond Fall City Rd.</t>
  </si>
  <si>
    <t>27433 Maple Valley   Black Diamond Rd.</t>
  </si>
  <si>
    <t>16314 Bothell Everett Hwy.</t>
  </si>
  <si>
    <t xml:space="preserve">2301 So Jackson </t>
  </si>
  <si>
    <t>3829 Delridge C 205</t>
  </si>
  <si>
    <t>1120 106Th Ave. Ne R 2</t>
  </si>
  <si>
    <t>18225 Campus Way Ne L B1</t>
  </si>
  <si>
    <t>14245 Ne Woodinville Duvall Rd</t>
  </si>
  <si>
    <t>2600 Southcenter Mall Fc 6</t>
  </si>
  <si>
    <t>20806 Bothell Everett Hwy</t>
  </si>
  <si>
    <t>19150 Ne Woodinville Duvall Rd.</t>
  </si>
  <si>
    <t>16310 A Bothell Everett Hwy</t>
  </si>
  <si>
    <t>1646 C Dash Point Road</t>
  </si>
  <si>
    <t xml:space="preserve">32925 1St Ave. S. </t>
  </si>
  <si>
    <t xml:space="preserve">430 East 25Th St </t>
  </si>
  <si>
    <t xml:space="preserve">3202 S. 23Rd St. </t>
  </si>
  <si>
    <t xml:space="preserve">2101 Mildred St </t>
  </si>
  <si>
    <t xml:space="preserve">4502 S. Steele St. </t>
  </si>
  <si>
    <t xml:space="preserve">1407 East 72Nd St </t>
  </si>
  <si>
    <t>10600 Quil Ceda Blvd.&lt;p&gt;</t>
  </si>
  <si>
    <t>15110 A Union Avenue</t>
  </si>
  <si>
    <t xml:space="preserve">215 Whitesell </t>
  </si>
  <si>
    <t xml:space="preserve">93 Pike St </t>
  </si>
  <si>
    <t>677 120th Ave. N.E.</t>
  </si>
  <si>
    <t>804 238 St SE</t>
  </si>
  <si>
    <t>1200 10th Ave. N.E.</t>
  </si>
  <si>
    <t xml:space="preserve">4520 200th St. S.W. </t>
  </si>
  <si>
    <t xml:space="preserve">4520 200th St SW </t>
  </si>
  <si>
    <t xml:space="preserve">2425 33rd Ave W </t>
  </si>
  <si>
    <t xml:space="preserve">278 Winslow Way E </t>
  </si>
  <si>
    <t>500 SE Everett Mall Way Suite</t>
  </si>
  <si>
    <t xml:space="preserve">27116 167th Pl Se. </t>
  </si>
  <si>
    <t xml:space="preserve">430 91st Ave NE </t>
  </si>
  <si>
    <t xml:space="preserve">4660 Whitman Lane S.E. </t>
  </si>
  <si>
    <t xml:space="preserve">30420 Pacific Hwy S Suite </t>
  </si>
  <si>
    <t xml:space="preserve">2685 Northeast University Street </t>
  </si>
  <si>
    <t xml:space="preserve">1233 164th St. S.W. </t>
  </si>
  <si>
    <t xml:space="preserve">305 SE Everett Mall Way </t>
  </si>
  <si>
    <t xml:space="preserve">34410 16th Ave. South </t>
  </si>
  <si>
    <t xml:space="preserve">400 Pine St. </t>
  </si>
  <si>
    <t xml:space="preserve">400 pine st </t>
  </si>
  <si>
    <t xml:space="preserve">400 Pine St </t>
  </si>
  <si>
    <t xml:space="preserve">7347 35Th Ave. </t>
  </si>
  <si>
    <t xml:space="preserve">103 Bellevue Way NE </t>
  </si>
  <si>
    <t xml:space="preserve">8522 122Nd Ave. Ne </t>
  </si>
  <si>
    <t xml:space="preserve">21919 66Th Ave. West </t>
  </si>
  <si>
    <t xml:space="preserve">1222 Bronson Way N </t>
  </si>
  <si>
    <t xml:space="preserve">22910 Bothell Everett Hwy </t>
  </si>
  <si>
    <t xml:space="preserve">11523 Avondale Rd Ne Su </t>
  </si>
  <si>
    <t xml:space="preserve">6815 196th St. S.W. </t>
  </si>
  <si>
    <t xml:space="preserve">3001 Mile Hill Dr. </t>
  </si>
  <si>
    <t xml:space="preserve">PSNS  Naval Exchange Bldg. </t>
  </si>
  <si>
    <t xml:space="preserve">11706 Mukilteo Speedway </t>
  </si>
  <si>
    <t xml:space="preserve">10228 256 St </t>
  </si>
  <si>
    <t xml:space="preserve">5714 134 Pl Se </t>
  </si>
  <si>
    <t xml:space="preserve">12925 Se Kent Kangley Rd </t>
  </si>
  <si>
    <t xml:space="preserve">2008 S Commons </t>
  </si>
  <si>
    <t xml:space="preserve">27203 216Th Ave Se Ste. </t>
  </si>
  <si>
    <t xml:space="preserve">1202 Super Mall Way Sw </t>
  </si>
  <si>
    <t xml:space="preserve">3710 Broadway </t>
  </si>
  <si>
    <t xml:space="preserve">7329 Better Way Se </t>
  </si>
  <si>
    <t xml:space="preserve">5955 6Th Ave </t>
  </si>
  <si>
    <t xml:space="preserve">6501 S 19th St Bldg </t>
  </si>
  <si>
    <t xml:space="preserve">8638 Pacific Ave </t>
  </si>
  <si>
    <t xml:space="preserve">SOUTH HILL MALL&lt;p&gt;3500 S MERIDIAN </t>
  </si>
  <si>
    <t>13414 Meridian B</t>
  </si>
  <si>
    <t xml:space="preserve">3943 116Th Street Ne Ste. </t>
  </si>
  <si>
    <t xml:space="preserve">16820 Smokey Point Blvd. </t>
  </si>
  <si>
    <t xml:space="preserve">17101 27 Ave </t>
  </si>
  <si>
    <t xml:space="preserve">1300 Water Street </t>
  </si>
  <si>
    <t xml:space="preserve">2121 Olympic Hwy N </t>
  </si>
  <si>
    <t xml:space="preserve">1110 Algiers </t>
  </si>
  <si>
    <t>http://seattle.entertainment.com/discount/Ivars_Seafood_Bar/coupon/00316543003RED00933695EPC00497999PRD00000001.html</t>
  </si>
  <si>
    <t>http://seattle.entertainment.com/discount/Ivars_Seafood_Bar/coupon/00316542003RED00933681EPC00496999PRD00000001.html</t>
  </si>
  <si>
    <t>http://seattle.entertainment.com/discount/Noble_Palace_Chinese_Restaurant__Lounge/coupon/00314945003RED01268752EPC00497999PRD00000056.html</t>
  </si>
  <si>
    <t>http://seattle.entertainment.com/discount/Steamers_Seafood_Cafe/coupon/00315283003RED01277117EPC00496999PRD00000001.html</t>
  </si>
  <si>
    <t>http://seattle.entertainment.com/discount/Emerald_City_Fish__Chips/coupon/00317583003RED01381652EPC00497999PRD00000056.html</t>
  </si>
  <si>
    <t>http://seattle.entertainment.com/discount/I_Love_New_York_Deli/coupon/00317491003RED01379737EPC00497999PRD00000056.html</t>
  </si>
  <si>
    <t>http://seattle.entertainment.com/discount/Big_Apple_Bagels/coupon/00312021003RED00920091EPC00496999PRD00000001.html</t>
  </si>
  <si>
    <t>http://seattle.entertainment.com/discount/Fatburger/coupon/00315975003RED01308668EPC00497999PRD00000001.html</t>
  </si>
  <si>
    <t>http://seattle.entertainment.com/discount/Elle__Bee_Frozen_Yogurt__Ice_Cream/coupon/00317033003RED01375462EPC00497999PRD00000001.html</t>
  </si>
  <si>
    <t>http://seattle.entertainment.com/discount/Fatburger/coupon/00315976003RED01308667EPC00496999PRD00000001.html</t>
  </si>
  <si>
    <t>http://seattle.entertainment.com/discount/BaskinRobbins/coupon/05004755003RED01197668EPC00496999PRD00000001.html</t>
  </si>
  <si>
    <t>http://seattle.entertainment.com/discount/Burger_Madness__Monroe/coupon/00316196003RED01320147EPC00497999PRD00000001.html</t>
  </si>
  <si>
    <t>http://seattle.entertainment.com/discount/Wades_Cafe/coupon/05004992050RED01264639EPC00497999PRD00000001.html</t>
  </si>
  <si>
    <t>http://seattle.entertainment.com/discount/Westside_Pizza/coupon/00314871003RED01264863EPC00497999PRD00000056.html</t>
  </si>
  <si>
    <t>http://seattle.entertainment.com/discount/Alfys_Pizza__Pasta/coupon/97001721003RED01140469EPC00496999PRD00000001.html</t>
  </si>
  <si>
    <t>http://seattle.entertainment.com/discount/Gelatoicious/coupon/00317519003RED01381000EPC00497999PRD00000056.html</t>
  </si>
  <si>
    <t>http://seattle.entertainment.com/discount/Lucas_Pizzeria_Ristorante/coupon/00315229003RED01275937EPC00497999PRD00000056.html</t>
  </si>
  <si>
    <t>http://seattle.entertainment.com/discount/Johnny_Rockets/coupon/87015248870RED01283348EPC00497999PRD00000056.html</t>
  </si>
  <si>
    <t>http://seattle.entertainment.com/discount/La_Raza_Taqueria_Mexicana/coupon/00316954003RED01371781EPC00497999PRD00000056.html</t>
  </si>
  <si>
    <t>http://seattle.entertainment.com/discount/Taqueria_Los_Cazadores/coupon/05004271050RED01106608EPC00496999PRD00000001.html</t>
  </si>
  <si>
    <t>http://seattle.entertainment.com/discount/Round_Table_Pizza/coupon/87018202870RED01389748EPC00497999PRD00000001.html</t>
  </si>
  <si>
    <t>http://seattle.entertainment.com/discount/Round_Table_Pizza/coupon/87018204870RED01389611EPC00496999PRD00000001.html</t>
  </si>
  <si>
    <t>http://seattle.entertainment.com/discount/Round_Table_Pizza/coupon/87018202870RED01389642EPC00497999PRD00000001.html</t>
  </si>
  <si>
    <t>http://seattle.entertainment.com/discount/Round_Table_Pizza/coupon/87018199870RED01389762EPC00497999PRD00000001.html</t>
  </si>
  <si>
    <t>http://seattle.entertainment.com/discount/Round_Table_Pizza/coupon/87018204870RED01389750EPC00496999PRD00000001.html</t>
  </si>
  <si>
    <t>http://seattle.entertainment.com/discount/Round_Table_Pizza/coupon/87018205870RED01389592EPC00497999PRD00000001.html</t>
  </si>
  <si>
    <t>http://seattle.entertainment.com/discount/Round_Table_Pizza/coupon/87018207870RED01389791EPC00496999PRD00000001.html</t>
  </si>
  <si>
    <t>http://seattle.entertainment.com/discount/Round_Table_Pizza/coupon/87018202870RED01389771EPC00497999PRD00000001.html</t>
  </si>
  <si>
    <t>http://seattle.entertainment.com/discount/Johnny_Rockets/coupon/87015248870RED01283352EPC00497999PRD00000056.html</t>
  </si>
  <si>
    <t>http://seattle.entertainment.com/discount/Round_Table_Pizza/coupon/87018199870RED01389852EPC00497999PRD00000001.html</t>
  </si>
  <si>
    <t>http://seattle.entertainment.com/discount/Round_Table_Pizza/coupon/87018204870RED01389719EPC00496999PRD00000001.html</t>
  </si>
  <si>
    <t>http://seattle.entertainment.com/discount/Round_Table_Pizza/coupon/87018202870RED01389889EPC00497999PRD00000001.html</t>
  </si>
  <si>
    <t>http://seattle.entertainment.com/discount/Round_Table_Pizza/coupon/87018199870RED01389907EPC00497999PRD00000001.html</t>
  </si>
  <si>
    <t>http://seattle.entertainment.com/discount/Round_Table_Pizza/coupon/87018199870RED01389641EPC00497999PRD00000001.html</t>
  </si>
  <si>
    <t>http://seattle.entertainment.com/discount/Johnny_Rockets/coupon/87015240870RED01283351EPC00497999PRD00000001.html</t>
  </si>
  <si>
    <t>http://seattle.entertainment.com/discount/Dominos/coupon/87016320870RED01362517EPC00496999PRD00000001.html</t>
  </si>
  <si>
    <t>http://seattle.entertainment.com/discount/Emerald_City_Smoothie/coupon/87017073870RED01301338EPC00496999PRD00000001.html</t>
  </si>
  <si>
    <t>http://seattle.entertainment.com/discount/Dominos/coupon/87016317870RED01362557EPC00496999PRD00000001.html</t>
  </si>
  <si>
    <t>http://seattle.entertainment.com/discount/Cold_Stone_Creamery/coupon/87020775870RED01387078EPC00497999PRD00000001.html</t>
  </si>
  <si>
    <t>http://seattle.entertainment.com/discount/Emerald_City_Smoothie/coupon/87017067870RED01301335EPC00496999PRD00000001.html</t>
  </si>
  <si>
    <t>http://seattle.entertainment.com/discount/Jack_in_the_Box/coupon/87017473870RED01327855EPC00496999PRD00000001.html</t>
  </si>
  <si>
    <t>http://seattle.entertainment.com/discount/Jack_in_the_Box/coupon/87017464870RED01327821EPC00496999PRD00000001.html</t>
  </si>
  <si>
    <t>http://seattle.entertainment.com/discount/Dominos/coupon/87016286870RED01362531EPC00496999PRD00000001.html</t>
  </si>
  <si>
    <t>http://seattle.entertainment.com/discount/Emerald_City_Smoothie/coupon/87017060870RED01301333EPC00496999PRD00000001.html</t>
  </si>
  <si>
    <t>http://seattle.entertainment.com/discount/Dominos/coupon/87016320870RED01362558EPC00496999PRD00000001.html</t>
  </si>
  <si>
    <t>http://seattle.entertainment.com/discount/Jack_in_the_Box/coupon/87017451870RED01327912EPC00496999PRD00000001.html</t>
  </si>
  <si>
    <t>http://seattle.entertainment.com/discount/Emerald_City_Smoothie/coupon/87017060870RED01301321EPC00496999PRD00000001.html</t>
  </si>
  <si>
    <t>http://seattle.entertainment.com/discount/Jack_in_the_Box/coupon/87017451870RED01327829EPC00496999PRD00000001.html</t>
  </si>
  <si>
    <t>http://seattle.entertainment.com/discount/Dominos/coupon/87016317870RED01362559EPC00496999PRD00000001.html</t>
  </si>
  <si>
    <t>http://seattle.entertainment.com/discount/Dominos/coupon/87016320870RED01362556EPC00496999PRD00000001.html</t>
  </si>
  <si>
    <t>http://seattle.entertainment.com/discount/Auntie_Annes/coupon/87019825870RED01371754EPC00497999PRD00000001.html</t>
  </si>
  <si>
    <t>http://seattle.entertainment.com/discount/Mrs_Fields_Cookies/coupon/87019669870RED01354993EPC00497999PRD00000001.html</t>
  </si>
  <si>
    <t>http://seattle.entertainment.com/discount/Dominos/coupon/87016317870RED01362563EPC00496999PRD00000001.html</t>
  </si>
  <si>
    <t>http://seattle.entertainment.com/discount/Emerald_City_Smoothie/coupon/87017067870RED01301301EPC00496999PRD00000001.html</t>
  </si>
  <si>
    <t>http://seattle.entertainment.com/discount/Jack_in_the_Box/coupon/87017469870RED01327860EPC00496999PRD00000001.html</t>
  </si>
  <si>
    <t>http://seattle.entertainment.com/discount/Woodys_Coffee__Espresso/coupon/87015500870RED01287166EPC00497999PRD00000001.html</t>
  </si>
  <si>
    <t>http://seattle.entertainment.com/discount/Emerald_City_Smoothie/coupon/87017067870RED01301317EPC00496999PRD00000001.html</t>
  </si>
  <si>
    <t>http://seattle.entertainment.com/discount/AWreg_All_American_Foodreg/coupon/87015736870RED01289109EPC00496999PRD00000001.html</t>
  </si>
  <si>
    <t>http://seattle.entertainment.com/discount/Dairy_Queenreg/coupon/87017276870RED01320992EPC00496999PRD00000001.html</t>
  </si>
  <si>
    <t>http://seattle.entertainment.com/discount/Dairy_Queenreg/coupon/87017426870RED01320991EPC00496999PRD00000001.html</t>
  </si>
  <si>
    <t>http://seattle.entertainment.com/discount/Emerald_City_Smoothie/coupon/87017060870RED01301302EPC00496999PRD00000001.html</t>
  </si>
  <si>
    <t>http://seattle.entertainment.com/discount/TCBY/coupon/87015676870RED01369164EPC00496999PRD00000001.html</t>
  </si>
  <si>
    <t>http://seattle.entertainment.com/discount/TCBY/coupon/00313316003RED01106092EPC00497999PRD00000001.html</t>
  </si>
  <si>
    <t>http://seattle.entertainment.com/discount/Cold_Stone_Creamery/coupon/87020775870RED01387082EPC00497999PRD00000001.html</t>
  </si>
  <si>
    <t>http://seattle.entertainment.com/discount/Emerald_City_Smoothie/coupon/87017073870RED01301303EPC00496999PRD00000001.html</t>
  </si>
  <si>
    <t>http://seattle.entertainment.com/discount/Dairy_Queenreg/coupon/87017355870RED01320986EPC00496999PRD00000001.html</t>
  </si>
  <si>
    <t>http://seattle.entertainment.com/discount/Dominos/coupon/87016317870RED01362560EPC00496999PRD00000001.html</t>
  </si>
  <si>
    <t>http://seattle.entertainment.com/discount/TCBY/coupon/87015681870RED01369001EPC00496999PRD00000001.html</t>
  </si>
  <si>
    <t>http://seattle.entertainment.com/discount/TCBY/coupon/00313316003RED00559617EPC00497999PRD00000001.html</t>
  </si>
  <si>
    <t>http://seattle.entertainment.com/discount/Jack_in_the_Box/coupon/87017473870RED01327853EPC00496999PRD00000001.html</t>
  </si>
  <si>
    <t>http://seattle.entertainment.com/discount/Cold_Stone_Creamery/coupon/87020793870RED01387076EPC00497999PRD00000001.html</t>
  </si>
  <si>
    <t>http://seattle.entertainment.com/discount/Samurai_Sams/coupon/87014818870RED01276598EPC00496999PRD00000001.html</t>
  </si>
  <si>
    <t>http://seattle.entertainment.com/discount/Jack_in_the_Box/coupon/87017464870RED01327851EPC00496999PRD00000001.html</t>
  </si>
  <si>
    <t>http://seattle.entertainment.com/discount/AWreg_All_American_Foodreg/coupon/87015736870RED01289106EPC00496999PRD00000001.html</t>
  </si>
  <si>
    <t>http://seattle.entertainment.com/discount/Dairy_Queenreg/coupon/87017426870RED01320983EPC00496999PRD00000001.html</t>
  </si>
  <si>
    <t>http://seattle.entertainment.com/discount/Dominos/coupon/87016286870RED01362553EPC00496999PRD00000001.html</t>
  </si>
  <si>
    <t>http://seattle.entertainment.com/discount/Dominos/coupon/87016320870RED01362491EPC00496999PRD00000001.html</t>
  </si>
  <si>
    <t>http://seattle.entertainment.com/discount/Jack_in_the_Box/coupon/87017451870RED01327836EPC00496999PRD00000001.html</t>
  </si>
  <si>
    <t>http://seattle.entertainment.com/discount/Emerald_City_Smoothie/coupon/87017060870RED01301339EPC00496999PRD00000001.html</t>
  </si>
  <si>
    <t>http://seattle.entertainment.com/discount/Jack_in_the_Box/coupon/87017473870RED01327906EPC00496999PRD00000001.html</t>
  </si>
  <si>
    <t>http://seattle.entertainment.com/discount/Dominos/coupon/87016286870RED01362539EPC00496999PRD00000001.html</t>
  </si>
  <si>
    <t>http://seattle.entertainment.com/discount/Cold_Stone_Creamery/coupon/87020793870RED01387077EPC00497999PRD00000001.html</t>
  </si>
  <si>
    <t>http://seattle.entertainment.com/discount/Jack_in_the_Box/coupon/87017464870RED01327849EPC00496999PRD00000001.html</t>
  </si>
  <si>
    <t>http://seattle.entertainment.com/discount/Dairy_Queenreg/coupon/87017355870RED01320989EPC00496999PRD00000001.html</t>
  </si>
  <si>
    <t>http://seattle.entertainment.com/discount/Emerald_City_Smoothie/coupon/87017067870RED01301330EPC00496999PRD00000001.html</t>
  </si>
  <si>
    <t>http://seattle.entertainment.com/discount/Dairy_Queenreg/coupon/87017426870RED01320988EPC00496999PRD00000001.html</t>
  </si>
  <si>
    <t>http://seattle.entertainment.com/discount/Jack_in_the_Box/coupon/87017469870RED01327834EPC00496999PRD00000001.html</t>
  </si>
  <si>
    <t>http://seattle.entertainment.com/discount/Dominos/coupon/87016320870RED01362493EPC00496999PRD00000001.html</t>
  </si>
  <si>
    <t>http://seattle.entertainment.com/discount/Jack_in_the_Box/coupon/87017464870RED01327856EPC00496999PRD00000001.html</t>
  </si>
  <si>
    <t>http://seattle.entertainment.com/discount/Jack_in_the_Box/coupon/87017464870RED01327911EPC00496999PRD00000001.html</t>
  </si>
  <si>
    <t>http://seattle.entertainment.com/discount/Dairy_Queenreg/coupon/87017426870RED01320990EPC00496999PRD00000001.html</t>
  </si>
  <si>
    <t>http://seattle.entertainment.com/discount/Cold_Stone_Creamery/coupon/87020789870RED01387074EPC00497999PRD00000001.html</t>
  </si>
  <si>
    <t>http://seattle.entertainment.com/discount/Dairy_Queenreg/coupon/87017355870RED01320922EPC00496999PRD00000001.html</t>
  </si>
  <si>
    <t>http://seattle.entertainment.com/discount/Dairy_Queenreg/coupon/87017355870RED01320985EPC00496999PRD00000001.html</t>
  </si>
  <si>
    <t>http://seattle.entertainment.com/discount/Auntie_Annes/coupon/87019834870RED01371762EPC00497999PRD00000001.html</t>
  </si>
  <si>
    <t>http://seattle.entertainment.com/discount/Jack_in_the_Box/coupon/87017464870RED01327872EPC00496999PRD00000001.html</t>
  </si>
  <si>
    <t>http://seattle.entertainment.com/discount/Mrs_Fields_Cookies/coupon/87019669870RED01354856EPC00497999PRD00000001.html</t>
  </si>
  <si>
    <t>http://seattle.entertainment.com/discount/Auntie_Annes/coupon/87019843870RED01371763EPC00497999PRD00000056.html</t>
  </si>
  <si>
    <t>http://seattle.entertainment.com/discount/Jack_in_the_Box/coupon/87017473870RED01327810EPC00496999PRD00000001.html</t>
  </si>
  <si>
    <t>http://seattle.entertainment.com/discount/Emerald_City_Smoothie/coupon/87017073870RED01301309EPC00496999PRD00000001.html</t>
  </si>
  <si>
    <t>http://seattle.entertainment.com/discount/Emerald_City_Smoothie/coupon/87017060870RED01301332EPC00496999PRD00000001.html</t>
  </si>
  <si>
    <t>http://seattle.entertainment.com/discount/Jack_in_the_Box/coupon/87017451870RED01327877EPC00496999PRD00000001.html</t>
  </si>
  <si>
    <t>http://seattle.entertainment.com/discount/Dairy_Queenreg/coupon/87017426870RED01320927EPC00496999PRD00000001.html</t>
  </si>
  <si>
    <t>http://seattle.entertainment.com/discount/Cold_Stone_Creamery/coupon/87020775870RED01387002EPC00497999PRD00000001.html</t>
  </si>
  <si>
    <t>http://seattle.entertainment.com/discount/Jack_in_the_Box/coupon/87017464870RED01327814EPC00496999PRD00000001.html</t>
  </si>
  <si>
    <t>http://seattle.entertainment.com/discount/Asian_Chao_Chao_Cajun_Maki_of_Japan/coupon/87017325870RED01382308EPC00496999PRD00000001.html</t>
  </si>
  <si>
    <t>http://seattle.entertainment.com/discount/Jack_in_the_Box/coupon/87017473870RED01327869EPC00496999PRD00000001.html</t>
  </si>
  <si>
    <t>http://seattle.entertainment.com/discount/Dominos/coupon/87016286870RED01362514EPC00496999PRD00000001.html</t>
  </si>
  <si>
    <t>http://seattle.entertainment.com/discount/Dairy_Queenreg/coupon/87017282870RED01320984EPC00496999PRD00000001.html</t>
  </si>
  <si>
    <t>http://seattle.entertainment.com/discount/Cold_Stone_Creamery/coupon/87020789870RED01387003EPC00497999PRD00000001.html</t>
  </si>
  <si>
    <t>http://seattle.entertainment.com/discount/Jack_in_the_Box/coupon/87017451870RED01327914EPC00496999PRD00000001.html</t>
  </si>
  <si>
    <t>http://seattle.entertainment.com/discount/Jack_in_the_Box/coupon/87017469870RED01327883EPC00496999PRD00000001.html</t>
  </si>
  <si>
    <t>http://seattle.entertainment.com/discount/Jack_in_the_Box/coupon/87017469870RED01327823EPC00496999PRD00000001.html</t>
  </si>
  <si>
    <t>http://seattle.entertainment.com/discount/Cold_Stone_Creamery/coupon/87020793870RED01387075EPC00497999PRD00000001.html</t>
  </si>
  <si>
    <t>http://seattle.entertainment.com/discount/Emerald_City_Smoothie/coupon/87017060870RED01301313EPC00496999PRD00000001.html</t>
  </si>
  <si>
    <t>http://seattle.entertainment.com/discount/Auntie_Annes/coupon/87019828870RED01371752EPC00497999PRD00000001.html</t>
  </si>
  <si>
    <t>http://seattle.entertainment.com/discount/Auntie_Annes/coupon/87019825870RED01371753EPC00497999PRD00000001.html</t>
  </si>
  <si>
    <t>http://seattle.entertainment.com/discount/Cold_Stone_Creamery/coupon/87020793870RED01387080EPC00497999PRD00000001.html</t>
  </si>
  <si>
    <t>http://seattle.entertainment.com/discount/Jack_in_the_Box/coupon/87017473870RED01327845EPC00496999PRD00000001.html</t>
  </si>
  <si>
    <t>http://seattle.entertainment.com/discount/Cold_Stone_Creamery/coupon/87020789870RED01387079EPC00497999PRD00000001.html</t>
  </si>
  <si>
    <t>http://seattle.entertainment.com/discount/Dairy_Queenreg/coupon/87017276870RED01320987EPC00496999PRD00000001.html</t>
  </si>
  <si>
    <t>http://seattle.entertainment.com/discount/Emerald_City_Smoothie/coupon/87017073870RED01301331EPC00496999PRD00000001.html</t>
  </si>
  <si>
    <t>http://seattle.entertainment.com/discount/Extreme_Pizza/coupon/87014200870RED01382918EPC00496999PRD00000001.html</t>
  </si>
  <si>
    <t>http://seattle.entertainment.com/discount/Dominos/coupon/87016320870RED01362572EPC00496999PRD00000001.html</t>
  </si>
  <si>
    <t>http://seattle.entertainment.com/discount/Jack_in_the_Box/coupon/87017464870RED01327891EPC00496999PRD00000001.html</t>
  </si>
  <si>
    <t>http://seattle.entertainment.com/discount/Emerald_City_Smoothie/coupon/87017060870RED01301316EPC00496999PRD00000001.html</t>
  </si>
  <si>
    <t>http://seattle.entertainment.com/discount/Dominos/coupon/87016317870RED01362508EPC00496999PRD00000001.html</t>
  </si>
  <si>
    <t>http://seattle.entertainment.com/discount/Dairy_Queenreg/coupon/87017282870RED01320932EPC00496999PRD00000001.html</t>
  </si>
  <si>
    <t>http://seattle.entertainment.com/discount/Cold_Stone_Creamery/coupon/87020793870RED01387005EPC00497999PRD00000001.html</t>
  </si>
  <si>
    <t>http://seattle.entertainment.com/discount/Jack_in_the_Box/coupon/87017451870RED01327833EPC00496999PRD00000001.html</t>
  </si>
  <si>
    <t>http://seattle.entertainment.com/discount/Dominos/coupon/87016320870RED01362497EPC00496999PRD00000001.html</t>
  </si>
  <si>
    <t>http://seattle.entertainment.com/discount/Jack_in_the_Box/coupon/87017464870RED01327876EPC00496999PRD00000001.html</t>
  </si>
  <si>
    <t>http://seattle.entertainment.com/discount/Mrs_Fields_Cookies/coupon/87019669870RED01354948EPC00497999PRD00000001.html</t>
  </si>
  <si>
    <t>http://seattle.entertainment.com/discount/Dairy_Queenreg/coupon/87017426870RED01320931EPC00496999PRD00000001.html</t>
  </si>
  <si>
    <t>http://seattle.entertainment.com/discount/Dairy_Queenreg/coupon/87017276870RED01320898EPC00496999PRD00000001.html</t>
  </si>
  <si>
    <t>http://seattle.entertainment.com/discount/Cold_Stone_Creamery/coupon/87020793870RED01387081EPC00497999PRD00000001.html</t>
  </si>
  <si>
    <t>http://seattle.entertainment.com/discount/Dominos/coupon/87016320870RED01362551EPC00496999PRD00000001.html</t>
  </si>
  <si>
    <t>http://seattle.entertainment.com/discount/Cold_Stone_Creamery/coupon/87020789870RED01387006EPC00497999PRD00000001.html</t>
  </si>
  <si>
    <t>http://seattle.entertainment.com/discount/Emerald_City_Smoothie/coupon/87017070870RED01301314EPC00496999PRD00000001.html</t>
  </si>
  <si>
    <t>http://seattle.entertainment.com/discount/Jack_in_the_Box/coupon/87017473870RED01327848EPC00496999PRD00000001.html</t>
  </si>
  <si>
    <t>http://seattle.entertainment.com/discount/Jack_in_the_Box/coupon/87017464870RED01327870EPC00496999PRD00000001.html</t>
  </si>
  <si>
    <t>http://seattle.entertainment.com/discount/Dominos/coupon/87016286870RED01362512EPC00496999PRD00000001.html</t>
  </si>
  <si>
    <t>http://seattle.entertainment.com/discount/AWreg_All_American_Foodreg/coupon/87015731870RED01289107EPC00496999PRD00000001.html</t>
  </si>
  <si>
    <t>http://seattle.entertainment.com/discount/Dairy_Queenreg/coupon/87017276870RED01320891EPC00496999PRD00000001.html</t>
  </si>
  <si>
    <t>http://seattle.entertainment.com/discount/Jack_in_the_Box/coupon/87017473870RED01327818EPC00496999PRD00000001.html</t>
  </si>
  <si>
    <t>http://seattle.entertainment.com/discount/Jack_in_the_Box/coupon/87017469870RED01327827EPC00496999PRD00000001.html</t>
  </si>
  <si>
    <t>http://seattle.entertainment.com/discount/Woodys_Chicago_Style_Hot_Dogs/coupon/87015469870RED01287127EPC00496999PRD00000001.html</t>
  </si>
  <si>
    <t>http://seattle.entertainment.com/discount/Woodys_Coffee__Espresso/coupon/87015501870RED01287168EPC00496999PRD00000001.html</t>
  </si>
  <si>
    <t>http://seattle.entertainment.com/discount/Emerald_City_Smoothie/coupon/87017073870RED01301323EPC00496999PRD00000001.html</t>
  </si>
  <si>
    <t>http://seattle.entertainment.com/discount/Jack_in_the_Box/coupon/87017451870RED01327815EPC00496999PRD00000001.html</t>
  </si>
  <si>
    <t>http://seattle.entertainment.com/discount/Dairy_Queenreg/coupon/87017426870RED01320925EPC00496999PRD00000001.html</t>
  </si>
  <si>
    <t>http://seattle.entertainment.com/discount/Jack_in_the_Box/coupon/87017451870RED01327905EPC00496999PRD00000001.html</t>
  </si>
  <si>
    <t>http://seattle.entertainment.com/discount/Emerald_City_Smoothie/coupon/87017073870RED01301315EPC00496999PRD00000001.html</t>
  </si>
  <si>
    <t>http://seattle.entertainment.com/discount/AWreg_All_American_Foodreg/coupon/87015731870RED01289110EPC00496999PRD00000001.html</t>
  </si>
  <si>
    <t>http://seattle.entertainment.com/discount/Cold_Stone_Creamery/coupon/87020775870RED01386994EPC00497999PRD00000001.html</t>
  </si>
  <si>
    <t>http://seattle.entertainment.com/discount/Jack_in_the_Box/coupon/87017464870RED01327874EPC00496999PRD00000001.html</t>
  </si>
  <si>
    <t>http://seattle.entertainment.com/discount/Jack_in_the_Box/coupon/87017451870RED01327817EPC00496999PRD00000001.html</t>
  </si>
  <si>
    <t>http://seattle.entertainment.com/discount/Cold_Stone_Creamery/coupon/87020775870RED01387004EPC00497999PRD00000001.html</t>
  </si>
  <si>
    <t>http://seattle.entertainment.com/discount/Jack_in_the_Box/coupon/87017451870RED01327916EPC00496999PRD00000001.html</t>
  </si>
  <si>
    <t>http://seattle.entertainment.com/discount/Dominos/coupon/87016317870RED01362542EPC00496999PRD00000001.html</t>
  </si>
  <si>
    <t>http://seattle.entertainment.com/discount/Cold_Stone_Creamery/coupon/87020775870RED01386998EPC00497999PRD00000001.html</t>
  </si>
  <si>
    <t>http://seattle.entertainment.com/discount/Emerald_City_Smoothie/coupon/87017060870RED01301311EPC00496999PRD00000001.html</t>
  </si>
  <si>
    <t>http://seattle.entertainment.com/discount/Auntie_Annes/coupon/87019831870RED01371759EPC00497999PRD00000001.html</t>
  </si>
  <si>
    <t>http://seattle.entertainment.com/discount/Baskin_RobbinsIce_Cream/coupon/05004750050RED01374862EPC00496999PRD00000001.html</t>
  </si>
  <si>
    <t>http://seattle.entertainment.com/discount/TCBY/coupon/87015681870RED01369195EPC00496999PRD00000001.html</t>
  </si>
  <si>
    <t>http://seattle.entertainment.com/discount/Dairy_Queenreg/coupon/87017355870RED01320924EPC00496999PRD00000001.html</t>
  </si>
  <si>
    <t>http://seattle.entertainment.com/discount/Dominos/coupon/87016320870RED01362549EPC00496999PRD00000001.html</t>
  </si>
  <si>
    <t>http://seattle.entertainment.com/discount/Dairy_Queenreg/coupon/87017282870RED01320890EPC00496999PRD00000001.html</t>
  </si>
  <si>
    <t>http://seattle.entertainment.com/discount/Auntie_Annes/coupon/87019828870RED01371760EPC00497999PRD00000001.html</t>
  </si>
  <si>
    <t>http://seattle.entertainment.com/discount/Emerald_City_Smoothie/coupon/87017073870RED01301312EPC00496999PRD00000001.html</t>
  </si>
  <si>
    <t>http://seattle.entertainment.com/discount/Jack_in_the_Box/coupon/87017473870RED01327832EPC00496999PRD00000001.html</t>
  </si>
  <si>
    <t>http://seattle.entertainment.com/discount/Dairy_Queenreg/coupon/87017426870RED01320894EPC00496999PRD00000001.html</t>
  </si>
  <si>
    <t>http://seattle.entertainment.com/discount/Dominos/coupon/87016286870RED01362538EPC00496999PRD00000001.html</t>
  </si>
  <si>
    <t>http://seattle.entertainment.com/discount/Emerald_City_Smoothie/coupon/87017060870RED01301341EPC00496999PRD00000001.html</t>
  </si>
  <si>
    <t>http://seattle.entertainment.com/discount/Jack_in_the_Box/coupon/87017464870RED01327820EPC00496999PRD00000001.html</t>
  </si>
  <si>
    <t>http://seattle.entertainment.com/discount/Jack_in_the_Box/coupon/87017469870RED01327835EPC00496999PRD00000001.html</t>
  </si>
  <si>
    <t>http://seattle.entertainment.com/discount/Jack_in_the_Box/coupon/87017473870RED01327897EPC00496999PRD00000001.html</t>
  </si>
  <si>
    <t>http://seattle.entertainment.com/discount/Auntie_Annes/coupon/87019837870RED01371761EPC00497999PRD00000001.html</t>
  </si>
  <si>
    <t>http://seattle.entertainment.com/discount/Emerald_City_Smoothie/coupon/87017070870RED01301322EPC00496999PRD00000001.html</t>
  </si>
  <si>
    <t>http://seattle.entertainment.com/discount/Dairy_Queenreg/coupon/87017426870RED01320893EPC00496999PRD00000001.html</t>
  </si>
  <si>
    <t>http://seattle.entertainment.com/discount/Dairy_Queenreg/coupon/87017426870RED01320923EPC00496999PRD00000001.html</t>
  </si>
  <si>
    <t>http://seattle.entertainment.com/discount/Emerald_City_Smoothie/coupon/87017070870RED01301300EPC00496999PRD00000001.html</t>
  </si>
  <si>
    <t>http://seattle.entertainment.com/discount/Jack_in_the_Box/coupon/87017469870RED01327813EPC00496999PRD00000001.html</t>
  </si>
  <si>
    <t>http://seattle.entertainment.com/discount/Jack_in_the_Box/coupon/87017451870RED01327902EPC00496999PRD00000001.html</t>
  </si>
  <si>
    <t>http://seattle.entertainment.com/discount/Emerald_City_Smoothie/coupon/87017060870RED01301320EPC00496999PRD00000001.html</t>
  </si>
  <si>
    <t>http://seattle.entertainment.com/discount/Dairy_Queenreg/coupon/87017276870RED01320889EPC00496999PRD00000001.html</t>
  </si>
  <si>
    <t>http://seattle.entertainment.com/discount/Woodys_Chicago_Style_Hot_Dogs/coupon/87015469870RED01287124EPC00496999PRD00000001.html</t>
  </si>
  <si>
    <t>http://seattle.entertainment.com/discount/Woodys_Coffee__Espresso/coupon/87015501870RED01287165EPC00496999PRD00000001.html</t>
  </si>
  <si>
    <t>http://seattle.entertainment.com/discount/Jack_in_the_Box/coupon/87017451870RED01327900EPC00496999PRD00000001.html</t>
  </si>
  <si>
    <t>http://seattle.entertainment.com/discount/Dairy_Queenreg/coupon/87017355870RED01320910EPC00496999PRD00000001.html</t>
  </si>
  <si>
    <t>http://seattle.entertainment.com/discount/Dominos/coupon/87016286870RED01362532EPC00496999PRD00000001.html</t>
  </si>
  <si>
    <t>http://seattle.entertainment.com/discount/Dairy_Queenreg/coupon/87017426870RED01320912EPC00496999PRD00000001.html</t>
  </si>
  <si>
    <t>http://seattle.entertainment.com/discount/AWreg_All_American_Foodreg/coupon/87015731870RED01289031EPC00496999PRD00000001.html</t>
  </si>
  <si>
    <t>http://seattle.entertainment.com/discount/Cold_Stone_Creamery/coupon/87020789870RED01386996EPC00497999PRD00000001.html</t>
  </si>
  <si>
    <t>http://seattle.entertainment.com/discount/Dominos/coupon/87016320870RED01362504EPC00496999PRD00000001.html</t>
  </si>
  <si>
    <t>http://seattle.entertainment.com/discount/Dairy_Queenreg/coupon/87017355870RED01320908EPC00496999PRD00000001.html</t>
  </si>
  <si>
    <t>http://seattle.entertainment.com/discount/AWreg_All_American_Foodreg/coupon/87015741870RED01289032EPC00496999PRD00000001.html</t>
  </si>
  <si>
    <t>http://seattle.entertainment.com/discount/Emerald_City_Smoothie/coupon/87017073870RED01301344EPC00496999PRD00000001.html</t>
  </si>
  <si>
    <t>http://seattle.entertainment.com/discount/Jack_in_the_Box/coupon/87017451870RED01327879EPC00496999PRD00000001.html</t>
  </si>
  <si>
    <t>http://seattle.entertainment.com/discount/Dairy_Queenreg/coupon/87017282870RED01320902EPC00496999PRD00000001.html</t>
  </si>
  <si>
    <t>http://seattle.entertainment.com/discount/Jack_in_the_Box/coupon/87017464870RED01327858EPC00496999PRD00000001.html</t>
  </si>
  <si>
    <t>http://seattle.entertainment.com/discount/Jack_in_the_Box/coupon/87017473870RED01327896EPC00496999PRD00000001.html</t>
  </si>
  <si>
    <t>http://seattle.entertainment.com/discount/Emerald_City_Smoothie/coupon/87017073870RED01301324EPC00496999PRD00000001.html</t>
  </si>
  <si>
    <t>http://seattle.entertainment.com/discount/Dominos/coupon/87016317870RED01362510EPC00496999PRD00000001.html</t>
  </si>
  <si>
    <t>http://seattle.entertainment.com/discount/Jack_in_the_Box/coupon/87017473870RED01327847EPC00496999PRD00000001.html</t>
  </si>
  <si>
    <t>http://seattle.entertainment.com/discount/Dairy_Queenreg/coupon/87017276870RED01320905EPC00496999PRD00000001.html</t>
  </si>
  <si>
    <t>http://seattle.entertainment.com/discount/Dominos/coupon/87016320870RED01362533EPC00496999PRD00000001.html</t>
  </si>
  <si>
    <t>http://seattle.entertainment.com/discount/Jack_in_the_Box/coupon/87017473870RED01327825EPC00496999PRD00000001.html</t>
  </si>
  <si>
    <t>http://seattle.entertainment.com/discount/Auntie_Annes/coupon/87019843870RED01371764EPC00497999PRD00000056.html</t>
  </si>
  <si>
    <t>http://seattle.entertainment.com/discount/Jack_in_the_Box/coupon/87017473870RED01327854EPC00496999PRD00000001.html</t>
  </si>
  <si>
    <t>http://seattle.entertainment.com/discount/Jack_in_the_Box/coupon/87017464870RED01327840EPC00496999PRD00000001.html</t>
  </si>
  <si>
    <t>http://seattle.entertainment.com/discount/Dairy_Queenreg/coupon/87017355870RED01320920EPC00496999PRD00000001.html</t>
  </si>
  <si>
    <t>http://seattle.entertainment.com/discount/Emerald_City_Smoothie/coupon/87017067870RED01301343EPC00496999PRD00000001.html</t>
  </si>
  <si>
    <t xml:space="preserve">4711 64th St. NE </t>
  </si>
  <si>
    <t xml:space="preserve">4726 Borgen Blvd NW </t>
  </si>
  <si>
    <t xml:space="preserve">3704 172nd Street NE </t>
  </si>
  <si>
    <t xml:space="preserve">8819 14 Ave S </t>
  </si>
  <si>
    <t xml:space="preserve">1250 Sw 43Rd </t>
  </si>
  <si>
    <t xml:space="preserve">Building </t>
  </si>
  <si>
    <t xml:space="preserve">1225 Center Dr </t>
  </si>
  <si>
    <t>Adjusted Address</t>
  </si>
  <si>
    <t xml:space="preserve">543 N.E. Northgate Way </t>
  </si>
  <si>
    <t>9828 15th Ave. S.W. Building B</t>
  </si>
  <si>
    <t xml:space="preserve">2701 184th St. S.W. Ste. </t>
  </si>
  <si>
    <t>1120 164th St SW Ste. L</t>
  </si>
  <si>
    <t>7200 267th Street NW suite 101</t>
  </si>
  <si>
    <t>9408 Martin Way E. Ste. 4</t>
  </si>
  <si>
    <t>Pier 54 1001 Alaskan Way</t>
  </si>
  <si>
    <t>1026 NE. 65th St. Ste. A101</t>
  </si>
  <si>
    <t>14230 N.E. 20th St. Ste. A</t>
  </si>
  <si>
    <t xml:space="preserve">16150 N.E. 85th </t>
  </si>
  <si>
    <t xml:space="preserve">17181 Redmond Way </t>
  </si>
  <si>
    <t>17802 134th Ave NE Suite 6</t>
  </si>
  <si>
    <t>22118 20th Ave. SE Ste. 127</t>
  </si>
  <si>
    <t>18401 76th Ave W Ste. 103</t>
  </si>
  <si>
    <t xml:space="preserve">18530 33rd Ave. W. </t>
  </si>
  <si>
    <t>17525 Hwy. 99 Ste. A</t>
  </si>
  <si>
    <t>6220 E. Lake Sammamish Pkwy S.E. Ste. D</t>
  </si>
  <si>
    <t>1386 Lund Ave. Ste. 6</t>
  </si>
  <si>
    <t>1120 164th Street S.W. Suite C</t>
  </si>
  <si>
    <t>1233 164th St. S.W. Ste. J</t>
  </si>
  <si>
    <t>800 164th St. SE Ste. L</t>
  </si>
  <si>
    <t>16510 State Route 9 SE Suite 101</t>
  </si>
  <si>
    <t xml:space="preserve">23745 225th Way SE </t>
  </si>
  <si>
    <t>700 Third Street Suite C</t>
  </si>
  <si>
    <t>14655 Fryelands Blvd SE Suite 109</t>
  </si>
  <si>
    <t xml:space="preserve">721 M Street N.E. </t>
  </si>
  <si>
    <t>14090 Fryelands Blvd SE Suite 174</t>
  </si>
  <si>
    <t>611   2nd St. Suite L</t>
  </si>
  <si>
    <t xml:space="preserve">34815 Pacific Hwy S. </t>
  </si>
  <si>
    <t xml:space="preserve">3850 S. Meridian </t>
  </si>
  <si>
    <t>11515 State Ave. Suite C</t>
  </si>
  <si>
    <t>5200 172nd St NE Suite D</t>
  </si>
  <si>
    <t>Fort Lewis&lt;p&gt;Bldg. 2260 Pendleton Ave.&lt;p&gt;</t>
  </si>
  <si>
    <t>107 S. Main St. Ste. B101</t>
  </si>
  <si>
    <t>3621 33rd Ave. S. Ste. C5</t>
  </si>
  <si>
    <t>19500 Bellinger Way NE Suite 110</t>
  </si>
  <si>
    <t>11000 NE 10th Street Ste B</t>
  </si>
  <si>
    <t>2512 Colby Ave. Ste. A</t>
  </si>
  <si>
    <t>1530 Queen Anne Ave. N. Ste. C</t>
  </si>
  <si>
    <t>20829 Hwy. 99 Ste A 1</t>
  </si>
  <si>
    <t>17917 Bothell Everett Hwy. Ste. 103</t>
  </si>
  <si>
    <t>801 NE 65th St. Ste. D</t>
  </si>
  <si>
    <t>1600 Roseway Ln. Suite 110</t>
  </si>
  <si>
    <t>117 128th SW Suite A 100</t>
  </si>
  <si>
    <t>4202 Alburn Way N. Ste. 1</t>
  </si>
  <si>
    <t>2941 S. 38th St. Ste. F</t>
  </si>
  <si>
    <t>8013 D Steilacoom Blvd. SW</t>
  </si>
  <si>
    <t>1020 1st St  Suite 104</t>
  </si>
  <si>
    <t>1823 Eastlake Ave. E.</t>
  </si>
  <si>
    <t xml:space="preserve">5025 25th Ave. NE </t>
  </si>
  <si>
    <t>401 NE Northgate Way Sp: 9168</t>
  </si>
  <si>
    <t>11431 NE 124th St.</t>
  </si>
  <si>
    <t>3040 148th Ave. NE</t>
  </si>
  <si>
    <t>153 SW 157th St.</t>
  </si>
  <si>
    <t xml:space="preserve">22003 66th Ave. W. </t>
  </si>
  <si>
    <t>17555 Southcenter Parkway</t>
  </si>
  <si>
    <t>18920 Alderwood Mall Blvd.</t>
  </si>
  <si>
    <t>19045 Highway 305</t>
  </si>
  <si>
    <t>2936 Bucklin Hill Rd.</t>
  </si>
  <si>
    <t>15704 Mill Creek Blvd.</t>
  </si>
  <si>
    <t>3276 N.W. Plaza Rd Suite 101</t>
  </si>
  <si>
    <t>11811 Mukilteo Speedway Ste. 100</t>
  </si>
  <si>
    <t>25633 102nd Pl. SE</t>
  </si>
  <si>
    <t>1321 B SE Everett Mall Way</t>
  </si>
  <si>
    <t>32015 23rd Ave. S</t>
  </si>
  <si>
    <t xml:space="preserve">5500 Olympic Dr. </t>
  </si>
  <si>
    <t>4801 Tacoma Mall Blvd.</t>
  </si>
  <si>
    <t>7901 South Hosmer Suite A 1</t>
  </si>
  <si>
    <t>1401 Marvin Rd. Suite 310</t>
  </si>
  <si>
    <t xml:space="preserve">100 4Th Ave No Suite </t>
  </si>
  <si>
    <t>206 Broadway Ave. E.</t>
  </si>
  <si>
    <t xml:space="preserve">1620 4Th Avenue </t>
  </si>
  <si>
    <t>725 Pike St. 4Th Flr</t>
  </si>
  <si>
    <t xml:space="preserve">345 15Th Avenue </t>
  </si>
  <si>
    <t>1105 Madison St. Medical Tower</t>
  </si>
  <si>
    <t xml:space="preserve">1101 Alaskan Way </t>
  </si>
  <si>
    <t>3310 6Th Avenue W.</t>
  </si>
  <si>
    <t>Stevens Way University Of Wash</t>
  </si>
  <si>
    <t>4915 25th Ave NE Suite 100 W</t>
  </si>
  <si>
    <t>5300 15th Avenue NW</t>
  </si>
  <si>
    <t xml:space="preserve">5401 NE 25Th St. </t>
  </si>
  <si>
    <t>2021 B Nw Market St</t>
  </si>
  <si>
    <t>6850 E. Greenlake Way N.</t>
  </si>
  <si>
    <t>2727 4Th Avenue S.</t>
  </si>
  <si>
    <t>2338 Rainier Avenue S.</t>
  </si>
  <si>
    <t>8757 Holman Road Nw Suite D</t>
  </si>
  <si>
    <t>10406 Greenwood Avenue N.</t>
  </si>
  <si>
    <t>4712 42Nd Avenue Sw</t>
  </si>
  <si>
    <t>12248 Aurora Avenue N.</t>
  </si>
  <si>
    <t xml:space="preserve">12354 15Th Avenue Ne </t>
  </si>
  <si>
    <t xml:space="preserve">10423 Main St. </t>
  </si>
  <si>
    <t xml:space="preserve">300 110Th Ave. Ne </t>
  </si>
  <si>
    <t>1044 116Th Avenue Ne.</t>
  </si>
  <si>
    <t xml:space="preserve">14130 Juanita Drive Ne </t>
  </si>
  <si>
    <t>10406 16Th Avenue Sw</t>
  </si>
  <si>
    <t>6509 132Nd Avenue Ne</t>
  </si>
  <si>
    <t>3910 Factoria Mall SE B 9</t>
  </si>
  <si>
    <t xml:space="preserve">13501 100Th Avenue Ne </t>
  </si>
  <si>
    <t>17171 Bothell Way Ne</t>
  </si>
  <si>
    <t xml:space="preserve">18002 15Th Avenue Ne Suite </t>
  </si>
  <si>
    <t xml:space="preserve">11613 124Th Ave. Ne </t>
  </si>
  <si>
    <t xml:space="preserve">15015 Main St. </t>
  </si>
  <si>
    <t xml:space="preserve">1800 Ne 44Th Suite </t>
  </si>
  <si>
    <t>15600 N.E. 8th Suite J 2</t>
  </si>
  <si>
    <t xml:space="preserve">3205 148th Ave. S.E. </t>
  </si>
  <si>
    <t>20238 Ballinger Road Ne</t>
  </si>
  <si>
    <t xml:space="preserve">6975 Coal Creek Pkwy Se </t>
  </si>
  <si>
    <t>12523 Ne 144Th St.</t>
  </si>
  <si>
    <t>7349 164th Ave. N.E. Suite I 123</t>
  </si>
  <si>
    <t xml:space="preserve">23805 Hwy 99 </t>
  </si>
  <si>
    <t>15500 1St Avenue S.</t>
  </si>
  <si>
    <t>235 Rainier Avenue S</t>
  </si>
  <si>
    <t>633 Southcenter Mall FC 9</t>
  </si>
  <si>
    <t xml:space="preserve">2800 So. Center Mall </t>
  </si>
  <si>
    <t xml:space="preserve">17801 Pacific Hwy S.Central Terminal Unit </t>
  </si>
  <si>
    <t xml:space="preserve">7600 196th Sw </t>
  </si>
  <si>
    <t xml:space="preserve">19720 W. 44Th Ave. </t>
  </si>
  <si>
    <t xml:space="preserve">20631 Bothell Everett Hwy </t>
  </si>
  <si>
    <t>18415 33Rd Avenue W.</t>
  </si>
  <si>
    <t>22830 NE 8th St. Ste 106</t>
  </si>
  <si>
    <t>1590 NW Gilman Blvd. Ste E 6</t>
  </si>
  <si>
    <t xml:space="preserve">3000 184th Str Spc </t>
  </si>
  <si>
    <t>2615 184th St. S.W. Ste. 102</t>
  </si>
  <si>
    <t xml:space="preserve">1145 Nw Gilman Blvd </t>
  </si>
  <si>
    <t>17633 108Th Avenue Se</t>
  </si>
  <si>
    <t>5208 168Th St. Sw</t>
  </si>
  <si>
    <t xml:space="preserve">17320 140th Avenue SE </t>
  </si>
  <si>
    <t>21425 Pacific Hwy S.</t>
  </si>
  <si>
    <t>1233 164Th Sw</t>
  </si>
  <si>
    <t>20628 108Th Avenue Se</t>
  </si>
  <si>
    <t>23235 Pacific Hwy S.</t>
  </si>
  <si>
    <t>15415 Main Street Suite D 105</t>
  </si>
  <si>
    <t>13619 Mukilteo Speedway D 6</t>
  </si>
  <si>
    <t xml:space="preserve">1529 W. Meeker St. </t>
  </si>
  <si>
    <t>17424 State Road 9 Se</t>
  </si>
  <si>
    <t xml:space="preserve">12717 4Th St. W. </t>
  </si>
  <si>
    <t>12025 Hwy 99 South Suite H</t>
  </si>
  <si>
    <t xml:space="preserve">3414 132Nd St. Se </t>
  </si>
  <si>
    <t xml:space="preserve">10730 19Th Avenue Se </t>
  </si>
  <si>
    <t xml:space="preserve">7415 Hardeson Rd </t>
  </si>
  <si>
    <t xml:space="preserve">22141 Se 237Th </t>
  </si>
  <si>
    <t xml:space="preserve">17051 Se 272Nd </t>
  </si>
  <si>
    <t xml:space="preserve">32225 Pacific Hwy S </t>
  </si>
  <si>
    <t xml:space="preserve">1928 S Seatac Mall </t>
  </si>
  <si>
    <t xml:space="preserve">14090 Fryelands Blvd. Se </t>
  </si>
  <si>
    <t xml:space="preserve">5129 Evergreen Way </t>
  </si>
  <si>
    <t xml:space="preserve">723 Avenue D </t>
  </si>
  <si>
    <t>620 Auburn Way S.</t>
  </si>
  <si>
    <t>14751 North Kelsey Street Ste. 101</t>
  </si>
  <si>
    <t>3840 A St. Sw</t>
  </si>
  <si>
    <t>3001 6Th Avenue Suite A</t>
  </si>
  <si>
    <t>4420 Pacific Hwy E Ste P</t>
  </si>
  <si>
    <t>461 Southfork Avenue Sw</t>
  </si>
  <si>
    <t xml:space="preserve">303 91St Avenue Ne </t>
  </si>
  <si>
    <t>1002 A North Meridan Ste. 102</t>
  </si>
  <si>
    <t>6402 S Yakima Suite C 1</t>
  </si>
  <si>
    <t>5502 Orchard St W Ste A1 &amp;amp; A2</t>
  </si>
  <si>
    <t>10600 Quil Ceda Blvd Ste 312</t>
  </si>
  <si>
    <t>Sea. Outlet 10600 Quilceda Blvd. Unit 318D</t>
  </si>
  <si>
    <t>20075 SR 410 E Ste A 108</t>
  </si>
  <si>
    <t>11120 Steele St. S Suite A</t>
  </si>
  <si>
    <t xml:space="preserve">235 Roosevelt Avenue </t>
  </si>
  <si>
    <t>13333 Meridian Avenue E Suite G</t>
  </si>
  <si>
    <t>13904 45Th Avenue Ne</t>
  </si>
  <si>
    <t>215 Whitesell St. NW Ste B 108</t>
  </si>
  <si>
    <t>7705 204Th St. Ne</t>
  </si>
  <si>
    <t xml:space="preserve">9909 244Th St. East </t>
  </si>
  <si>
    <t>805 College St Ste B</t>
  </si>
  <si>
    <t xml:space="preserve">32209 N. State Hwy 20 </t>
  </si>
  <si>
    <t>625 Blacklake Blvd. F 14</t>
  </si>
  <si>
    <t>212 Garfield Street</t>
  </si>
  <si>
    <t>6402 S Yakima</t>
  </si>
  <si>
    <t>1001 Alaskan Way</t>
  </si>
  <si>
    <t>2580 S 156th St</t>
  </si>
  <si>
    <t>9726 State Avenue</t>
  </si>
  <si>
    <t>1201 Alaskan Way</t>
  </si>
  <si>
    <t>5049 Brooklyn Ave NE</t>
  </si>
  <si>
    <t>2800 SouthCenter Mall</t>
  </si>
  <si>
    <t>9040 Fitzsimmons Drive</t>
  </si>
  <si>
    <t>214 N. Lewis Street</t>
  </si>
  <si>
    <t>2260 Pendleton Ave</t>
  </si>
  <si>
    <t>509 N West Ave.</t>
  </si>
  <si>
    <t>23330 Maple Valley Black Diamond Rd SE</t>
  </si>
  <si>
    <t>117 128th SW</t>
  </si>
  <si>
    <t>5620 Martin Luther King Jr Way</t>
  </si>
  <si>
    <t>1590 NW Gilman Blvd</t>
  </si>
  <si>
    <t>Boone Rd</t>
  </si>
  <si>
    <t>15415 Main Street</t>
  </si>
  <si>
    <t>26919  Maple Valley Black Diamond Rd SE</t>
  </si>
  <si>
    <t>7329 Better Way Se</t>
  </si>
  <si>
    <t>2601 North Pearl St.</t>
  </si>
  <si>
    <t>461 South fork Avenue</t>
  </si>
  <si>
    <t>4502 S STEELE ST</t>
  </si>
  <si>
    <t>1002 North Meridan</t>
  </si>
  <si>
    <t>3500 S MERIDIAN</t>
  </si>
  <si>
    <t>7349 164th Ave. N.E.</t>
  </si>
  <si>
    <t>18225 Campus Way Ne</t>
  </si>
  <si>
    <t>12121 Northrup Way NE</t>
  </si>
  <si>
    <t>10216 224th</t>
  </si>
  <si>
    <t>543 N.E. Northgate Way; #J</t>
  </si>
  <si>
    <t>9828 15th Ave. S.W.; Building B</t>
  </si>
  <si>
    <t>2701 184th St. S.W.; Ste. #107</t>
  </si>
  <si>
    <t>1120 164th St SW; Ste. L</t>
  </si>
  <si>
    <t>7200 267th Street NW; suite 101</t>
  </si>
  <si>
    <t>9408 Martin Way E.; Ste. 4</t>
  </si>
  <si>
    <t>1026 NE. 65th St.; Ste. A101</t>
  </si>
  <si>
    <t>Poppinjay's; A Cafe &amp; Catering Company</t>
  </si>
  <si>
    <t>14230 N.E. 20th St.; Ste. A</t>
  </si>
  <si>
    <t>16150 N.E. 85th; #105</t>
  </si>
  <si>
    <t>17181 Redmond Way; #100</t>
  </si>
  <si>
    <t>17802 134th Ave NE; Suite 6</t>
  </si>
  <si>
    <t>22118 20th Ave. SE; Ste. 127</t>
  </si>
  <si>
    <t>18401 76th Ave W; Ste. 103</t>
  </si>
  <si>
    <t>18530 33rd Ave. W.; #B</t>
  </si>
  <si>
    <t>17525 Hwy. 99; Ste. A</t>
  </si>
  <si>
    <t>6220 E. Lake Sammamish Pkwy S.E.; Ste. D</t>
  </si>
  <si>
    <t>GW's Soup; Salad and Subs</t>
  </si>
  <si>
    <t>1386 Lund Ave.; Ste. 6</t>
  </si>
  <si>
    <t>1120 164th Street S.W.; Suite C</t>
  </si>
  <si>
    <t>1233 164th St. S.W.; Ste. J</t>
  </si>
  <si>
    <t>800 164th St. SE; Ste. L</t>
  </si>
  <si>
    <t>16510 State Route 9 SE; Suite 101</t>
  </si>
  <si>
    <t>700 Third Street; Suite C</t>
  </si>
  <si>
    <t>3621 33rd Ave. S.; Ste. C5</t>
  </si>
  <si>
    <t>11000 NE 10th Street; Ste B</t>
  </si>
  <si>
    <t>5025 25th Ave. NE; #101;</t>
  </si>
  <si>
    <t>14655 Fryelands Blvd SE; Suite 109</t>
  </si>
  <si>
    <t>721 M Street N.E.; #103</t>
  </si>
  <si>
    <t>14090 Fryelands Blvd SE; Suite 174</t>
  </si>
  <si>
    <t>611 - 2nd St.; Suite L</t>
  </si>
  <si>
    <t>34815 Pacific Hwy S.; #201</t>
  </si>
  <si>
    <t>3850 S. Meridian; #1A</t>
  </si>
  <si>
    <t>11515 State Ave.; Suite C</t>
  </si>
  <si>
    <t>5200 172nd St NE; Suite D</t>
  </si>
  <si>
    <t>107 S. Main St.; Ste. B101</t>
  </si>
  <si>
    <t>19500 Bellinger Way NE; Suite 110</t>
  </si>
  <si>
    <t>2512 Colby Ave.; Ste. A</t>
  </si>
  <si>
    <t>Center House; Seattle Center</t>
  </si>
  <si>
    <t>1530 Queen Anne Ave. N.; Ste. C</t>
  </si>
  <si>
    <t>20829 Hwy. 99; Ste A-1</t>
  </si>
  <si>
    <t>17917 Bothell-Everett Hwy.; Ste. 103</t>
  </si>
  <si>
    <t>801 NE 65th St.; Ste. D</t>
  </si>
  <si>
    <t>1600 Roseway Ln.; Suite 110</t>
  </si>
  <si>
    <t>4202 Alburn Way N.; Ste. 1</t>
  </si>
  <si>
    <t>Dos Reales Taqueria; Restaurant &amp; Cantina</t>
  </si>
  <si>
    <t>2941 S. 38th St.; Ste. F</t>
  </si>
  <si>
    <t>1020 1st St ; Suite 104</t>
  </si>
  <si>
    <t>1823 Eastlake Ave. E.;</t>
  </si>
  <si>
    <t>401 NE Northgate Way; Sp: 9168;</t>
  </si>
  <si>
    <t>11431 NE 124th St.;</t>
  </si>
  <si>
    <t>3040 148th Ave. NE;</t>
  </si>
  <si>
    <t>153 SW 157th St.;</t>
  </si>
  <si>
    <t>"; WA</t>
  </si>
  <si>
    <t>22003 66th Ave. W.; #F;</t>
  </si>
  <si>
    <t>17555 Southcenter Parkway;</t>
  </si>
  <si>
    <t>18920 Alderwood Mall Blvd.;</t>
  </si>
  <si>
    <t>19045 Highway 305;</t>
  </si>
  <si>
    <t>2936 Bucklin Hill Rd.;</t>
  </si>
  <si>
    <t>15704 Mill Creek Blvd.;</t>
  </si>
  <si>
    <t>3276 N.W. Plaza Rd; Suite 101</t>
  </si>
  <si>
    <t>11811 Mukilteo Speedway; Ste. 100;</t>
  </si>
  <si>
    <t>25633 102nd Pl. SE;</t>
  </si>
  <si>
    <t>1321-B SE Everett Mall Way;</t>
  </si>
  <si>
    <t>32015 23rd Ave. S;</t>
  </si>
  <si>
    <t>5500 Olympic Dr.; #H101</t>
  </si>
  <si>
    <t>4801 Tacoma Mall Blvd.;</t>
  </si>
  <si>
    <t>7901 South Hosmer; Suite A-1</t>
  </si>
  <si>
    <t>1401 Marvin Rd.; Suite 310</t>
  </si>
  <si>
    <t>100 4Th Ave No; Suite #20</t>
  </si>
  <si>
    <t>206 Broadway Ave.; E.</t>
  </si>
  <si>
    <t>1620 4Th Avenue; #3</t>
  </si>
  <si>
    <t>725 Pike St. 4Th Flr;</t>
  </si>
  <si>
    <t>345 15Th Avenue; #101</t>
  </si>
  <si>
    <t>1105 Madison St.; Medical Tower</t>
  </si>
  <si>
    <t>1101 Alaskan Way; #103</t>
  </si>
  <si>
    <t>3310 6Th Avenue; W.</t>
  </si>
  <si>
    <t>5300 15th Avenue; NW</t>
  </si>
  <si>
    <t>5401 NE 25Th St.; #1</t>
  </si>
  <si>
    <t>6850 E. Greenlake Way; N.</t>
  </si>
  <si>
    <t>2727 4Th Avenue; S.</t>
  </si>
  <si>
    <t>2338 Rainier Avenue; S.</t>
  </si>
  <si>
    <t>8757 Holman Road Nw; Suite D</t>
  </si>
  <si>
    <t>10406 Greenwood Avenue; N.</t>
  </si>
  <si>
    <t>4712 42Nd Avenue; Sw</t>
  </si>
  <si>
    <t>12248 Aurora Avenue; N.</t>
  </si>
  <si>
    <t>12354 15Th Avenue; Ne; #C</t>
  </si>
  <si>
    <t>10423 Main St.; #3</t>
  </si>
  <si>
    <t>300 110Th Ave. Ne; #105</t>
  </si>
  <si>
    <t>1044 116Th Avenue; Ne.</t>
  </si>
  <si>
    <t>14130 Juanita Drive Ne; #103</t>
  </si>
  <si>
    <t>10406 16Th Avenue; Sw</t>
  </si>
  <si>
    <t>6509 132Nd Avenue; Ne</t>
  </si>
  <si>
    <t>3910 Factoria Mall SE; B-9</t>
  </si>
  <si>
    <t>13501 100Th Avenue; Ne; #90</t>
  </si>
  <si>
    <t>17171 Bothell Way; Ne</t>
  </si>
  <si>
    <t>18002 15Th Avenue; Ne; Suite #A</t>
  </si>
  <si>
    <t>11613 124Th Ave. Ne; #G</t>
  </si>
  <si>
    <t>15015 Main St.; #113</t>
  </si>
  <si>
    <t>1800 Ne 44Th; Suite #110</t>
  </si>
  <si>
    <t>3205 148th Ave. S.E.; #B</t>
  </si>
  <si>
    <t>20238 Ballinger Road; Ne</t>
  </si>
  <si>
    <t>6975 Coal Creek Pkwy; Se; #B-7</t>
  </si>
  <si>
    <t>12523 Ne; 144Th St.</t>
  </si>
  <si>
    <t>23805 Hwy 99; #102</t>
  </si>
  <si>
    <t>15500 1St Avenue; S.</t>
  </si>
  <si>
    <t>235 Rainier Avenue; S</t>
  </si>
  <si>
    <t>633 Southcenter Mall; FC 9</t>
  </si>
  <si>
    <t>Asian Chao; Chao Cajun; Maki of Japan</t>
  </si>
  <si>
    <t>17801 Pacific Hwy S.;Central Terminal Unit #CT-17</t>
  </si>
  <si>
    <t>7600 196th; Sw; #100</t>
  </si>
  <si>
    <t>19720 W. 44Th Ave.; #J</t>
  </si>
  <si>
    <t>20631 Bothell-Everett Hwy; #E</t>
  </si>
  <si>
    <t>18415 33Rd Avenue; W.</t>
  </si>
  <si>
    <t>22830 NE 8th St.; Ste 106</t>
  </si>
  <si>
    <t>3000 184th Str; Spc #856</t>
  </si>
  <si>
    <t>3000 184th Str; Spc #354</t>
  </si>
  <si>
    <t>2615 184th St. S.W.; Ste. 102</t>
  </si>
  <si>
    <t>CONE; DISH OR SUNDAE</t>
  </si>
  <si>
    <t>1145 Nw Gilman Blvd; #G-7</t>
  </si>
  <si>
    <t>17633 108Th Avenue; Se</t>
  </si>
  <si>
    <t>5208 168Th St.; Sw</t>
  </si>
  <si>
    <t>17320 140th Avenue; SE; #F-6</t>
  </si>
  <si>
    <t>21425 Pacific Hwy; S.</t>
  </si>
  <si>
    <t>1233 164Th; Sw</t>
  </si>
  <si>
    <t>20628 108Th Avenue; Se</t>
  </si>
  <si>
    <t>23235 Pacific Hwy; S.</t>
  </si>
  <si>
    <t>13619 Mukilteo Speedway; D-6</t>
  </si>
  <si>
    <t>1529 W. Meeker St.; #101</t>
  </si>
  <si>
    <t>17424 State Road 9; Se</t>
  </si>
  <si>
    <t>12717 4Th St.; W.; #B</t>
  </si>
  <si>
    <t>12025 Hwy 99 South; Suite H</t>
  </si>
  <si>
    <t>3414 132Nd St.; Se; #305</t>
  </si>
  <si>
    <t>10730 19Th Avenue; Se; #D</t>
  </si>
  <si>
    <t>7415 Hardeson Rd; #E</t>
  </si>
  <si>
    <t>22141 Se 237Th; #201</t>
  </si>
  <si>
    <t>17051 Se 272Nd; #6</t>
  </si>
  <si>
    <t>23745 225th Way SE; #102</t>
  </si>
  <si>
    <t>32225 Pacific Hwy; S #201</t>
  </si>
  <si>
    <t>14090 Fryelands Blvd. Se; #104</t>
  </si>
  <si>
    <t>5129 Evergreen Way; #2</t>
  </si>
  <si>
    <t>723 Avenue D; #A</t>
  </si>
  <si>
    <t>620 Auburn Way; S.</t>
  </si>
  <si>
    <t>14751 North Kelsey Street; Ste. 101</t>
  </si>
  <si>
    <t>34815 Pacific Hwy S.; #200</t>
  </si>
  <si>
    <t>3840 A St.; Sw</t>
  </si>
  <si>
    <t>3001 6Th Avenue; Suite A</t>
  </si>
  <si>
    <t>4420 Pacific Hwy E; Ste P</t>
  </si>
  <si>
    <t xml:space="preserve"> 33&lt;br&gt;Tacoma; WA&amp;nbsp;98421</t>
  </si>
  <si>
    <t>303 91St Avenue; Ne; #105</t>
  </si>
  <si>
    <t>10600 Quil Ceda Blvd; Ste 312</t>
  </si>
  <si>
    <t>11120 Steele St. S; Suite A</t>
  </si>
  <si>
    <t>235 Roosevelt Avenue; #E.</t>
  </si>
  <si>
    <t>13333 Meridian Avenue E; Suite G</t>
  </si>
  <si>
    <t>13904 45Th Avenue; Ne</t>
  </si>
  <si>
    <t>7705 204Th St.; Ne</t>
  </si>
  <si>
    <t>9909 244Th St. East; #110</t>
  </si>
  <si>
    <t>805 College St; Ste B</t>
  </si>
  <si>
    <t>32209 N. State Hwy 20; #3</t>
  </si>
  <si>
    <t>625 Blacklake Blvd.; F-14</t>
  </si>
  <si>
    <t>2021 B Nw Market St;</t>
  </si>
  <si>
    <t>2800 So. Center Mall; #K2678</t>
  </si>
  <si>
    <t>1928-S Seatac Mall; #5</t>
  </si>
  <si>
    <t>Sea. Outlet; 10600 Quilceda Blvd. Unit 318D</t>
  </si>
  <si>
    <t>Fort Lewis;&lt;p&gt;Bldg. 2260; Pendleton Ave.&lt;p&gt;</t>
  </si>
  <si>
    <t>Stevens Way; University Of Wash</t>
  </si>
  <si>
    <t>5502 Orchard St W; Ste A1 &amp;amp; A2</t>
  </si>
  <si>
    <t xml:space="preserve"> A2&lt;br&gt;Tacoma; WA&amp;nbsp;98467</t>
  </si>
  <si>
    <t>543 N.E. Northgate Way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</si>
</sst>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9" x14ac:knownFonts="1">
    <font>
      <sz val="10"/>
      <name val="Arial"/>
    </font>
    <font>
      <sz val="8"/>
      <name val="Arial"/>
      <family val="2"/>
    </font>
    <font>
      <u/>
      <sz val="10"/>
      <color theme="10"/>
      <name val="Arial"/>
      <family val="2"/>
    </font>
    <font>
      <sz val="9"/>
      <color indexed="81"/>
      <name val="Tahoma"/>
      <family val="2"/>
    </font>
    <font>
      <b/>
      <sz val="10"/>
      <name val="Arial"/>
      <family val="2"/>
    </font>
    <font>
      <sz val="10"/>
      <name val="Arial"/>
      <family val="2"/>
    </font>
    <font>
      <sz val="11"/>
      <name val="Arial"/>
      <family val="2"/>
    </font>
    <font>
      <sz val="10"/>
      <color rgb="FF000000"/>
      <name val="Arial"/>
      <family val="2"/>
    </font>
    <font>
      <sz val="10"/>
      <color rgb="FF000000"/>
      <name val="Arial"/>
      <family val="2"/>
    </font>
  </fonts>
  <fills count="6">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3" tint="0.59999389629810485"/>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30">
    <xf numFmtId="0" fontId="0" fillId="0" borderId="0" xfId="0"/>
    <xf numFmtId="3" fontId="0" fillId="0" borderId="0" xfId="0" applyNumberFormat="1"/>
    <xf numFmtId="0" fontId="2" fillId="0" borderId="0" xfId="1" applyAlignment="1" applyProtection="1"/>
    <xf numFmtId="0" fontId="0" fillId="2" borderId="0" xfId="0" applyFill="1"/>
    <xf numFmtId="0" fontId="2" fillId="2" borderId="0" xfId="1" applyFill="1" applyAlignment="1" applyProtection="1"/>
    <xf numFmtId="0" fontId="5" fillId="0" borderId="0" xfId="0" applyFont="1"/>
    <xf numFmtId="14" fontId="0" fillId="0" borderId="0" xfId="0" applyNumberFormat="1"/>
    <xf numFmtId="0" fontId="6" fillId="0" borderId="0" xfId="0" applyFont="1"/>
    <xf numFmtId="0" fontId="5" fillId="0" borderId="0" xfId="0" applyNumberFormat="1" applyFont="1"/>
    <xf numFmtId="6" fontId="0" fillId="0" borderId="0" xfId="0" applyNumberFormat="1"/>
    <xf numFmtId="14" fontId="0" fillId="3" borderId="0" xfId="0" applyNumberFormat="1" applyFill="1"/>
    <xf numFmtId="6" fontId="0" fillId="4" borderId="0" xfId="0" applyNumberFormat="1" applyFill="1"/>
    <xf numFmtId="3" fontId="0" fillId="4" borderId="0" xfId="0" applyNumberFormat="1" applyFill="1"/>
    <xf numFmtId="0" fontId="2" fillId="4" borderId="0" xfId="1" applyFill="1" applyAlignment="1" applyProtection="1"/>
    <xf numFmtId="0" fontId="0" fillId="5" borderId="0" xfId="0" applyFill="1"/>
    <xf numFmtId="1" fontId="0" fillId="0" borderId="0" xfId="0" applyNumberFormat="1"/>
    <xf numFmtId="6" fontId="0" fillId="2" borderId="0" xfId="0" applyNumberFormat="1" applyFill="1"/>
    <xf numFmtId="0" fontId="0" fillId="4" borderId="0" xfId="0" applyFill="1"/>
    <xf numFmtId="0" fontId="7" fillId="0" borderId="0" xfId="0" applyFont="1" applyBorder="1" applyAlignment="1">
      <alignment horizontal="center" vertical="top" wrapText="1"/>
    </xf>
    <xf numFmtId="0" fontId="0" fillId="0" borderId="0" xfId="0" applyBorder="1"/>
    <xf numFmtId="0" fontId="4" fillId="0" borderId="0" xfId="0" applyFont="1" applyBorder="1"/>
    <xf numFmtId="0" fontId="5" fillId="0" borderId="0" xfId="0" applyFont="1" applyBorder="1"/>
    <xf numFmtId="0" fontId="5" fillId="0" borderId="0" xfId="0" applyNumberFormat="1" applyFont="1" applyBorder="1"/>
    <xf numFmtId="0" fontId="5" fillId="0" borderId="0" xfId="0" applyFont="1" applyFill="1" applyBorder="1"/>
    <xf numFmtId="0" fontId="2" fillId="0" borderId="0" xfId="1" applyBorder="1" applyAlignment="1" applyProtection="1"/>
    <xf numFmtId="0" fontId="4" fillId="0" borderId="0" xfId="0" applyFont="1" applyFill="1" applyBorder="1"/>
    <xf numFmtId="0" fontId="5" fillId="0" borderId="0" xfId="0" applyFont="1" applyBorder="1" applyAlignment="1">
      <alignment horizontal="left"/>
    </xf>
    <xf numFmtId="0" fontId="4" fillId="0" borderId="0" xfId="0" applyFont="1" applyBorder="1" applyAlignment="1">
      <alignment horizontal="left"/>
    </xf>
    <xf numFmtId="0" fontId="7" fillId="0" borderId="0" xfId="0" applyFont="1" applyBorder="1" applyAlignment="1">
      <alignment horizontal="left" vertical="top" wrapText="1"/>
    </xf>
    <xf numFmtId="0" fontId="8" fillId="0" borderId="0" xfId="0" applyFont="1" applyBorder="1" applyAlignment="1">
      <alignment horizontal="left" vertical="top" wrapText="1"/>
    </xf>
  </cellXfs>
  <cellStyles count="2">
    <cellStyle name="Hyperlink" xfId="1" builtinId="8"/>
    <cellStyle name="Normal" xfId="0" builtinId="0"/>
  </cellStyles>
  <dxfs count="1">
    <dxf>
      <fill>
        <patternFill>
          <fgColor indexed="64"/>
          <bgColor rgb="FFFFFF9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1162050</xdr:colOff>
      <xdr:row>8</xdr:row>
      <xdr:rowOff>0</xdr:rowOff>
    </xdr:to>
    <xdr:sp macro="[0]!Main" textlink="">
      <xdr:nvSpPr>
        <xdr:cNvPr id="2" name="Rounded Rectangle 1"/>
        <xdr:cNvSpPr/>
      </xdr:nvSpPr>
      <xdr:spPr>
        <a:xfrm>
          <a:off x="1543050" y="1133475"/>
          <a:ext cx="116205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Read</a:t>
          </a:r>
          <a:r>
            <a:rPr lang="en-US" sz="1100" baseline="0"/>
            <a:t> HTML</a:t>
          </a:r>
          <a:endParaRPr lang="en-US" sz="1100"/>
        </a:p>
      </xdr:txBody>
    </xdr:sp>
    <xdr:clientData/>
  </xdr:twoCellAnchor>
  <xdr:twoCellAnchor>
    <xdr:from>
      <xdr:col>1</xdr:col>
      <xdr:colOff>1724025</xdr:colOff>
      <xdr:row>6</xdr:row>
      <xdr:rowOff>9525</xdr:rowOff>
    </xdr:from>
    <xdr:to>
      <xdr:col>1</xdr:col>
      <xdr:colOff>2800350</xdr:colOff>
      <xdr:row>7</xdr:row>
      <xdr:rowOff>152400</xdr:rowOff>
    </xdr:to>
    <xdr:sp macro="[0]!Startup" textlink="">
      <xdr:nvSpPr>
        <xdr:cNvPr id="3" name="Rounded Rectangle 2"/>
        <xdr:cNvSpPr/>
      </xdr:nvSpPr>
      <xdr:spPr>
        <a:xfrm>
          <a:off x="3267075" y="1143000"/>
          <a:ext cx="1076325"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Commands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eattle.entertainment.com/discount/dining.shtml?category=Thai&amp;Nao=%3cREPLACE_WITH_START_INDEX%3e&amp;N=25+175" TargetMode="External"/><Relationship Id="rId13" Type="http://schemas.openxmlformats.org/officeDocument/2006/relationships/hyperlink" Target="http://seattle.entertainment.com/discount/dining.shtml?category=Fast+Food&amp;Nao=%3cREPLACE_WITH_START_INDEX%3e&amp;N=25+169" TargetMode="External"/><Relationship Id="rId18" Type="http://schemas.openxmlformats.org/officeDocument/2006/relationships/hyperlink" Target="http://seattle.entertainment.com/discount/dining.shtml?category=Coffee+House&amp;Nao=%3cREPLACE_WITH_START_INDEX%3e&amp;N=25+179" TargetMode="External"/><Relationship Id="rId26" Type="http://schemas.openxmlformats.org/officeDocument/2006/relationships/hyperlink" Target="http://seattle.entertainment.com/discount/dining.shtml?category=Italian&amp;Nao=%3cREPLACE_WITH_START_INDEX%3e&amp;N=25+170" TargetMode="External"/><Relationship Id="rId3" Type="http://schemas.openxmlformats.org/officeDocument/2006/relationships/hyperlink" Target="http://seattle.entertainment.com/discount/dining.shtml?category=Informal+%26+Carryout&amp;Nao=%3cREPLACE_WITH_START_INDEX%3e&amp;N=25+80" TargetMode="External"/><Relationship Id="rId21" Type="http://schemas.openxmlformats.org/officeDocument/2006/relationships/hyperlink" Target="http://seattle.entertainment.com/discount/dining.shtml?category=Continental&amp;Nao=%3cREPLACE_WITH_START_INDEX%3e&amp;N=25+173" TargetMode="External"/><Relationship Id="rId34" Type="http://schemas.openxmlformats.org/officeDocument/2006/relationships/drawing" Target="../drawings/drawing1.xml"/><Relationship Id="rId7" Type="http://schemas.openxmlformats.org/officeDocument/2006/relationships/hyperlink" Target="http://seattle.entertainment.com/discount/dining.shtml?category=Pacific+Rim&amp;Nao=%3cREPLACE_WITH_START_INDEX%3e&amp;N=25+187" TargetMode="External"/><Relationship Id="rId12" Type="http://schemas.openxmlformats.org/officeDocument/2006/relationships/hyperlink" Target="http://seattle.entertainment.com/discount/dining.shtml?category=Steakhouse&amp;Nao=%3cREPLACE_WITH_START_INDEX%3e&amp;N=25+186" TargetMode="External"/><Relationship Id="rId17" Type="http://schemas.openxmlformats.org/officeDocument/2006/relationships/hyperlink" Target="http://seattle.entertainment.com/discount/dining.shtml?category=Caribbean&amp;Nao=%3cREPLACE_WITH_START_INDEX%3e&amp;N=25+190" TargetMode="External"/><Relationship Id="rId25" Type="http://schemas.openxmlformats.org/officeDocument/2006/relationships/hyperlink" Target="http://seattle.entertainment.com/discount/dining.shtml?category=Indian&amp;Nao=%3cREPLACE_WITH_START_INDEX%3e&amp;N=25+176" TargetMode="External"/><Relationship Id="rId33" Type="http://schemas.openxmlformats.org/officeDocument/2006/relationships/printerSettings" Target="../printerSettings/printerSettings2.bin"/><Relationship Id="rId2" Type="http://schemas.openxmlformats.org/officeDocument/2006/relationships/hyperlink" Target="http://seattle.entertainment.com/discount/dining.shtml?category=Fine+Dining&amp;Nao=%3cREPLACE_WITH_START_INDEX%3e&amp;N=25+42" TargetMode="External"/><Relationship Id="rId16" Type="http://schemas.openxmlformats.org/officeDocument/2006/relationships/hyperlink" Target="http://seattle.entertainment.com/discount/dining.shtml?category=Cajun%2FCreole&amp;Nao=%3cREPLACE_WITH_START_INDEX%3e&amp;N=25+184" TargetMode="External"/><Relationship Id="rId20" Type="http://schemas.openxmlformats.org/officeDocument/2006/relationships/hyperlink" Target="http://seattle.entertainment.com/discount/dining.shtml?category=European&amp;Nao=%3cREPLACE_WITH_START_INDEX%3e&amp;N=25+180" TargetMode="External"/><Relationship Id="rId29" Type="http://schemas.openxmlformats.org/officeDocument/2006/relationships/hyperlink" Target="http://seattle.entertainment.com/discount/dining.shtml?category=Southwestern&amp;Nao=%3cREPLACE_WITH_START_INDEX%3e&amp;N=25+198" TargetMode="External"/><Relationship Id="rId1" Type="http://schemas.openxmlformats.org/officeDocument/2006/relationships/hyperlink" Target="http://seattle.entertainment.com/discount/dining.shtml?category=Casual+Dining&amp;Nao=%3cREPLACE_WITH_START_INDEX%3e&amp;N=25+39" TargetMode="External"/><Relationship Id="rId6" Type="http://schemas.openxmlformats.org/officeDocument/2006/relationships/hyperlink" Target="http://seattle.entertainment.com/discount/dining.shtml?category=Japanese&amp;Nao=%3cREPLACE_WITH_START_INDEX%3e&amp;N=25+188" TargetMode="External"/><Relationship Id="rId11" Type="http://schemas.openxmlformats.org/officeDocument/2006/relationships/hyperlink" Target="http://seattle.entertainment.com/discount/dining.shtml?category=Barbecue&amp;Nao=%3cREPLACE_WITH_START_INDEX%3e&amp;N=25+192" TargetMode="External"/><Relationship Id="rId24" Type="http://schemas.openxmlformats.org/officeDocument/2006/relationships/hyperlink" Target="http://seattle.entertainment.com/discount/dining.shtml?category=Irish&amp;Nao=%3cREPLACE_WITH_START_INDEX%3e&amp;N=25+181" TargetMode="External"/><Relationship Id="rId32" Type="http://schemas.openxmlformats.org/officeDocument/2006/relationships/hyperlink" Target="http://seattle.entertainment.com/discount/dining.shtml?category=Vegetarian&amp;Nao=%3cREPLACE_WITH_START_INDEX%3e&amp;N=25+194" TargetMode="External"/><Relationship Id="rId5" Type="http://schemas.openxmlformats.org/officeDocument/2006/relationships/hyperlink" Target="http://seattle.entertainment.com/discount/dining.shtml?category=Chinese&amp;Nao=%3cREPLACE_WITH_START_INDEX%3e&amp;N=25+172" TargetMode="External"/><Relationship Id="rId15" Type="http://schemas.openxmlformats.org/officeDocument/2006/relationships/hyperlink" Target="http://seattle.entertainment.com/discount/dining.shtml?category=American&amp;Nao=%3cREPLACE_WITH_START_INDEX%3e&amp;N=25+168" TargetMode="External"/><Relationship Id="rId23" Type="http://schemas.openxmlformats.org/officeDocument/2006/relationships/hyperlink" Target="http://seattle.entertainment.com/discount/dining.shtml?category=Greek&amp;Nao=%3cREPLACE_WITH_START_INDEX%3e&amp;N=25+174" TargetMode="External"/><Relationship Id="rId28" Type="http://schemas.openxmlformats.org/officeDocument/2006/relationships/hyperlink" Target="http://seattle.entertainment.com/discount/dining.shtml?category=Latin+American&amp;Nao=%3cREPLACE_WITH_START_INDEX%3e&amp;N=25+195" TargetMode="External"/><Relationship Id="rId10" Type="http://schemas.openxmlformats.org/officeDocument/2006/relationships/hyperlink" Target="http://seattle.entertainment.com/discount/dining.shtml?category=Seafood&amp;Nao=%3cREPLACE_WITH_START_INDEX%3e&amp;N=25+177" TargetMode="External"/><Relationship Id="rId19" Type="http://schemas.openxmlformats.org/officeDocument/2006/relationships/hyperlink" Target="http://seattle.entertainment.com/discount/dining.shtml?category=Bakery&amp;Nao=%3cREPLACE_WITH_START_INDEX%3e&amp;N=25+183" TargetMode="External"/><Relationship Id="rId31" Type="http://schemas.openxmlformats.org/officeDocument/2006/relationships/hyperlink" Target="http://seattle.entertainment.com/discount/dining.shtml?category=South+American&amp;Nao=%3cREPLACE_WITH_START_INDEX%3e&amp;N=25+197" TargetMode="External"/><Relationship Id="rId4" Type="http://schemas.openxmlformats.org/officeDocument/2006/relationships/hyperlink" Target="http://seattle.entertainment.com/discount/dining.shtml?category=Asian&amp;Nao=%3cREPLACE_WITH_START_INDEX%3e&amp;N=25+182" TargetMode="External"/><Relationship Id="rId9" Type="http://schemas.openxmlformats.org/officeDocument/2006/relationships/hyperlink" Target="http://seattle.entertainment.com/discount/dining.shtml?category=Casual+Dining&amp;Nao=%3cREPLACE_WITH_START_INDEX%3e&amp;N=25+177+39" TargetMode="External"/><Relationship Id="rId14" Type="http://schemas.openxmlformats.org/officeDocument/2006/relationships/hyperlink" Target="http://seattle.entertainment.com/discount/dining.shtml?category=African&amp;Nao=%3cREPLACE_WITH_START_INDEX%3e&amp;N=25+193" TargetMode="External"/><Relationship Id="rId22" Type="http://schemas.openxmlformats.org/officeDocument/2006/relationships/hyperlink" Target="http://seattle.entertainment.com/discount/dining.shtml?category=French&amp;Nao=%3cREPLACE_WITH_START_INDEX%3e&amp;N=25+191" TargetMode="External"/><Relationship Id="rId27" Type="http://schemas.openxmlformats.org/officeDocument/2006/relationships/hyperlink" Target="http://seattle.entertainment.com/discount/dining.shtml?category=Mexican&amp;Nao=%3cREPLACE_WITH_START_INDEX%3e&amp;N=25+171" TargetMode="External"/><Relationship Id="rId30" Type="http://schemas.openxmlformats.org/officeDocument/2006/relationships/hyperlink" Target="http://seattle.entertainment.com/discount/dining.shtml?category=Middle+Eastern&amp;Nao=%3cREPLACE_WITH_START_INDEX%3e&amp;N=25+178"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818"/>
  <sheetViews>
    <sheetView tabSelected="1" topLeftCell="A30" workbookViewId="0">
      <selection activeCell="B45" sqref="B45"/>
    </sheetView>
  </sheetViews>
  <sheetFormatPr defaultRowHeight="12.75" x14ac:dyDescent="0.2"/>
  <sheetData>
    <row r="1" spans="1:16" x14ac:dyDescent="0.2">
      <c r="A1" t="s">
        <v>1567</v>
      </c>
      <c r="B1" t="s">
        <v>4</v>
      </c>
      <c r="C1" t="s">
        <v>119</v>
      </c>
      <c r="D1" t="s">
        <v>2305</v>
      </c>
      <c r="E1" t="s">
        <v>120</v>
      </c>
      <c r="F1" t="s">
        <v>1568</v>
      </c>
      <c r="G1" t="s">
        <v>1967</v>
      </c>
      <c r="H1" t="s">
        <v>1569</v>
      </c>
      <c r="I1" t="s">
        <v>117</v>
      </c>
      <c r="J1" t="s">
        <v>118</v>
      </c>
      <c r="K1" t="s">
        <v>3935</v>
      </c>
      <c r="L1" t="s">
        <v>3942</v>
      </c>
      <c r="M1" t="s">
        <v>3943</v>
      </c>
      <c r="N1" t="s">
        <v>3944</v>
      </c>
      <c r="O1" t="s">
        <v>3945</v>
      </c>
      <c r="P1" t="s">
        <v>6014</v>
      </c>
    </row>
    <row r="2" spans="1:16" x14ac:dyDescent="0.2">
      <c r="A2" t="s">
        <v>1593</v>
      </c>
      <c r="B2" t="s">
        <v>3463</v>
      </c>
      <c r="C2" t="s">
        <v>66</v>
      </c>
      <c r="D2" t="s">
        <v>2307</v>
      </c>
      <c r="E2">
        <v>98101</v>
      </c>
      <c r="F2" t="s">
        <v>1577</v>
      </c>
      <c r="G2" t="s">
        <v>1983</v>
      </c>
      <c r="H2" t="s">
        <v>4043</v>
      </c>
      <c r="I2">
        <v>47.605884000000003</v>
      </c>
      <c r="J2">
        <v>-122.340521</v>
      </c>
      <c r="K2" t="s">
        <v>3936</v>
      </c>
      <c r="L2" t="s">
        <v>3946</v>
      </c>
      <c r="M2" t="s">
        <v>4888</v>
      </c>
      <c r="N2" t="s">
        <v>4889</v>
      </c>
      <c r="O2" t="s">
        <v>3948</v>
      </c>
      <c r="P2" t="s">
        <v>3463</v>
      </c>
    </row>
    <row r="3" spans="1:16" x14ac:dyDescent="0.2">
      <c r="A3" t="s">
        <v>1595</v>
      </c>
      <c r="B3" t="s">
        <v>3464</v>
      </c>
      <c r="C3" t="s">
        <v>66</v>
      </c>
      <c r="D3" t="s">
        <v>2307</v>
      </c>
      <c r="E3">
        <v>98105</v>
      </c>
      <c r="F3" t="s">
        <v>1573</v>
      </c>
      <c r="G3" t="s">
        <v>1990</v>
      </c>
      <c r="H3" t="s">
        <v>5344</v>
      </c>
      <c r="I3">
        <v>47.653773000000001</v>
      </c>
      <c r="J3">
        <v>-122.324462</v>
      </c>
      <c r="K3" t="s">
        <v>3936</v>
      </c>
      <c r="L3" t="s">
        <v>3946</v>
      </c>
      <c r="M3" t="s">
        <v>4888</v>
      </c>
      <c r="N3" t="s">
        <v>4889</v>
      </c>
      <c r="O3" t="s">
        <v>3948</v>
      </c>
      <c r="P3" t="s">
        <v>3464</v>
      </c>
    </row>
    <row r="4" spans="1:16" x14ac:dyDescent="0.2">
      <c r="A4" t="s">
        <v>1595</v>
      </c>
      <c r="B4" t="s">
        <v>3567</v>
      </c>
      <c r="C4" t="s">
        <v>66</v>
      </c>
      <c r="D4" t="s">
        <v>2307</v>
      </c>
      <c r="E4">
        <v>98107</v>
      </c>
      <c r="F4" t="s">
        <v>1573</v>
      </c>
      <c r="G4" t="s">
        <v>1990</v>
      </c>
      <c r="H4" t="s">
        <v>5345</v>
      </c>
      <c r="I4">
        <v>47.67248</v>
      </c>
      <c r="J4">
        <v>-122.376165</v>
      </c>
      <c r="K4" t="s">
        <v>3936</v>
      </c>
      <c r="L4" t="s">
        <v>3946</v>
      </c>
      <c r="M4" t="s">
        <v>4888</v>
      </c>
      <c r="N4" t="s">
        <v>4889</v>
      </c>
      <c r="O4" t="s">
        <v>3948</v>
      </c>
      <c r="P4" t="s">
        <v>3567</v>
      </c>
    </row>
    <row r="5" spans="1:16" x14ac:dyDescent="0.2">
      <c r="A5" t="s">
        <v>1597</v>
      </c>
      <c r="B5" t="s">
        <v>3588</v>
      </c>
      <c r="C5" t="s">
        <v>66</v>
      </c>
      <c r="D5" t="s">
        <v>2307</v>
      </c>
      <c r="E5">
        <v>98125</v>
      </c>
      <c r="F5" t="s">
        <v>1573</v>
      </c>
      <c r="G5" t="s">
        <v>1990</v>
      </c>
      <c r="H5" t="s">
        <v>5346</v>
      </c>
      <c r="I5">
        <v>47.708742999999998</v>
      </c>
      <c r="J5">
        <v>-122.3244</v>
      </c>
      <c r="K5" t="s">
        <v>3936</v>
      </c>
      <c r="L5" t="s">
        <v>3946</v>
      </c>
      <c r="M5" t="s">
        <v>4888</v>
      </c>
      <c r="N5" t="s">
        <v>4889</v>
      </c>
      <c r="O5" t="s">
        <v>3948</v>
      </c>
      <c r="P5" t="s">
        <v>3588</v>
      </c>
    </row>
    <row r="6" spans="1:16" x14ac:dyDescent="0.2">
      <c r="A6" t="s">
        <v>1597</v>
      </c>
      <c r="B6" t="s">
        <v>3603</v>
      </c>
      <c r="C6" t="s">
        <v>66</v>
      </c>
      <c r="D6" t="s">
        <v>2307</v>
      </c>
      <c r="E6">
        <v>98133</v>
      </c>
      <c r="F6" t="s">
        <v>1573</v>
      </c>
      <c r="G6" t="s">
        <v>1990</v>
      </c>
      <c r="H6" t="s">
        <v>5347</v>
      </c>
      <c r="I6">
        <v>47.726464</v>
      </c>
      <c r="J6">
        <v>-122.344843</v>
      </c>
      <c r="K6" t="s">
        <v>3936</v>
      </c>
      <c r="L6" t="s">
        <v>3946</v>
      </c>
      <c r="M6" t="s">
        <v>4888</v>
      </c>
      <c r="N6" t="s">
        <v>4889</v>
      </c>
      <c r="O6" t="s">
        <v>3948</v>
      </c>
      <c r="P6" t="s">
        <v>3603</v>
      </c>
    </row>
    <row r="7" spans="1:16" x14ac:dyDescent="0.2">
      <c r="A7" t="s">
        <v>1597</v>
      </c>
      <c r="B7" t="s">
        <v>3635</v>
      </c>
      <c r="C7" t="s">
        <v>2502</v>
      </c>
      <c r="D7" t="s">
        <v>2307</v>
      </c>
      <c r="E7">
        <v>98007</v>
      </c>
      <c r="F7" t="s">
        <v>1573</v>
      </c>
      <c r="G7" t="s">
        <v>1990</v>
      </c>
      <c r="H7" t="s">
        <v>5795</v>
      </c>
      <c r="I7">
        <v>47.623421</v>
      </c>
      <c r="J7">
        <v>-122.132492</v>
      </c>
      <c r="K7" t="s">
        <v>3936</v>
      </c>
      <c r="L7" t="s">
        <v>3946</v>
      </c>
      <c r="M7" t="s">
        <v>4888</v>
      </c>
      <c r="N7" t="s">
        <v>4889</v>
      </c>
      <c r="O7" t="s">
        <v>3948</v>
      </c>
      <c r="P7" t="s">
        <v>5571</v>
      </c>
    </row>
    <row r="8" spans="1:16" x14ac:dyDescent="0.2">
      <c r="A8" t="s">
        <v>1597</v>
      </c>
      <c r="B8" t="s">
        <v>2650</v>
      </c>
      <c r="C8" t="s">
        <v>2597</v>
      </c>
      <c r="D8" t="s">
        <v>2307</v>
      </c>
      <c r="E8">
        <v>98055</v>
      </c>
      <c r="F8" t="s">
        <v>1573</v>
      </c>
      <c r="G8" t="s">
        <v>1990</v>
      </c>
      <c r="H8" t="s">
        <v>4086</v>
      </c>
      <c r="I8">
        <v>47.503585000000001</v>
      </c>
      <c r="J8">
        <v>-122.199714</v>
      </c>
      <c r="K8" t="s">
        <v>3936</v>
      </c>
      <c r="L8" t="s">
        <v>3946</v>
      </c>
      <c r="M8" t="s">
        <v>4888</v>
      </c>
      <c r="N8" t="s">
        <v>4889</v>
      </c>
      <c r="O8" t="s">
        <v>3948</v>
      </c>
      <c r="P8" t="s">
        <v>2650</v>
      </c>
    </row>
    <row r="9" spans="1:16" x14ac:dyDescent="0.2">
      <c r="A9" t="s">
        <v>1597</v>
      </c>
      <c r="B9" t="s">
        <v>3650</v>
      </c>
      <c r="C9" t="s">
        <v>2581</v>
      </c>
      <c r="D9" t="s">
        <v>2307</v>
      </c>
      <c r="E9">
        <v>98166</v>
      </c>
      <c r="F9" t="s">
        <v>1573</v>
      </c>
      <c r="G9" t="s">
        <v>1990</v>
      </c>
      <c r="H9" t="s">
        <v>5025</v>
      </c>
      <c r="I9">
        <v>47.470291000000003</v>
      </c>
      <c r="J9">
        <v>-122.334281</v>
      </c>
      <c r="K9" t="s">
        <v>3936</v>
      </c>
      <c r="L9" t="s">
        <v>3946</v>
      </c>
      <c r="M9" t="s">
        <v>4888</v>
      </c>
      <c r="N9" t="s">
        <v>4889</v>
      </c>
      <c r="O9" t="s">
        <v>3948</v>
      </c>
      <c r="P9" t="s">
        <v>3650</v>
      </c>
    </row>
    <row r="10" spans="1:16" x14ac:dyDescent="0.2">
      <c r="A10" t="s">
        <v>1704</v>
      </c>
      <c r="B10" t="s">
        <v>3651</v>
      </c>
      <c r="C10" t="s">
        <v>2581</v>
      </c>
      <c r="D10" t="s">
        <v>2307</v>
      </c>
      <c r="E10">
        <v>98166</v>
      </c>
      <c r="F10" t="s">
        <v>1600</v>
      </c>
      <c r="G10" t="s">
        <v>1998</v>
      </c>
      <c r="H10" t="s">
        <v>5349</v>
      </c>
      <c r="I10">
        <v>47.470342000000002</v>
      </c>
      <c r="J10">
        <v>-122.345888</v>
      </c>
      <c r="K10" t="s">
        <v>3936</v>
      </c>
      <c r="L10" t="s">
        <v>3946</v>
      </c>
      <c r="M10" t="s">
        <v>4888</v>
      </c>
      <c r="N10" t="s">
        <v>4889</v>
      </c>
      <c r="O10" t="s">
        <v>3948</v>
      </c>
      <c r="P10" t="s">
        <v>3651</v>
      </c>
    </row>
    <row r="11" spans="1:16" x14ac:dyDescent="0.2">
      <c r="A11" t="s">
        <v>1597</v>
      </c>
      <c r="B11" t="s">
        <v>3653</v>
      </c>
      <c r="C11" t="s">
        <v>2627</v>
      </c>
      <c r="D11" t="s">
        <v>2307</v>
      </c>
      <c r="E11">
        <v>98020</v>
      </c>
      <c r="F11" t="s">
        <v>1573</v>
      </c>
      <c r="G11" t="s">
        <v>1990</v>
      </c>
      <c r="H11" t="s">
        <v>5026</v>
      </c>
      <c r="I11">
        <v>47.790391</v>
      </c>
      <c r="J11">
        <v>-122.365657</v>
      </c>
      <c r="K11" t="s">
        <v>3936</v>
      </c>
      <c r="L11" t="s">
        <v>3946</v>
      </c>
      <c r="M11" t="s">
        <v>4888</v>
      </c>
      <c r="N11" t="s">
        <v>4889</v>
      </c>
      <c r="O11" t="s">
        <v>3948</v>
      </c>
      <c r="P11" t="s">
        <v>3653</v>
      </c>
    </row>
    <row r="12" spans="1:16" x14ac:dyDescent="0.2">
      <c r="A12" t="s">
        <v>1595</v>
      </c>
      <c r="B12" t="s">
        <v>3666</v>
      </c>
      <c r="C12" t="s">
        <v>2636</v>
      </c>
      <c r="D12" t="s">
        <v>2307</v>
      </c>
      <c r="E12">
        <v>98188</v>
      </c>
      <c r="F12" t="s">
        <v>1573</v>
      </c>
      <c r="G12" t="s">
        <v>1990</v>
      </c>
      <c r="H12" t="s">
        <v>5027</v>
      </c>
      <c r="I12">
        <v>47.458240000000004</v>
      </c>
      <c r="J12">
        <v>-122.255289</v>
      </c>
      <c r="K12" t="s">
        <v>3936</v>
      </c>
      <c r="L12" t="s">
        <v>3946</v>
      </c>
      <c r="M12" t="s">
        <v>4888</v>
      </c>
      <c r="N12" t="s">
        <v>4889</v>
      </c>
      <c r="O12" t="s">
        <v>3948</v>
      </c>
      <c r="P12" t="s">
        <v>3666</v>
      </c>
    </row>
    <row r="13" spans="1:16" x14ac:dyDescent="0.2">
      <c r="A13" t="s">
        <v>1704</v>
      </c>
      <c r="B13" t="s">
        <v>3716</v>
      </c>
      <c r="C13" t="s">
        <v>2597</v>
      </c>
      <c r="D13" t="s">
        <v>2307</v>
      </c>
      <c r="E13">
        <v>98055</v>
      </c>
      <c r="F13" t="s">
        <v>1600</v>
      </c>
      <c r="G13" t="s">
        <v>2004</v>
      </c>
      <c r="H13" t="s">
        <v>5028</v>
      </c>
      <c r="I13">
        <v>47.442836</v>
      </c>
      <c r="J13">
        <v>-122.19674999999999</v>
      </c>
      <c r="K13" t="s">
        <v>3936</v>
      </c>
      <c r="L13" t="s">
        <v>3946</v>
      </c>
      <c r="M13" t="s">
        <v>4888</v>
      </c>
      <c r="N13" t="s">
        <v>4889</v>
      </c>
      <c r="O13" t="s">
        <v>3948</v>
      </c>
      <c r="P13" t="s">
        <v>3716</v>
      </c>
    </row>
    <row r="14" spans="1:16" x14ac:dyDescent="0.2">
      <c r="A14" t="s">
        <v>1704</v>
      </c>
      <c r="B14" t="s">
        <v>3737</v>
      </c>
      <c r="C14" t="s">
        <v>2848</v>
      </c>
      <c r="D14" t="s">
        <v>2307</v>
      </c>
      <c r="E14">
        <v>98383</v>
      </c>
      <c r="F14" t="s">
        <v>1600</v>
      </c>
      <c r="G14" t="s">
        <v>1998</v>
      </c>
      <c r="H14" t="s">
        <v>4890</v>
      </c>
      <c r="I14">
        <v>47.660632</v>
      </c>
      <c r="J14">
        <v>-122.685571</v>
      </c>
      <c r="K14" t="s">
        <v>3936</v>
      </c>
      <c r="L14" t="s">
        <v>3946</v>
      </c>
      <c r="M14" t="s">
        <v>4888</v>
      </c>
      <c r="N14" t="s">
        <v>4889</v>
      </c>
      <c r="O14" t="s">
        <v>3948</v>
      </c>
      <c r="P14" t="s">
        <v>3737</v>
      </c>
    </row>
    <row r="15" spans="1:16" x14ac:dyDescent="0.2">
      <c r="A15" t="s">
        <v>1595</v>
      </c>
      <c r="B15" t="s">
        <v>3741</v>
      </c>
      <c r="C15" t="s">
        <v>2717</v>
      </c>
      <c r="D15" t="s">
        <v>2307</v>
      </c>
      <c r="E15">
        <v>98036</v>
      </c>
      <c r="F15" t="s">
        <v>1573</v>
      </c>
      <c r="G15" t="s">
        <v>1990</v>
      </c>
      <c r="H15" t="s">
        <v>5313</v>
      </c>
      <c r="I15">
        <v>47.863137999999999</v>
      </c>
      <c r="J15">
        <v>-122.28317699999999</v>
      </c>
      <c r="K15" t="s">
        <v>3936</v>
      </c>
      <c r="L15" t="s">
        <v>3946</v>
      </c>
      <c r="M15" t="s">
        <v>4888</v>
      </c>
      <c r="N15" t="s">
        <v>4889</v>
      </c>
      <c r="O15" t="s">
        <v>3948</v>
      </c>
      <c r="P15" t="s">
        <v>3741</v>
      </c>
    </row>
    <row r="16" spans="1:16" x14ac:dyDescent="0.2">
      <c r="A16" t="s">
        <v>1704</v>
      </c>
      <c r="B16" t="s">
        <v>3759</v>
      </c>
      <c r="C16" t="s">
        <v>2900</v>
      </c>
      <c r="D16" t="s">
        <v>2307</v>
      </c>
      <c r="E16">
        <v>98204</v>
      </c>
      <c r="F16" t="s">
        <v>1600</v>
      </c>
      <c r="G16" t="s">
        <v>1998</v>
      </c>
      <c r="H16" t="s">
        <v>5314</v>
      </c>
      <c r="I16">
        <v>47.881529</v>
      </c>
      <c r="J16">
        <v>-122.238608</v>
      </c>
      <c r="K16" t="s">
        <v>3936</v>
      </c>
      <c r="L16" t="s">
        <v>3946</v>
      </c>
      <c r="M16" t="s">
        <v>4888</v>
      </c>
      <c r="N16" t="s">
        <v>4889</v>
      </c>
      <c r="O16" t="s">
        <v>3948</v>
      </c>
      <c r="P16" t="s">
        <v>5678</v>
      </c>
    </row>
    <row r="17" spans="1:16" x14ac:dyDescent="0.2">
      <c r="A17" t="s">
        <v>1597</v>
      </c>
      <c r="B17" t="s">
        <v>3768</v>
      </c>
      <c r="C17" t="s">
        <v>2780</v>
      </c>
      <c r="D17" t="s">
        <v>2307</v>
      </c>
      <c r="E17">
        <v>98030</v>
      </c>
      <c r="F17" t="s">
        <v>1573</v>
      </c>
      <c r="G17" t="s">
        <v>1990</v>
      </c>
      <c r="H17" t="s">
        <v>4891</v>
      </c>
      <c r="I17">
        <v>47.374084000000003</v>
      </c>
      <c r="J17">
        <v>-122.202569</v>
      </c>
      <c r="K17" t="s">
        <v>3936</v>
      </c>
      <c r="L17" t="s">
        <v>3946</v>
      </c>
      <c r="M17" t="s">
        <v>4888</v>
      </c>
      <c r="N17" t="s">
        <v>4889</v>
      </c>
      <c r="O17" t="s">
        <v>3948</v>
      </c>
      <c r="P17" t="s">
        <v>3768</v>
      </c>
    </row>
    <row r="18" spans="1:16" x14ac:dyDescent="0.2">
      <c r="A18" t="s">
        <v>1597</v>
      </c>
      <c r="B18" t="s">
        <v>3781</v>
      </c>
      <c r="C18" t="s">
        <v>2900</v>
      </c>
      <c r="D18" t="s">
        <v>2307</v>
      </c>
      <c r="E18">
        <v>98208</v>
      </c>
      <c r="F18" t="s">
        <v>1573</v>
      </c>
      <c r="G18" t="s">
        <v>1990</v>
      </c>
      <c r="H18" t="s">
        <v>5021</v>
      </c>
      <c r="I18">
        <v>47.912120000000002</v>
      </c>
      <c r="J18">
        <v>-122.21383</v>
      </c>
      <c r="K18" t="s">
        <v>3936</v>
      </c>
      <c r="L18" t="s">
        <v>3946</v>
      </c>
      <c r="M18" t="s">
        <v>4888</v>
      </c>
      <c r="N18" t="s">
        <v>4889</v>
      </c>
      <c r="O18" t="s">
        <v>3948</v>
      </c>
      <c r="P18" t="s">
        <v>5669</v>
      </c>
    </row>
    <row r="19" spans="1:16" x14ac:dyDescent="0.2">
      <c r="A19" t="s">
        <v>1597</v>
      </c>
      <c r="B19" t="s">
        <v>3792</v>
      </c>
      <c r="C19" t="s">
        <v>2930</v>
      </c>
      <c r="D19" t="s">
        <v>2307</v>
      </c>
      <c r="E19">
        <v>98003</v>
      </c>
      <c r="F19" t="s">
        <v>1573</v>
      </c>
      <c r="G19" t="s">
        <v>1990</v>
      </c>
      <c r="H19" t="s">
        <v>5315</v>
      </c>
      <c r="I19">
        <v>47.315252999999998</v>
      </c>
      <c r="J19">
        <v>-122.30822000000001</v>
      </c>
      <c r="K19" t="s">
        <v>3936</v>
      </c>
      <c r="L19" t="s">
        <v>3946</v>
      </c>
      <c r="M19" t="s">
        <v>4888</v>
      </c>
      <c r="N19" t="s">
        <v>4889</v>
      </c>
      <c r="O19" t="s">
        <v>3948</v>
      </c>
      <c r="P19" t="s">
        <v>3792</v>
      </c>
    </row>
    <row r="20" spans="1:16" x14ac:dyDescent="0.2">
      <c r="A20" t="s">
        <v>1597</v>
      </c>
      <c r="B20" t="s">
        <v>3798</v>
      </c>
      <c r="C20" t="s">
        <v>2914</v>
      </c>
      <c r="D20" t="s">
        <v>2307</v>
      </c>
      <c r="E20">
        <v>98275</v>
      </c>
      <c r="F20" t="s">
        <v>1573</v>
      </c>
      <c r="G20" t="s">
        <v>1990</v>
      </c>
      <c r="H20" t="s">
        <v>5316</v>
      </c>
      <c r="I20">
        <v>47.948946999999997</v>
      </c>
      <c r="J20">
        <v>-122.303956</v>
      </c>
      <c r="K20" t="s">
        <v>3936</v>
      </c>
      <c r="L20" t="s">
        <v>3946</v>
      </c>
      <c r="M20" t="s">
        <v>4888</v>
      </c>
      <c r="N20" t="s">
        <v>4889</v>
      </c>
      <c r="O20" t="s">
        <v>3948</v>
      </c>
      <c r="P20" t="s">
        <v>3798</v>
      </c>
    </row>
    <row r="21" spans="1:16" x14ac:dyDescent="0.2">
      <c r="A21" t="s">
        <v>1704</v>
      </c>
      <c r="B21" t="s">
        <v>2992</v>
      </c>
      <c r="C21" t="s">
        <v>2961</v>
      </c>
      <c r="D21" t="s">
        <v>2307</v>
      </c>
      <c r="E21">
        <v>98002</v>
      </c>
      <c r="F21" t="s">
        <v>1600</v>
      </c>
      <c r="G21" t="s">
        <v>1998</v>
      </c>
      <c r="H21" t="s">
        <v>5022</v>
      </c>
      <c r="I21">
        <v>47.318694000000001</v>
      </c>
      <c r="J21">
        <v>-122.221304</v>
      </c>
      <c r="K21" t="s">
        <v>3936</v>
      </c>
      <c r="L21" t="s">
        <v>3946</v>
      </c>
      <c r="M21" t="s">
        <v>4888</v>
      </c>
      <c r="N21" t="s">
        <v>4889</v>
      </c>
      <c r="O21" t="s">
        <v>3948</v>
      </c>
      <c r="P21" t="s">
        <v>2992</v>
      </c>
    </row>
    <row r="22" spans="1:16" x14ac:dyDescent="0.2">
      <c r="A22" t="s">
        <v>1597</v>
      </c>
      <c r="B22" t="s">
        <v>3819</v>
      </c>
      <c r="C22" t="s">
        <v>2900</v>
      </c>
      <c r="D22" t="s">
        <v>2307</v>
      </c>
      <c r="E22">
        <v>98201</v>
      </c>
      <c r="F22" t="s">
        <v>1573</v>
      </c>
      <c r="G22" t="s">
        <v>1990</v>
      </c>
      <c r="H22" t="s">
        <v>4164</v>
      </c>
      <c r="I22">
        <v>47.963171000000003</v>
      </c>
      <c r="J22">
        <v>-122.208977</v>
      </c>
      <c r="K22" t="s">
        <v>3936</v>
      </c>
      <c r="L22" t="s">
        <v>3946</v>
      </c>
      <c r="M22" t="s">
        <v>4888</v>
      </c>
      <c r="N22" t="s">
        <v>4889</v>
      </c>
      <c r="O22" t="s">
        <v>3948</v>
      </c>
      <c r="P22" t="s">
        <v>5679</v>
      </c>
    </row>
    <row r="23" spans="1:16" x14ac:dyDescent="0.2">
      <c r="A23" t="s">
        <v>1597</v>
      </c>
      <c r="B23" t="s">
        <v>3842</v>
      </c>
      <c r="C23" t="s">
        <v>3067</v>
      </c>
      <c r="D23" t="s">
        <v>2307</v>
      </c>
      <c r="E23">
        <v>98465</v>
      </c>
      <c r="F23" t="s">
        <v>1573</v>
      </c>
      <c r="G23" t="s">
        <v>1990</v>
      </c>
      <c r="H23" t="s">
        <v>5317</v>
      </c>
      <c r="I23">
        <v>47.243774000000002</v>
      </c>
      <c r="J23">
        <v>-122.52647399999999</v>
      </c>
      <c r="K23" t="s">
        <v>3936</v>
      </c>
      <c r="L23" t="s">
        <v>3946</v>
      </c>
      <c r="M23" t="s">
        <v>4888</v>
      </c>
      <c r="N23" t="s">
        <v>4889</v>
      </c>
      <c r="O23" t="s">
        <v>3948</v>
      </c>
      <c r="P23" t="s">
        <v>3842</v>
      </c>
    </row>
    <row r="24" spans="1:16" x14ac:dyDescent="0.2">
      <c r="A24" t="s">
        <v>1597</v>
      </c>
      <c r="B24" t="s">
        <v>3845</v>
      </c>
      <c r="C24" t="s">
        <v>3067</v>
      </c>
      <c r="D24" t="s">
        <v>2307</v>
      </c>
      <c r="E24">
        <v>98409</v>
      </c>
      <c r="F24" t="s">
        <v>1573</v>
      </c>
      <c r="G24" t="s">
        <v>1990</v>
      </c>
      <c r="H24" t="s">
        <v>5023</v>
      </c>
      <c r="I24">
        <v>47.217892999999997</v>
      </c>
      <c r="J24">
        <v>-122.46785300000001</v>
      </c>
      <c r="K24" t="s">
        <v>3936</v>
      </c>
      <c r="L24" t="s">
        <v>3946</v>
      </c>
      <c r="M24" t="s">
        <v>4888</v>
      </c>
      <c r="N24" t="s">
        <v>4889</v>
      </c>
      <c r="O24" t="s">
        <v>3948</v>
      </c>
      <c r="P24" t="s">
        <v>3845</v>
      </c>
    </row>
    <row r="25" spans="1:16" x14ac:dyDescent="0.2">
      <c r="A25" t="s">
        <v>1597</v>
      </c>
      <c r="B25" t="s">
        <v>3875</v>
      </c>
      <c r="C25" t="s">
        <v>3067</v>
      </c>
      <c r="D25" t="s">
        <v>2307</v>
      </c>
      <c r="E25">
        <v>98499</v>
      </c>
      <c r="F25" t="s">
        <v>1573</v>
      </c>
      <c r="G25" t="s">
        <v>1990</v>
      </c>
      <c r="H25" t="s">
        <v>5318</v>
      </c>
      <c r="I25">
        <v>47.165149</v>
      </c>
      <c r="J25">
        <v>-122.483808</v>
      </c>
      <c r="K25" t="s">
        <v>3936</v>
      </c>
      <c r="L25" t="s">
        <v>3946</v>
      </c>
      <c r="M25" t="s">
        <v>4888</v>
      </c>
      <c r="N25" t="s">
        <v>4889</v>
      </c>
      <c r="O25" t="s">
        <v>3948</v>
      </c>
      <c r="P25" t="s">
        <v>3875</v>
      </c>
    </row>
    <row r="26" spans="1:16" x14ac:dyDescent="0.2">
      <c r="A26" t="s">
        <v>1704</v>
      </c>
      <c r="B26" t="s">
        <v>3876</v>
      </c>
      <c r="C26" t="s">
        <v>3186</v>
      </c>
      <c r="D26" t="s">
        <v>2307</v>
      </c>
      <c r="E26">
        <v>98373</v>
      </c>
      <c r="F26" t="s">
        <v>1600</v>
      </c>
      <c r="G26" t="s">
        <v>2004</v>
      </c>
      <c r="H26" t="s">
        <v>5319</v>
      </c>
      <c r="I26">
        <v>47.153928999999998</v>
      </c>
      <c r="J26">
        <v>-122.293094</v>
      </c>
      <c r="K26" t="s">
        <v>3936</v>
      </c>
      <c r="L26" t="s">
        <v>3946</v>
      </c>
      <c r="M26" t="s">
        <v>4888</v>
      </c>
      <c r="N26" t="s">
        <v>4889</v>
      </c>
      <c r="O26" t="s">
        <v>3948</v>
      </c>
      <c r="P26" t="s">
        <v>3876</v>
      </c>
    </row>
    <row r="27" spans="1:16" x14ac:dyDescent="0.2">
      <c r="A27" t="s">
        <v>1704</v>
      </c>
      <c r="B27" t="s">
        <v>3887</v>
      </c>
      <c r="C27" t="s">
        <v>3067</v>
      </c>
      <c r="D27" t="s">
        <v>2307</v>
      </c>
      <c r="E27">
        <v>98444</v>
      </c>
      <c r="F27" t="s">
        <v>1600</v>
      </c>
      <c r="G27" t="s">
        <v>2004</v>
      </c>
      <c r="H27" t="s">
        <v>4203</v>
      </c>
      <c r="I27">
        <v>47.132192000000003</v>
      </c>
      <c r="J27">
        <v>-122.434488</v>
      </c>
      <c r="K27" t="s">
        <v>3936</v>
      </c>
      <c r="L27" t="s">
        <v>3946</v>
      </c>
      <c r="M27" t="s">
        <v>4888</v>
      </c>
      <c r="N27" t="s">
        <v>4889</v>
      </c>
      <c r="O27" t="s">
        <v>3948</v>
      </c>
      <c r="P27" t="s">
        <v>3887</v>
      </c>
    </row>
    <row r="28" spans="1:16" x14ac:dyDescent="0.2">
      <c r="A28" t="s">
        <v>1882</v>
      </c>
      <c r="B28" t="s">
        <v>3914</v>
      </c>
      <c r="C28" t="s">
        <v>3376</v>
      </c>
      <c r="D28" t="s">
        <v>2307</v>
      </c>
      <c r="E28">
        <v>98516</v>
      </c>
      <c r="F28" t="s">
        <v>1583</v>
      </c>
      <c r="G28" t="s">
        <v>1980</v>
      </c>
      <c r="H28" t="s">
        <v>4224</v>
      </c>
      <c r="I28">
        <v>47.059474000000002</v>
      </c>
      <c r="J28">
        <v>-122.754003</v>
      </c>
      <c r="K28" t="s">
        <v>3936</v>
      </c>
      <c r="L28" t="s">
        <v>3946</v>
      </c>
      <c r="M28" t="s">
        <v>4888</v>
      </c>
      <c r="N28" t="s">
        <v>4889</v>
      </c>
      <c r="O28" t="s">
        <v>3948</v>
      </c>
      <c r="P28" t="s">
        <v>3914</v>
      </c>
    </row>
    <row r="29" spans="1:16" x14ac:dyDescent="0.2">
      <c r="A29" t="s">
        <v>1704</v>
      </c>
      <c r="B29" t="s">
        <v>3920</v>
      </c>
      <c r="C29" t="s">
        <v>3376</v>
      </c>
      <c r="D29" t="s">
        <v>2307</v>
      </c>
      <c r="E29">
        <v>98503</v>
      </c>
      <c r="F29" t="s">
        <v>1600</v>
      </c>
      <c r="G29" t="s">
        <v>1998</v>
      </c>
      <c r="H29" t="s">
        <v>5320</v>
      </c>
      <c r="I29">
        <v>47.040232000000003</v>
      </c>
      <c r="J29">
        <v>-122.837659</v>
      </c>
      <c r="K29" t="s">
        <v>3936</v>
      </c>
      <c r="L29" t="s">
        <v>3946</v>
      </c>
      <c r="M29" t="s">
        <v>4888</v>
      </c>
      <c r="N29" t="s">
        <v>4889</v>
      </c>
      <c r="O29" t="s">
        <v>3948</v>
      </c>
      <c r="P29" t="s">
        <v>3920</v>
      </c>
    </row>
    <row r="30" spans="1:16" x14ac:dyDescent="0.2">
      <c r="A30" t="s">
        <v>1896</v>
      </c>
      <c r="B30" t="s">
        <v>3450</v>
      </c>
      <c r="C30" t="s">
        <v>66</v>
      </c>
      <c r="D30" t="s">
        <v>2307</v>
      </c>
      <c r="E30">
        <v>98109</v>
      </c>
      <c r="F30" t="s">
        <v>1575</v>
      </c>
      <c r="G30" t="s">
        <v>1971</v>
      </c>
      <c r="H30" t="s">
        <v>4936</v>
      </c>
      <c r="I30">
        <v>47.637262999999997</v>
      </c>
      <c r="J30">
        <v>-122.340329</v>
      </c>
      <c r="K30" t="s">
        <v>3936</v>
      </c>
      <c r="L30" t="s">
        <v>3946</v>
      </c>
      <c r="M30" t="s">
        <v>3949</v>
      </c>
      <c r="P30" t="s">
        <v>3450</v>
      </c>
    </row>
    <row r="31" spans="1:16" x14ac:dyDescent="0.2">
      <c r="A31" t="s">
        <v>1897</v>
      </c>
      <c r="B31" t="s">
        <v>3451</v>
      </c>
      <c r="C31" t="s">
        <v>66</v>
      </c>
      <c r="D31" t="s">
        <v>2307</v>
      </c>
      <c r="E31">
        <v>98109</v>
      </c>
      <c r="F31" t="s">
        <v>1575</v>
      </c>
      <c r="G31" t="s">
        <v>1970</v>
      </c>
      <c r="H31" t="s">
        <v>5321</v>
      </c>
      <c r="I31">
        <v>47.625577999999997</v>
      </c>
      <c r="J31">
        <v>-122.34971899999999</v>
      </c>
      <c r="K31" t="s">
        <v>3936</v>
      </c>
      <c r="L31" t="s">
        <v>3946</v>
      </c>
      <c r="M31" t="s">
        <v>3949</v>
      </c>
      <c r="P31" t="s">
        <v>3451</v>
      </c>
    </row>
    <row r="32" spans="1:16" x14ac:dyDescent="0.2">
      <c r="A32" t="s">
        <v>1579</v>
      </c>
      <c r="B32" t="s">
        <v>3533</v>
      </c>
      <c r="C32" t="s">
        <v>66</v>
      </c>
      <c r="D32" t="s">
        <v>2307</v>
      </c>
      <c r="E32">
        <v>98102</v>
      </c>
      <c r="F32" t="s">
        <v>1575</v>
      </c>
      <c r="G32" t="s">
        <v>1971</v>
      </c>
      <c r="H32" t="s">
        <v>5029</v>
      </c>
      <c r="I32">
        <v>47.620100999999998</v>
      </c>
      <c r="J32">
        <v>-122.321034</v>
      </c>
      <c r="K32" t="s">
        <v>3936</v>
      </c>
      <c r="L32" t="s">
        <v>3946</v>
      </c>
      <c r="M32" t="s">
        <v>3949</v>
      </c>
      <c r="P32" t="s">
        <v>3533</v>
      </c>
    </row>
    <row r="33" spans="1:16" x14ac:dyDescent="0.2">
      <c r="A33" t="s">
        <v>1606</v>
      </c>
      <c r="B33" t="s">
        <v>3552</v>
      </c>
      <c r="C33" t="s">
        <v>66</v>
      </c>
      <c r="D33" t="s">
        <v>2307</v>
      </c>
      <c r="E33">
        <v>98105</v>
      </c>
      <c r="F33" t="s">
        <v>1600</v>
      </c>
      <c r="G33" t="s">
        <v>1984</v>
      </c>
      <c r="H33" t="s">
        <v>3964</v>
      </c>
      <c r="I33">
        <v>47.658906999999999</v>
      </c>
      <c r="J33">
        <v>-122.31336899999999</v>
      </c>
      <c r="K33" t="s">
        <v>3936</v>
      </c>
      <c r="L33" t="s">
        <v>3946</v>
      </c>
      <c r="M33" t="s">
        <v>3949</v>
      </c>
      <c r="P33" t="s">
        <v>3552</v>
      </c>
    </row>
    <row r="34" spans="1:16" x14ac:dyDescent="0.2">
      <c r="A34" t="s">
        <v>1915</v>
      </c>
      <c r="B34" t="s">
        <v>3469</v>
      </c>
      <c r="C34" t="s">
        <v>66</v>
      </c>
      <c r="D34" t="s">
        <v>2307</v>
      </c>
      <c r="E34">
        <v>98144</v>
      </c>
      <c r="F34" t="s">
        <v>1577</v>
      </c>
      <c r="G34" t="s">
        <v>1981</v>
      </c>
      <c r="H34" t="s">
        <v>3965</v>
      </c>
      <c r="I34">
        <v>47.59854</v>
      </c>
      <c r="J34">
        <v>-122.315207</v>
      </c>
      <c r="K34" t="s">
        <v>3936</v>
      </c>
      <c r="L34" t="s">
        <v>3946</v>
      </c>
      <c r="M34" t="s">
        <v>3949</v>
      </c>
      <c r="P34" t="s">
        <v>3469</v>
      </c>
    </row>
    <row r="35" spans="1:16" x14ac:dyDescent="0.2">
      <c r="A35" t="s">
        <v>2057</v>
      </c>
      <c r="B35" t="s">
        <v>2400</v>
      </c>
      <c r="C35" t="s">
        <v>66</v>
      </c>
      <c r="D35" t="s">
        <v>2307</v>
      </c>
      <c r="E35">
        <v>98105</v>
      </c>
      <c r="F35" t="s">
        <v>2044</v>
      </c>
      <c r="G35" t="s">
        <v>1990</v>
      </c>
      <c r="H35" t="s">
        <v>5322</v>
      </c>
      <c r="I35">
        <v>47.661752</v>
      </c>
      <c r="J35">
        <v>-122.31290199999999</v>
      </c>
      <c r="K35" t="s">
        <v>3936</v>
      </c>
      <c r="L35" t="s">
        <v>3946</v>
      </c>
      <c r="M35" t="s">
        <v>3949</v>
      </c>
      <c r="P35" t="s">
        <v>2400</v>
      </c>
    </row>
    <row r="36" spans="1:16" x14ac:dyDescent="0.2">
      <c r="A36" t="s">
        <v>1610</v>
      </c>
      <c r="B36" t="s">
        <v>3556</v>
      </c>
      <c r="C36" t="s">
        <v>66</v>
      </c>
      <c r="D36" t="s">
        <v>2307</v>
      </c>
      <c r="E36">
        <v>91805</v>
      </c>
      <c r="F36" t="s">
        <v>1573</v>
      </c>
      <c r="G36" t="s">
        <v>1991</v>
      </c>
      <c r="H36" t="s">
        <v>3966</v>
      </c>
      <c r="I36">
        <v>47.661813000000002</v>
      </c>
      <c r="J36">
        <v>-122.3133</v>
      </c>
      <c r="K36" t="s">
        <v>3936</v>
      </c>
      <c r="L36" t="s">
        <v>3946</v>
      </c>
      <c r="M36" t="s">
        <v>3949</v>
      </c>
      <c r="P36" t="s">
        <v>3556</v>
      </c>
    </row>
    <row r="37" spans="1:16" x14ac:dyDescent="0.2">
      <c r="A37" t="s">
        <v>1614</v>
      </c>
      <c r="B37" t="s">
        <v>3561</v>
      </c>
      <c r="C37" t="s">
        <v>66</v>
      </c>
      <c r="D37" t="s">
        <v>2307</v>
      </c>
      <c r="E37">
        <v>98115</v>
      </c>
      <c r="F37" t="s">
        <v>1604</v>
      </c>
      <c r="G37" t="s">
        <v>5032</v>
      </c>
      <c r="H37" t="s">
        <v>5323</v>
      </c>
      <c r="I37">
        <v>47.675277999999999</v>
      </c>
      <c r="J37">
        <v>-122.325605</v>
      </c>
      <c r="K37" t="s">
        <v>3936</v>
      </c>
      <c r="L37" t="s">
        <v>3946</v>
      </c>
      <c r="M37" t="s">
        <v>3949</v>
      </c>
      <c r="P37" t="s">
        <v>3561</v>
      </c>
    </row>
    <row r="38" spans="1:16" x14ac:dyDescent="0.2">
      <c r="A38" t="s">
        <v>1616</v>
      </c>
      <c r="B38" t="s">
        <v>3563</v>
      </c>
      <c r="C38" t="s">
        <v>66</v>
      </c>
      <c r="D38" t="s">
        <v>2307</v>
      </c>
      <c r="E38">
        <v>98115</v>
      </c>
      <c r="F38" t="s">
        <v>1575</v>
      </c>
      <c r="G38" t="s">
        <v>2002</v>
      </c>
      <c r="H38" t="s">
        <v>5030</v>
      </c>
      <c r="I38">
        <v>47.675921000000002</v>
      </c>
      <c r="J38">
        <v>-122.31925200000001</v>
      </c>
      <c r="K38" t="s">
        <v>3936</v>
      </c>
      <c r="L38" t="s">
        <v>3946</v>
      </c>
      <c r="M38" t="s">
        <v>3949</v>
      </c>
      <c r="P38" t="s">
        <v>3563</v>
      </c>
    </row>
    <row r="39" spans="1:16" x14ac:dyDescent="0.2">
      <c r="A39" t="s">
        <v>1631</v>
      </c>
      <c r="B39" t="s">
        <v>3578</v>
      </c>
      <c r="C39" t="s">
        <v>66</v>
      </c>
      <c r="D39" t="s">
        <v>2307</v>
      </c>
      <c r="E39">
        <v>98117</v>
      </c>
      <c r="F39" t="s">
        <v>1575</v>
      </c>
      <c r="G39" t="s">
        <v>1981</v>
      </c>
      <c r="H39" t="s">
        <v>3967</v>
      </c>
      <c r="I39">
        <v>47.688867999999999</v>
      </c>
      <c r="J39">
        <v>-122.37688199999999</v>
      </c>
      <c r="K39" t="s">
        <v>3936</v>
      </c>
      <c r="L39" t="s">
        <v>3946</v>
      </c>
      <c r="M39" t="s">
        <v>3949</v>
      </c>
      <c r="P39" t="s">
        <v>5680</v>
      </c>
    </row>
    <row r="40" spans="1:16" x14ac:dyDescent="0.2">
      <c r="A40" t="s">
        <v>1633</v>
      </c>
      <c r="B40" t="s">
        <v>3580</v>
      </c>
      <c r="C40" t="s">
        <v>66</v>
      </c>
      <c r="D40" t="s">
        <v>2307</v>
      </c>
      <c r="E40">
        <v>98115</v>
      </c>
      <c r="F40" t="s">
        <v>1600</v>
      </c>
      <c r="G40" t="s">
        <v>1989</v>
      </c>
      <c r="H40" t="s">
        <v>3968</v>
      </c>
      <c r="I40">
        <v>47.693201999999999</v>
      </c>
      <c r="J40">
        <v>-122.305286</v>
      </c>
      <c r="K40" t="s">
        <v>3936</v>
      </c>
      <c r="L40" t="s">
        <v>3946</v>
      </c>
      <c r="M40" t="s">
        <v>3949</v>
      </c>
      <c r="P40" t="s">
        <v>3580</v>
      </c>
    </row>
    <row r="41" spans="1:16" x14ac:dyDescent="0.2">
      <c r="A41" t="s">
        <v>1924</v>
      </c>
      <c r="B41" t="s">
        <v>3479</v>
      </c>
      <c r="C41" t="s">
        <v>66</v>
      </c>
      <c r="D41" t="s">
        <v>2307</v>
      </c>
      <c r="E41">
        <v>98133</v>
      </c>
      <c r="F41" t="s">
        <v>1604</v>
      </c>
      <c r="G41" t="s">
        <v>1982</v>
      </c>
      <c r="H41" t="s">
        <v>3969</v>
      </c>
      <c r="I41">
        <v>47.701791</v>
      </c>
      <c r="J41">
        <v>-122.344464</v>
      </c>
      <c r="K41" t="s">
        <v>3936</v>
      </c>
      <c r="L41" t="s">
        <v>3946</v>
      </c>
      <c r="M41" t="s">
        <v>3949</v>
      </c>
      <c r="P41" t="s">
        <v>5663</v>
      </c>
    </row>
    <row r="42" spans="1:16" x14ac:dyDescent="0.2">
      <c r="A42" t="s">
        <v>1637</v>
      </c>
      <c r="B42" t="s">
        <v>5031</v>
      </c>
      <c r="C42" t="s">
        <v>66</v>
      </c>
      <c r="D42" t="s">
        <v>2307</v>
      </c>
      <c r="E42">
        <v>98103</v>
      </c>
      <c r="F42" t="s">
        <v>1587</v>
      </c>
      <c r="G42" t="s">
        <v>5032</v>
      </c>
      <c r="H42" t="s">
        <v>5033</v>
      </c>
      <c r="I42">
        <v>47.705182000000001</v>
      </c>
      <c r="J42">
        <v>-122.35090099999999</v>
      </c>
      <c r="K42" t="s">
        <v>3936</v>
      </c>
      <c r="L42" t="s">
        <v>3946</v>
      </c>
      <c r="M42" t="s">
        <v>3949</v>
      </c>
      <c r="P42" t="s">
        <v>5031</v>
      </c>
    </row>
    <row r="43" spans="1:16" x14ac:dyDescent="0.2">
      <c r="A43" t="s">
        <v>1638</v>
      </c>
      <c r="B43" t="s">
        <v>3584</v>
      </c>
      <c r="C43" t="s">
        <v>66</v>
      </c>
      <c r="D43" t="s">
        <v>2307</v>
      </c>
      <c r="E43">
        <v>98133</v>
      </c>
      <c r="F43" t="s">
        <v>1587</v>
      </c>
      <c r="G43" t="s">
        <v>1973</v>
      </c>
      <c r="H43" t="s">
        <v>5034</v>
      </c>
      <c r="I43">
        <v>47.705300000000001</v>
      </c>
      <c r="J43">
        <v>-122.355146</v>
      </c>
      <c r="K43" t="s">
        <v>3936</v>
      </c>
      <c r="L43" t="s">
        <v>3946</v>
      </c>
      <c r="M43" t="s">
        <v>3949</v>
      </c>
      <c r="P43" t="s">
        <v>3584</v>
      </c>
    </row>
    <row r="44" spans="1:16" x14ac:dyDescent="0.2">
      <c r="A44" t="s">
        <v>2100</v>
      </c>
      <c r="B44" t="s">
        <v>2473</v>
      </c>
      <c r="C44" t="s">
        <v>66</v>
      </c>
      <c r="D44" t="s">
        <v>2307</v>
      </c>
      <c r="E44">
        <v>98116</v>
      </c>
      <c r="F44" t="s">
        <v>2050</v>
      </c>
      <c r="G44" t="s">
        <v>1981</v>
      </c>
      <c r="H44" t="s">
        <v>5035</v>
      </c>
      <c r="I44">
        <v>47.560254</v>
      </c>
      <c r="J44">
        <v>-122.386628</v>
      </c>
      <c r="K44" t="s">
        <v>3936</v>
      </c>
      <c r="L44" t="s">
        <v>3946</v>
      </c>
      <c r="M44" t="s">
        <v>3949</v>
      </c>
      <c r="P44" t="s">
        <v>2473</v>
      </c>
    </row>
    <row r="45" spans="1:16" x14ac:dyDescent="0.2">
      <c r="A45" t="s">
        <v>1644</v>
      </c>
      <c r="B45" s="5" t="s">
        <v>6382</v>
      </c>
      <c r="C45" t="s">
        <v>66</v>
      </c>
      <c r="D45" t="s">
        <v>2307</v>
      </c>
      <c r="E45">
        <v>98125</v>
      </c>
      <c r="F45" t="s">
        <v>1604</v>
      </c>
      <c r="G45" t="s">
        <v>1989</v>
      </c>
      <c r="H45" t="s">
        <v>5324</v>
      </c>
      <c r="I45">
        <v>47.708540999999997</v>
      </c>
      <c r="J45">
        <v>-122.32211</v>
      </c>
      <c r="K45" t="s">
        <v>3936</v>
      </c>
      <c r="L45" t="s">
        <v>3946</v>
      </c>
      <c r="M45" t="s">
        <v>3949</v>
      </c>
      <c r="P45" t="s">
        <v>6015</v>
      </c>
    </row>
    <row r="46" spans="1:16" x14ac:dyDescent="0.2">
      <c r="A46" t="s">
        <v>1648</v>
      </c>
      <c r="B46" t="s">
        <v>3593</v>
      </c>
      <c r="C46" t="s">
        <v>66</v>
      </c>
      <c r="D46" t="s">
        <v>2307</v>
      </c>
      <c r="E46">
        <v>98108</v>
      </c>
      <c r="F46" t="s">
        <v>1583</v>
      </c>
      <c r="G46" t="s">
        <v>1980</v>
      </c>
      <c r="H46" t="s">
        <v>5325</v>
      </c>
      <c r="I46">
        <v>47.548450000000003</v>
      </c>
      <c r="J46">
        <v>-122.32122200000001</v>
      </c>
      <c r="K46" t="s">
        <v>3936</v>
      </c>
      <c r="L46" t="s">
        <v>3946</v>
      </c>
      <c r="M46" t="s">
        <v>3949</v>
      </c>
      <c r="P46" t="s">
        <v>5665</v>
      </c>
    </row>
    <row r="47" spans="1:16" x14ac:dyDescent="0.2">
      <c r="A47" t="s">
        <v>1650</v>
      </c>
      <c r="B47" t="s">
        <v>3595</v>
      </c>
      <c r="C47" t="s">
        <v>66</v>
      </c>
      <c r="D47" t="s">
        <v>2307</v>
      </c>
      <c r="E47">
        <v>98125</v>
      </c>
      <c r="F47" t="s">
        <v>1583</v>
      </c>
      <c r="G47" t="s">
        <v>1980</v>
      </c>
      <c r="H47" t="s">
        <v>5326</v>
      </c>
      <c r="I47">
        <v>47.715001000000001</v>
      </c>
      <c r="J47">
        <v>-122.31240699999999</v>
      </c>
      <c r="K47" t="s">
        <v>3936</v>
      </c>
      <c r="L47" t="s">
        <v>3946</v>
      </c>
      <c r="M47" t="s">
        <v>3949</v>
      </c>
      <c r="P47" t="s">
        <v>3595</v>
      </c>
    </row>
    <row r="48" spans="1:16" x14ac:dyDescent="0.2">
      <c r="A48" t="s">
        <v>1654</v>
      </c>
      <c r="B48" t="s">
        <v>3599</v>
      </c>
      <c r="C48" t="s">
        <v>66</v>
      </c>
      <c r="D48" t="s">
        <v>2307</v>
      </c>
      <c r="E48">
        <v>98125</v>
      </c>
      <c r="F48" t="s">
        <v>1575</v>
      </c>
      <c r="G48" t="s">
        <v>1987</v>
      </c>
      <c r="H48" t="s">
        <v>3970</v>
      </c>
      <c r="I48">
        <v>47.719442000000001</v>
      </c>
      <c r="J48">
        <v>-122.294839</v>
      </c>
      <c r="K48" t="s">
        <v>3936</v>
      </c>
      <c r="L48" t="s">
        <v>3946</v>
      </c>
      <c r="M48" t="s">
        <v>3949</v>
      </c>
      <c r="P48" t="s">
        <v>3599</v>
      </c>
    </row>
    <row r="49" spans="1:16" x14ac:dyDescent="0.2">
      <c r="A49" t="s">
        <v>1656</v>
      </c>
      <c r="B49" t="s">
        <v>3602</v>
      </c>
      <c r="C49" t="s">
        <v>66</v>
      </c>
      <c r="D49" t="s">
        <v>2307</v>
      </c>
      <c r="E49">
        <v>98118</v>
      </c>
      <c r="F49" t="s">
        <v>1575</v>
      </c>
      <c r="G49" t="s">
        <v>1973</v>
      </c>
      <c r="H49" t="s">
        <v>5327</v>
      </c>
      <c r="I49">
        <v>47.54222</v>
      </c>
      <c r="J49">
        <v>-122.28405600000001</v>
      </c>
      <c r="K49" t="s">
        <v>3936</v>
      </c>
      <c r="L49" t="s">
        <v>3946</v>
      </c>
      <c r="M49" t="s">
        <v>3949</v>
      </c>
      <c r="P49" t="s">
        <v>3602</v>
      </c>
    </row>
    <row r="50" spans="1:16" x14ac:dyDescent="0.2">
      <c r="A50" t="s">
        <v>2114</v>
      </c>
      <c r="B50" t="s">
        <v>5036</v>
      </c>
      <c r="C50" t="s">
        <v>66</v>
      </c>
      <c r="D50" t="s">
        <v>2307</v>
      </c>
      <c r="E50">
        <v>98133</v>
      </c>
      <c r="F50" t="s">
        <v>1583</v>
      </c>
      <c r="G50" t="s">
        <v>1980</v>
      </c>
      <c r="H50" t="s">
        <v>5328</v>
      </c>
      <c r="I50">
        <v>47.724981</v>
      </c>
      <c r="J50">
        <v>-122.344835</v>
      </c>
      <c r="K50" t="s">
        <v>3936</v>
      </c>
      <c r="L50" t="s">
        <v>3946</v>
      </c>
      <c r="M50" t="s">
        <v>3949</v>
      </c>
      <c r="P50" t="s">
        <v>5036</v>
      </c>
    </row>
    <row r="51" spans="1:16" x14ac:dyDescent="0.2">
      <c r="A51" t="s">
        <v>1659</v>
      </c>
      <c r="B51" t="s">
        <v>3604</v>
      </c>
      <c r="C51" t="s">
        <v>2506</v>
      </c>
      <c r="D51" t="s">
        <v>2307</v>
      </c>
      <c r="E51">
        <v>98033</v>
      </c>
      <c r="F51" t="s">
        <v>1575</v>
      </c>
      <c r="G51" t="s">
        <v>1987</v>
      </c>
      <c r="H51" t="s">
        <v>3971</v>
      </c>
      <c r="I51">
        <v>47.676411000000002</v>
      </c>
      <c r="J51">
        <v>-122.207356</v>
      </c>
      <c r="K51" t="s">
        <v>3936</v>
      </c>
      <c r="L51" t="s">
        <v>3946</v>
      </c>
      <c r="M51" t="s">
        <v>3949</v>
      </c>
      <c r="P51" t="s">
        <v>3604</v>
      </c>
    </row>
    <row r="52" spans="1:16" x14ac:dyDescent="0.2">
      <c r="A52" t="s">
        <v>1671</v>
      </c>
      <c r="B52" t="s">
        <v>6215</v>
      </c>
      <c r="C52" t="s">
        <v>66</v>
      </c>
      <c r="D52" t="s">
        <v>2307</v>
      </c>
      <c r="E52">
        <v>98106</v>
      </c>
      <c r="F52" t="s">
        <v>1602</v>
      </c>
      <c r="G52" t="s">
        <v>1995</v>
      </c>
      <c r="H52" t="s">
        <v>3972</v>
      </c>
      <c r="I52">
        <v>47.514924000000001</v>
      </c>
      <c r="J52">
        <v>-122.353765</v>
      </c>
      <c r="K52" t="s">
        <v>3936</v>
      </c>
      <c r="L52" t="s">
        <v>3946</v>
      </c>
      <c r="M52" t="s">
        <v>3949</v>
      </c>
      <c r="P52" t="s">
        <v>6016</v>
      </c>
    </row>
    <row r="53" spans="1:16" x14ac:dyDescent="0.2">
      <c r="A53" t="s">
        <v>1681</v>
      </c>
      <c r="B53" t="s">
        <v>3630</v>
      </c>
      <c r="C53" t="s">
        <v>2506</v>
      </c>
      <c r="D53" t="s">
        <v>2307</v>
      </c>
      <c r="E53">
        <v>98034</v>
      </c>
      <c r="F53" t="s">
        <v>1600</v>
      </c>
      <c r="G53" t="s">
        <v>1973</v>
      </c>
      <c r="H53" t="s">
        <v>5037</v>
      </c>
      <c r="I53">
        <v>47.721502999999998</v>
      </c>
      <c r="J53">
        <v>-122.20787799999999</v>
      </c>
      <c r="K53" t="s">
        <v>3936</v>
      </c>
      <c r="L53" t="s">
        <v>3946</v>
      </c>
      <c r="M53" t="s">
        <v>3949</v>
      </c>
      <c r="P53" t="s">
        <v>5572</v>
      </c>
    </row>
    <row r="54" spans="1:16" x14ac:dyDescent="0.2">
      <c r="A54" t="s">
        <v>1683</v>
      </c>
      <c r="B54" t="s">
        <v>3491</v>
      </c>
      <c r="C54" t="s">
        <v>386</v>
      </c>
      <c r="D54" t="s">
        <v>2307</v>
      </c>
      <c r="E54">
        <v>98133</v>
      </c>
      <c r="F54" t="s">
        <v>1577</v>
      </c>
      <c r="G54" t="s">
        <v>1973</v>
      </c>
      <c r="H54" t="s">
        <v>4077</v>
      </c>
      <c r="I54">
        <v>47.761727999999998</v>
      </c>
      <c r="J54">
        <v>-122.34602099999999</v>
      </c>
      <c r="K54" t="s">
        <v>3936</v>
      </c>
      <c r="L54" t="s">
        <v>3946</v>
      </c>
      <c r="M54" t="s">
        <v>3949</v>
      </c>
      <c r="P54" t="s">
        <v>3491</v>
      </c>
    </row>
    <row r="55" spans="1:16" x14ac:dyDescent="0.2">
      <c r="A55" t="s">
        <v>1934</v>
      </c>
      <c r="B55" t="s">
        <v>3492</v>
      </c>
      <c r="C55" t="s">
        <v>2506</v>
      </c>
      <c r="D55" t="s">
        <v>2307</v>
      </c>
      <c r="E55">
        <v>98034</v>
      </c>
      <c r="F55" t="s">
        <v>1575</v>
      </c>
      <c r="G55" t="s">
        <v>1968</v>
      </c>
      <c r="H55" t="s">
        <v>3974</v>
      </c>
      <c r="I55">
        <v>47.708722000000002</v>
      </c>
      <c r="J55">
        <v>-122.17557100000001</v>
      </c>
      <c r="K55" t="s">
        <v>3936</v>
      </c>
      <c r="L55" t="s">
        <v>3946</v>
      </c>
      <c r="M55" t="s">
        <v>3949</v>
      </c>
      <c r="P55" t="s">
        <v>3492</v>
      </c>
    </row>
    <row r="56" spans="1:16" x14ac:dyDescent="0.2">
      <c r="A56" t="s">
        <v>1687</v>
      </c>
      <c r="B56" t="s">
        <v>3636</v>
      </c>
      <c r="C56" t="s">
        <v>2599</v>
      </c>
      <c r="D56" t="s">
        <v>2307</v>
      </c>
      <c r="E56">
        <v>98028</v>
      </c>
      <c r="F56" t="s">
        <v>1573</v>
      </c>
      <c r="G56" t="s">
        <v>1989</v>
      </c>
      <c r="H56" t="s">
        <v>3975</v>
      </c>
      <c r="I56">
        <v>47.751449999999998</v>
      </c>
      <c r="J56">
        <v>-122.249375</v>
      </c>
      <c r="K56" t="s">
        <v>3936</v>
      </c>
      <c r="L56" t="s">
        <v>3946</v>
      </c>
      <c r="M56" t="s">
        <v>3949</v>
      </c>
      <c r="P56" t="s">
        <v>3636</v>
      </c>
    </row>
    <row r="57" spans="1:16" x14ac:dyDescent="0.2">
      <c r="A57" t="s">
        <v>1698</v>
      </c>
      <c r="B57" t="s">
        <v>3495</v>
      </c>
      <c r="C57" t="s">
        <v>2586</v>
      </c>
      <c r="D57" t="s">
        <v>2307</v>
      </c>
      <c r="E57">
        <v>98059</v>
      </c>
      <c r="F57" t="s">
        <v>1591</v>
      </c>
      <c r="G57" t="s">
        <v>1969</v>
      </c>
      <c r="H57" t="s">
        <v>4020</v>
      </c>
      <c r="I57">
        <v>47.672727999999999</v>
      </c>
      <c r="J57">
        <v>-122.121144</v>
      </c>
      <c r="K57" t="s">
        <v>3936</v>
      </c>
      <c r="L57" t="s">
        <v>3946</v>
      </c>
      <c r="M57" t="s">
        <v>3949</v>
      </c>
      <c r="P57" t="s">
        <v>5666</v>
      </c>
    </row>
    <row r="58" spans="1:16" x14ac:dyDescent="0.2">
      <c r="A58" t="s">
        <v>1703</v>
      </c>
      <c r="B58" t="s">
        <v>3649</v>
      </c>
      <c r="C58" t="s">
        <v>2586</v>
      </c>
      <c r="D58" t="s">
        <v>2307</v>
      </c>
      <c r="E58">
        <v>98052</v>
      </c>
      <c r="F58" t="s">
        <v>1575</v>
      </c>
      <c r="G58" t="s">
        <v>1973</v>
      </c>
      <c r="H58" t="s">
        <v>3977</v>
      </c>
      <c r="I58">
        <v>47.670851999999996</v>
      </c>
      <c r="J58">
        <v>-122.111698</v>
      </c>
      <c r="K58" t="s">
        <v>3936</v>
      </c>
      <c r="L58" t="s">
        <v>3946</v>
      </c>
      <c r="M58" t="s">
        <v>3949</v>
      </c>
      <c r="P58" t="s">
        <v>3649</v>
      </c>
    </row>
    <row r="59" spans="1:16" x14ac:dyDescent="0.2">
      <c r="A59" t="s">
        <v>1706</v>
      </c>
      <c r="B59" t="s">
        <v>3654</v>
      </c>
      <c r="C59" t="s">
        <v>2597</v>
      </c>
      <c r="D59" t="s">
        <v>2307</v>
      </c>
      <c r="E59">
        <v>98057</v>
      </c>
      <c r="F59" t="s">
        <v>1658</v>
      </c>
      <c r="G59" t="s">
        <v>1999</v>
      </c>
      <c r="H59" t="s">
        <v>5329</v>
      </c>
      <c r="I59">
        <v>47.489989999999999</v>
      </c>
      <c r="J59">
        <v>-122.21807099999999</v>
      </c>
      <c r="K59" t="s">
        <v>3936</v>
      </c>
      <c r="L59" t="s">
        <v>3946</v>
      </c>
      <c r="M59" t="s">
        <v>3949</v>
      </c>
      <c r="P59" t="s">
        <v>3654</v>
      </c>
    </row>
    <row r="60" spans="1:16" x14ac:dyDescent="0.2">
      <c r="A60" t="s">
        <v>1714</v>
      </c>
      <c r="B60" t="s">
        <v>3662</v>
      </c>
      <c r="C60" t="s">
        <v>2597</v>
      </c>
      <c r="D60" t="s">
        <v>2307</v>
      </c>
      <c r="E60">
        <v>98056</v>
      </c>
      <c r="F60" t="s">
        <v>1575</v>
      </c>
      <c r="G60" t="s">
        <v>1973</v>
      </c>
      <c r="H60" t="s">
        <v>3978</v>
      </c>
      <c r="I60">
        <v>47.504232000000002</v>
      </c>
      <c r="J60">
        <v>-122.17657800000001</v>
      </c>
      <c r="K60" t="s">
        <v>3936</v>
      </c>
      <c r="L60" t="s">
        <v>3946</v>
      </c>
      <c r="M60" t="s">
        <v>3949</v>
      </c>
      <c r="P60" t="s">
        <v>3662</v>
      </c>
    </row>
    <row r="61" spans="1:16" x14ac:dyDescent="0.2">
      <c r="A61" t="s">
        <v>1937</v>
      </c>
      <c r="B61" t="s">
        <v>3498</v>
      </c>
      <c r="C61" t="s">
        <v>2597</v>
      </c>
      <c r="D61" t="s">
        <v>2307</v>
      </c>
      <c r="E61">
        <v>98056</v>
      </c>
      <c r="F61" t="s">
        <v>1575</v>
      </c>
      <c r="G61" t="s">
        <v>1968</v>
      </c>
      <c r="H61" t="s">
        <v>3979</v>
      </c>
      <c r="I61">
        <v>47.500943999999997</v>
      </c>
      <c r="J61">
        <v>-122.18085000000001</v>
      </c>
      <c r="K61" t="s">
        <v>3936</v>
      </c>
      <c r="L61" t="s">
        <v>3946</v>
      </c>
      <c r="M61" t="s">
        <v>3949</v>
      </c>
      <c r="P61" t="s">
        <v>3498</v>
      </c>
    </row>
    <row r="62" spans="1:16" x14ac:dyDescent="0.2">
      <c r="A62" t="s">
        <v>1718</v>
      </c>
      <c r="B62" t="s">
        <v>3669</v>
      </c>
      <c r="C62" t="s">
        <v>2597</v>
      </c>
      <c r="D62" t="s">
        <v>2307</v>
      </c>
      <c r="E62">
        <v>98057</v>
      </c>
      <c r="F62" t="s">
        <v>1575</v>
      </c>
      <c r="G62" t="s">
        <v>1973</v>
      </c>
      <c r="H62" t="s">
        <v>5330</v>
      </c>
      <c r="I62">
        <v>47.483029000000002</v>
      </c>
      <c r="J62">
        <v>-122.217111</v>
      </c>
      <c r="K62" t="s">
        <v>3936</v>
      </c>
      <c r="L62" t="s">
        <v>3946</v>
      </c>
      <c r="M62" t="s">
        <v>3949</v>
      </c>
      <c r="P62" t="s">
        <v>3669</v>
      </c>
    </row>
    <row r="63" spans="1:16" x14ac:dyDescent="0.2">
      <c r="A63" t="s">
        <v>1720</v>
      </c>
      <c r="B63" t="s">
        <v>3671</v>
      </c>
      <c r="C63" t="s">
        <v>2672</v>
      </c>
      <c r="D63" t="s">
        <v>2307</v>
      </c>
      <c r="E63">
        <v>98072</v>
      </c>
      <c r="F63" t="s">
        <v>1604</v>
      </c>
      <c r="G63" t="s">
        <v>1987</v>
      </c>
      <c r="H63" t="s">
        <v>5331</v>
      </c>
      <c r="I63">
        <v>47.755023999999999</v>
      </c>
      <c r="J63">
        <v>-122.163269</v>
      </c>
      <c r="K63" t="s">
        <v>3936</v>
      </c>
      <c r="L63" t="s">
        <v>3946</v>
      </c>
      <c r="M63" t="s">
        <v>3949</v>
      </c>
      <c r="P63" t="s">
        <v>5667</v>
      </c>
    </row>
    <row r="64" spans="1:16" x14ac:dyDescent="0.2">
      <c r="A64" t="s">
        <v>1727</v>
      </c>
      <c r="B64" t="s">
        <v>3680</v>
      </c>
      <c r="C64" t="s">
        <v>2672</v>
      </c>
      <c r="D64" t="s">
        <v>2307</v>
      </c>
      <c r="E64">
        <v>98072</v>
      </c>
      <c r="F64" t="s">
        <v>1575</v>
      </c>
      <c r="G64" t="s">
        <v>1984</v>
      </c>
      <c r="H64" t="s">
        <v>5332</v>
      </c>
      <c r="I64">
        <v>47.755313000000001</v>
      </c>
      <c r="J64">
        <v>-122.152581</v>
      </c>
      <c r="K64" t="s">
        <v>3936</v>
      </c>
      <c r="L64" t="s">
        <v>3946</v>
      </c>
      <c r="M64" t="s">
        <v>3949</v>
      </c>
      <c r="P64" t="s">
        <v>5681</v>
      </c>
    </row>
    <row r="65" spans="1:16" x14ac:dyDescent="0.2">
      <c r="A65" t="s">
        <v>1729</v>
      </c>
      <c r="B65" t="s">
        <v>3682</v>
      </c>
      <c r="C65" t="s">
        <v>2686</v>
      </c>
      <c r="D65" t="s">
        <v>2307</v>
      </c>
      <c r="E65">
        <v>98188</v>
      </c>
      <c r="F65" t="s">
        <v>1575</v>
      </c>
      <c r="G65" t="s">
        <v>1973</v>
      </c>
      <c r="H65" t="s">
        <v>3980</v>
      </c>
      <c r="I65">
        <v>47.452683</v>
      </c>
      <c r="J65">
        <v>-122.294996</v>
      </c>
      <c r="K65" t="s">
        <v>3936</v>
      </c>
      <c r="L65" t="s">
        <v>3946</v>
      </c>
      <c r="M65" t="s">
        <v>3949</v>
      </c>
      <c r="P65" t="s">
        <v>3682</v>
      </c>
    </row>
    <row r="66" spans="1:16" x14ac:dyDescent="0.2">
      <c r="A66" t="s">
        <v>1938</v>
      </c>
      <c r="B66" t="s">
        <v>3499</v>
      </c>
      <c r="C66" t="s">
        <v>2636</v>
      </c>
      <c r="D66" t="s">
        <v>2307</v>
      </c>
      <c r="E66">
        <v>98188</v>
      </c>
      <c r="F66" t="s">
        <v>1583</v>
      </c>
      <c r="G66" t="s">
        <v>1980</v>
      </c>
      <c r="H66" t="s">
        <v>5038</v>
      </c>
      <c r="I66">
        <v>47.459406000000001</v>
      </c>
      <c r="J66">
        <v>-122.255534</v>
      </c>
      <c r="K66" t="s">
        <v>3936</v>
      </c>
      <c r="L66" t="s">
        <v>3946</v>
      </c>
      <c r="M66" t="s">
        <v>3949</v>
      </c>
      <c r="P66" t="s">
        <v>3499</v>
      </c>
    </row>
    <row r="67" spans="1:16" x14ac:dyDescent="0.2">
      <c r="A67" t="s">
        <v>2168</v>
      </c>
      <c r="B67" t="s">
        <v>2718</v>
      </c>
      <c r="C67" t="s">
        <v>2717</v>
      </c>
      <c r="D67" t="s">
        <v>2307</v>
      </c>
      <c r="E67">
        <v>98036</v>
      </c>
      <c r="F67" t="s">
        <v>1716</v>
      </c>
      <c r="G67" t="s">
        <v>2005</v>
      </c>
      <c r="H67" t="s">
        <v>3981</v>
      </c>
      <c r="I67">
        <v>47.809697</v>
      </c>
      <c r="J67">
        <v>-122.32426700000001</v>
      </c>
      <c r="K67" t="s">
        <v>3936</v>
      </c>
      <c r="L67" t="s">
        <v>3946</v>
      </c>
      <c r="M67" t="s">
        <v>3949</v>
      </c>
      <c r="P67" t="s">
        <v>2718</v>
      </c>
    </row>
    <row r="68" spans="1:16" x14ac:dyDescent="0.2">
      <c r="A68" t="s">
        <v>1732</v>
      </c>
      <c r="B68" t="s">
        <v>3689</v>
      </c>
      <c r="C68" t="s">
        <v>2636</v>
      </c>
      <c r="D68" t="s">
        <v>2307</v>
      </c>
      <c r="E68">
        <v>98188</v>
      </c>
      <c r="F68" t="s">
        <v>1604</v>
      </c>
      <c r="G68" t="s">
        <v>1973</v>
      </c>
      <c r="H68" t="s">
        <v>5039</v>
      </c>
      <c r="I68">
        <v>47.451067000000002</v>
      </c>
      <c r="J68">
        <v>-122.26267</v>
      </c>
      <c r="K68" t="s">
        <v>3936</v>
      </c>
      <c r="L68" t="s">
        <v>3946</v>
      </c>
      <c r="M68" t="s">
        <v>3949</v>
      </c>
      <c r="P68" t="s">
        <v>3689</v>
      </c>
    </row>
    <row r="69" spans="1:16" x14ac:dyDescent="0.2">
      <c r="A69" t="s">
        <v>1610</v>
      </c>
      <c r="B69" t="s">
        <v>3690</v>
      </c>
      <c r="C69" t="s">
        <v>2597</v>
      </c>
      <c r="D69" t="s">
        <v>2307</v>
      </c>
      <c r="E69">
        <v>98056</v>
      </c>
      <c r="F69" t="s">
        <v>1573</v>
      </c>
      <c r="G69" t="s">
        <v>1991</v>
      </c>
      <c r="H69" t="s">
        <v>5333</v>
      </c>
      <c r="I69">
        <v>47.488384000000003</v>
      </c>
      <c r="J69">
        <v>-122.157371</v>
      </c>
      <c r="K69" t="s">
        <v>3936</v>
      </c>
      <c r="L69" t="s">
        <v>3946</v>
      </c>
      <c r="M69" t="s">
        <v>3949</v>
      </c>
      <c r="P69" t="s">
        <v>3690</v>
      </c>
    </row>
    <row r="70" spans="1:16" x14ac:dyDescent="0.2">
      <c r="A70" t="s">
        <v>1735</v>
      </c>
      <c r="B70" t="s">
        <v>3693</v>
      </c>
      <c r="C70" t="s">
        <v>2717</v>
      </c>
      <c r="D70" t="s">
        <v>2307</v>
      </c>
      <c r="E70">
        <v>98036</v>
      </c>
      <c r="F70" t="s">
        <v>1575</v>
      </c>
      <c r="G70" t="s">
        <v>1973</v>
      </c>
      <c r="H70" t="s">
        <v>5040</v>
      </c>
      <c r="I70">
        <v>47.821472</v>
      </c>
      <c r="J70">
        <v>-122.325413</v>
      </c>
      <c r="K70" t="s">
        <v>3936</v>
      </c>
      <c r="L70" t="s">
        <v>3946</v>
      </c>
      <c r="M70" t="s">
        <v>3949</v>
      </c>
      <c r="P70" t="s">
        <v>3693</v>
      </c>
    </row>
    <row r="71" spans="1:16" x14ac:dyDescent="0.2">
      <c r="A71" t="s">
        <v>1744</v>
      </c>
      <c r="B71" t="s">
        <v>3705</v>
      </c>
      <c r="C71" t="s">
        <v>2780</v>
      </c>
      <c r="D71" t="s">
        <v>2307</v>
      </c>
      <c r="E71">
        <v>98032</v>
      </c>
      <c r="F71" t="s">
        <v>1575</v>
      </c>
      <c r="G71" t="s">
        <v>1987</v>
      </c>
      <c r="H71" t="s">
        <v>3982</v>
      </c>
      <c r="I71">
        <v>47.441094999999997</v>
      </c>
      <c r="J71">
        <v>-122.24450899999999</v>
      </c>
      <c r="K71" t="s">
        <v>3936</v>
      </c>
      <c r="L71" t="s">
        <v>3946</v>
      </c>
      <c r="M71" t="s">
        <v>3949</v>
      </c>
      <c r="P71" t="s">
        <v>3705</v>
      </c>
    </row>
    <row r="72" spans="1:16" x14ac:dyDescent="0.2">
      <c r="A72" t="s">
        <v>1745</v>
      </c>
      <c r="B72" t="s">
        <v>3706</v>
      </c>
      <c r="C72" t="s">
        <v>2754</v>
      </c>
      <c r="D72" t="s">
        <v>2307</v>
      </c>
      <c r="E72">
        <v>98310</v>
      </c>
      <c r="F72" t="s">
        <v>1575</v>
      </c>
      <c r="G72" t="s">
        <v>1987</v>
      </c>
      <c r="H72" t="s">
        <v>3983</v>
      </c>
      <c r="I72">
        <v>47.589168999999998</v>
      </c>
      <c r="J72">
        <v>-122.629785</v>
      </c>
      <c r="K72" t="s">
        <v>3936</v>
      </c>
      <c r="L72" t="s">
        <v>3946</v>
      </c>
      <c r="M72" t="s">
        <v>3949</v>
      </c>
      <c r="P72" t="s">
        <v>3706</v>
      </c>
    </row>
    <row r="73" spans="1:16" x14ac:dyDescent="0.2">
      <c r="A73" t="s">
        <v>1749</v>
      </c>
      <c r="B73" t="s">
        <v>6216</v>
      </c>
      <c r="C73" t="s">
        <v>2717</v>
      </c>
      <c r="D73" t="s">
        <v>2307</v>
      </c>
      <c r="E73">
        <v>98037</v>
      </c>
      <c r="F73" t="s">
        <v>1575</v>
      </c>
      <c r="G73" t="s">
        <v>1981</v>
      </c>
      <c r="H73" t="s">
        <v>4937</v>
      </c>
      <c r="I73">
        <v>47.831980000000001</v>
      </c>
      <c r="J73">
        <v>-122.269745</v>
      </c>
      <c r="K73" t="s">
        <v>3936</v>
      </c>
      <c r="L73" t="s">
        <v>3946</v>
      </c>
      <c r="M73" t="s">
        <v>3949</v>
      </c>
      <c r="P73" t="s">
        <v>6017</v>
      </c>
    </row>
    <row r="74" spans="1:16" x14ac:dyDescent="0.2">
      <c r="A74" t="s">
        <v>2192</v>
      </c>
      <c r="B74" t="s">
        <v>2819</v>
      </c>
      <c r="C74" t="s">
        <v>2785</v>
      </c>
      <c r="D74" t="s">
        <v>2307</v>
      </c>
      <c r="E74">
        <v>98027</v>
      </c>
      <c r="F74" t="s">
        <v>1716</v>
      </c>
      <c r="G74" t="s">
        <v>1995</v>
      </c>
      <c r="H74" t="s">
        <v>3984</v>
      </c>
      <c r="I74">
        <v>47.543441000000001</v>
      </c>
      <c r="J74">
        <v>-122.04710300000001</v>
      </c>
      <c r="K74" t="s">
        <v>3936</v>
      </c>
      <c r="L74" t="s">
        <v>3946</v>
      </c>
      <c r="M74" t="s">
        <v>3949</v>
      </c>
      <c r="P74" t="s">
        <v>2819</v>
      </c>
    </row>
    <row r="75" spans="1:16" x14ac:dyDescent="0.2">
      <c r="A75" t="s">
        <v>1948</v>
      </c>
      <c r="B75" t="s">
        <v>3510</v>
      </c>
      <c r="C75" t="s">
        <v>2830</v>
      </c>
      <c r="D75" t="s">
        <v>2307</v>
      </c>
      <c r="E75">
        <v>98198</v>
      </c>
      <c r="F75" t="s">
        <v>1575</v>
      </c>
      <c r="G75" t="s">
        <v>1973</v>
      </c>
      <c r="H75" t="s">
        <v>5041</v>
      </c>
      <c r="I75">
        <v>47.408079999999998</v>
      </c>
      <c r="J75">
        <v>-122.324714</v>
      </c>
      <c r="K75" t="s">
        <v>3936</v>
      </c>
      <c r="L75" t="s">
        <v>3946</v>
      </c>
      <c r="M75" t="s">
        <v>3949</v>
      </c>
      <c r="P75" t="s">
        <v>3510</v>
      </c>
    </row>
    <row r="76" spans="1:16" x14ac:dyDescent="0.2">
      <c r="A76" t="s">
        <v>1761</v>
      </c>
      <c r="B76" t="s">
        <v>3730</v>
      </c>
      <c r="C76" t="s">
        <v>2717</v>
      </c>
      <c r="D76" t="s">
        <v>2307</v>
      </c>
      <c r="E76">
        <v>98087</v>
      </c>
      <c r="F76" t="s">
        <v>1587</v>
      </c>
      <c r="G76" t="s">
        <v>1987</v>
      </c>
      <c r="H76" t="s">
        <v>3985</v>
      </c>
      <c r="I76">
        <v>47.849856000000003</v>
      </c>
      <c r="J76">
        <v>-122.25031799999999</v>
      </c>
      <c r="K76" t="s">
        <v>3936</v>
      </c>
      <c r="L76" t="s">
        <v>3946</v>
      </c>
      <c r="M76" t="s">
        <v>3949</v>
      </c>
      <c r="P76" t="s">
        <v>5758</v>
      </c>
    </row>
    <row r="77" spans="1:16" x14ac:dyDescent="0.2">
      <c r="A77" t="s">
        <v>1764</v>
      </c>
      <c r="B77" t="s">
        <v>6217</v>
      </c>
      <c r="C77" t="s">
        <v>2717</v>
      </c>
      <c r="D77" t="s">
        <v>2307</v>
      </c>
      <c r="E77">
        <v>98087</v>
      </c>
      <c r="F77" t="s">
        <v>1575</v>
      </c>
      <c r="G77" t="s">
        <v>1989</v>
      </c>
      <c r="H77" t="s">
        <v>3986</v>
      </c>
      <c r="I77">
        <v>47.849558999999999</v>
      </c>
      <c r="J77">
        <v>-122.248942</v>
      </c>
      <c r="K77" t="s">
        <v>3936</v>
      </c>
      <c r="L77" t="s">
        <v>3946</v>
      </c>
      <c r="M77" t="s">
        <v>3949</v>
      </c>
      <c r="P77" t="s">
        <v>6018</v>
      </c>
    </row>
    <row r="78" spans="1:16" x14ac:dyDescent="0.2">
      <c r="A78" t="s">
        <v>1683</v>
      </c>
      <c r="B78" t="s">
        <v>3512</v>
      </c>
      <c r="C78" t="s">
        <v>2861</v>
      </c>
      <c r="D78" t="s">
        <v>2307</v>
      </c>
      <c r="E78">
        <v>98012</v>
      </c>
      <c r="F78" t="s">
        <v>1577</v>
      </c>
      <c r="G78" t="s">
        <v>1973</v>
      </c>
      <c r="H78" t="s">
        <v>4126</v>
      </c>
      <c r="I78">
        <v>47.849381999999999</v>
      </c>
      <c r="J78">
        <v>-122.21875300000001</v>
      </c>
      <c r="K78" t="s">
        <v>3936</v>
      </c>
      <c r="L78" t="s">
        <v>3946</v>
      </c>
      <c r="M78" t="s">
        <v>3949</v>
      </c>
      <c r="P78" t="s">
        <v>5682</v>
      </c>
    </row>
    <row r="79" spans="1:16" x14ac:dyDescent="0.2">
      <c r="A79" t="s">
        <v>1951</v>
      </c>
      <c r="B79" t="s">
        <v>3513</v>
      </c>
      <c r="C79" t="s">
        <v>2861</v>
      </c>
      <c r="D79" t="s">
        <v>2307</v>
      </c>
      <c r="E79">
        <v>98012</v>
      </c>
      <c r="F79" t="s">
        <v>1658</v>
      </c>
      <c r="G79" t="s">
        <v>1986</v>
      </c>
      <c r="H79" t="s">
        <v>5042</v>
      </c>
      <c r="I79">
        <v>47.850399000000003</v>
      </c>
      <c r="J79">
        <v>-122.221012</v>
      </c>
      <c r="K79" t="s">
        <v>3936</v>
      </c>
      <c r="L79" t="s">
        <v>3946</v>
      </c>
      <c r="M79" t="s">
        <v>3949</v>
      </c>
      <c r="P79" t="s">
        <v>3513</v>
      </c>
    </row>
    <row r="80" spans="1:16" x14ac:dyDescent="0.2">
      <c r="A80" t="s">
        <v>1610</v>
      </c>
      <c r="B80" t="s">
        <v>3748</v>
      </c>
      <c r="C80" t="s">
        <v>2861</v>
      </c>
      <c r="D80" t="s">
        <v>2307</v>
      </c>
      <c r="E80">
        <v>98012</v>
      </c>
      <c r="F80" t="s">
        <v>1573</v>
      </c>
      <c r="G80" t="s">
        <v>1991</v>
      </c>
      <c r="H80" t="s">
        <v>3988</v>
      </c>
      <c r="I80">
        <v>47.858524000000003</v>
      </c>
      <c r="J80">
        <v>-122.220463</v>
      </c>
      <c r="K80" t="s">
        <v>3936</v>
      </c>
      <c r="L80" t="s">
        <v>3946</v>
      </c>
      <c r="M80" t="s">
        <v>3949</v>
      </c>
      <c r="P80" t="s">
        <v>3748</v>
      </c>
    </row>
    <row r="81" spans="1:16" x14ac:dyDescent="0.2">
      <c r="A81" t="s">
        <v>1779</v>
      </c>
      <c r="B81" t="s">
        <v>3758</v>
      </c>
      <c r="C81" t="s">
        <v>2900</v>
      </c>
      <c r="D81" t="s">
        <v>2307</v>
      </c>
      <c r="E81">
        <v>98204</v>
      </c>
      <c r="F81" t="s">
        <v>1573</v>
      </c>
      <c r="G81" t="s">
        <v>5334</v>
      </c>
      <c r="H81" t="s">
        <v>5335</v>
      </c>
      <c r="I81">
        <v>47.882057000000003</v>
      </c>
      <c r="J81">
        <v>-122.242227</v>
      </c>
      <c r="K81" t="s">
        <v>3936</v>
      </c>
      <c r="L81" t="s">
        <v>3946</v>
      </c>
      <c r="M81" t="s">
        <v>3949</v>
      </c>
      <c r="P81" t="s">
        <v>3758</v>
      </c>
    </row>
    <row r="82" spans="1:16" x14ac:dyDescent="0.2">
      <c r="A82" t="s">
        <v>1783</v>
      </c>
      <c r="B82" t="s">
        <v>3762</v>
      </c>
      <c r="C82" t="s">
        <v>2861</v>
      </c>
      <c r="D82" t="s">
        <v>2307</v>
      </c>
      <c r="E82">
        <v>98012</v>
      </c>
      <c r="F82" t="s">
        <v>1591</v>
      </c>
      <c r="G82" t="s">
        <v>1969</v>
      </c>
      <c r="H82" t="s">
        <v>5336</v>
      </c>
      <c r="I82">
        <v>47.878037999999997</v>
      </c>
      <c r="J82">
        <v>-122.210612</v>
      </c>
      <c r="K82" t="s">
        <v>3936</v>
      </c>
      <c r="L82" t="s">
        <v>3946</v>
      </c>
      <c r="M82" t="s">
        <v>3949</v>
      </c>
      <c r="P82" t="s">
        <v>5683</v>
      </c>
    </row>
    <row r="83" spans="1:16" x14ac:dyDescent="0.2">
      <c r="A83" t="s">
        <v>1787</v>
      </c>
      <c r="B83" t="s">
        <v>3767</v>
      </c>
      <c r="C83" t="s">
        <v>2780</v>
      </c>
      <c r="D83" t="s">
        <v>2307</v>
      </c>
      <c r="E83">
        <v>98031</v>
      </c>
      <c r="F83" t="s">
        <v>1604</v>
      </c>
      <c r="G83" t="s">
        <v>1989</v>
      </c>
      <c r="H83" t="s">
        <v>5337</v>
      </c>
      <c r="I83">
        <v>47.374040999999998</v>
      </c>
      <c r="J83">
        <v>-122.202173</v>
      </c>
      <c r="K83" t="s">
        <v>3936</v>
      </c>
      <c r="L83" t="s">
        <v>3946</v>
      </c>
      <c r="M83" t="s">
        <v>3949</v>
      </c>
      <c r="P83" t="s">
        <v>5684</v>
      </c>
    </row>
    <row r="84" spans="1:16" x14ac:dyDescent="0.2">
      <c r="A84" t="s">
        <v>1954</v>
      </c>
      <c r="B84" t="s">
        <v>5043</v>
      </c>
      <c r="C84" t="s">
        <v>2900</v>
      </c>
      <c r="D84" t="s">
        <v>2307</v>
      </c>
      <c r="E84">
        <v>98208</v>
      </c>
      <c r="F84" t="s">
        <v>1575</v>
      </c>
      <c r="G84" t="s">
        <v>1968</v>
      </c>
      <c r="H84" t="s">
        <v>3989</v>
      </c>
      <c r="I84">
        <v>47.927483000000002</v>
      </c>
      <c r="J84">
        <v>-122.22277699999999</v>
      </c>
      <c r="K84" t="s">
        <v>3936</v>
      </c>
      <c r="L84" t="s">
        <v>3946</v>
      </c>
      <c r="M84" t="s">
        <v>3949</v>
      </c>
      <c r="P84" t="s">
        <v>5043</v>
      </c>
    </row>
    <row r="85" spans="1:16" x14ac:dyDescent="0.2">
      <c r="A85" t="s">
        <v>1706</v>
      </c>
      <c r="B85" t="s">
        <v>2969</v>
      </c>
      <c r="C85" t="s">
        <v>2900</v>
      </c>
      <c r="D85" t="s">
        <v>2307</v>
      </c>
      <c r="E85">
        <v>98203</v>
      </c>
      <c r="F85" t="s">
        <v>1658</v>
      </c>
      <c r="G85" t="s">
        <v>1999</v>
      </c>
      <c r="H85" t="s">
        <v>5338</v>
      </c>
      <c r="I85">
        <v>47.929212999999997</v>
      </c>
      <c r="J85">
        <v>-122.221171</v>
      </c>
      <c r="K85" t="s">
        <v>3936</v>
      </c>
      <c r="L85" t="s">
        <v>3946</v>
      </c>
      <c r="M85" t="s">
        <v>3949</v>
      </c>
      <c r="P85" t="s">
        <v>2969</v>
      </c>
    </row>
    <row r="86" spans="1:16" x14ac:dyDescent="0.2">
      <c r="A86" t="s">
        <v>1803</v>
      </c>
      <c r="B86" t="s">
        <v>3791</v>
      </c>
      <c r="C86" t="s">
        <v>2930</v>
      </c>
      <c r="D86" t="s">
        <v>2307</v>
      </c>
      <c r="E86">
        <v>98003</v>
      </c>
      <c r="F86" t="s">
        <v>1602</v>
      </c>
      <c r="G86" t="s">
        <v>1981</v>
      </c>
      <c r="H86" t="s">
        <v>3990</v>
      </c>
      <c r="I86">
        <v>47.316536999999997</v>
      </c>
      <c r="J86">
        <v>-122.299543</v>
      </c>
      <c r="K86" t="s">
        <v>3936</v>
      </c>
      <c r="L86" t="s">
        <v>3946</v>
      </c>
      <c r="M86" t="s">
        <v>3949</v>
      </c>
      <c r="P86" t="s">
        <v>3791</v>
      </c>
    </row>
    <row r="87" spans="1:16" x14ac:dyDescent="0.2">
      <c r="A87" t="s">
        <v>1804</v>
      </c>
      <c r="B87" t="s">
        <v>3793</v>
      </c>
      <c r="C87" t="s">
        <v>2930</v>
      </c>
      <c r="D87" t="s">
        <v>2307</v>
      </c>
      <c r="E87">
        <v>98003</v>
      </c>
      <c r="F87" t="s">
        <v>1583</v>
      </c>
      <c r="G87" t="s">
        <v>1980</v>
      </c>
      <c r="H87" t="s">
        <v>3991</v>
      </c>
      <c r="I87">
        <v>47.315252999999998</v>
      </c>
      <c r="J87">
        <v>-122.30809600000001</v>
      </c>
      <c r="K87" t="s">
        <v>3936</v>
      </c>
      <c r="L87" t="s">
        <v>3946</v>
      </c>
      <c r="M87" t="s">
        <v>3949</v>
      </c>
      <c r="P87" t="s">
        <v>3793</v>
      </c>
    </row>
    <row r="88" spans="1:16" x14ac:dyDescent="0.2">
      <c r="A88" t="s">
        <v>1809</v>
      </c>
      <c r="B88" t="s">
        <v>3800</v>
      </c>
      <c r="C88" t="s">
        <v>2961</v>
      </c>
      <c r="D88" t="s">
        <v>2307</v>
      </c>
      <c r="E88">
        <v>98092</v>
      </c>
      <c r="F88" t="s">
        <v>1575</v>
      </c>
      <c r="G88" t="s">
        <v>1989</v>
      </c>
      <c r="H88" t="s">
        <v>5339</v>
      </c>
      <c r="I88">
        <v>47.322564</v>
      </c>
      <c r="J88">
        <v>-122.172656</v>
      </c>
      <c r="K88" t="s">
        <v>3936</v>
      </c>
      <c r="L88" t="s">
        <v>3946</v>
      </c>
      <c r="M88" t="s">
        <v>3949</v>
      </c>
      <c r="P88" t="s">
        <v>3800</v>
      </c>
    </row>
    <row r="89" spans="1:16" x14ac:dyDescent="0.2">
      <c r="A89" t="s">
        <v>1808</v>
      </c>
      <c r="B89" t="s">
        <v>3800</v>
      </c>
      <c r="C89" t="s">
        <v>2961</v>
      </c>
      <c r="D89" t="s">
        <v>2307</v>
      </c>
      <c r="E89">
        <v>98092</v>
      </c>
      <c r="F89" t="s">
        <v>1658</v>
      </c>
      <c r="G89" t="s">
        <v>1973</v>
      </c>
      <c r="H89" t="s">
        <v>5340</v>
      </c>
      <c r="I89">
        <v>47.322564</v>
      </c>
      <c r="J89">
        <v>-122.172656</v>
      </c>
      <c r="K89" t="s">
        <v>3936</v>
      </c>
      <c r="L89" t="s">
        <v>3946</v>
      </c>
      <c r="M89" t="s">
        <v>3949</v>
      </c>
      <c r="P89" t="s">
        <v>3800</v>
      </c>
    </row>
    <row r="90" spans="1:16" x14ac:dyDescent="0.2">
      <c r="A90" t="s">
        <v>1815</v>
      </c>
      <c r="B90" t="s">
        <v>3805</v>
      </c>
      <c r="C90" t="s">
        <v>2888</v>
      </c>
      <c r="D90" t="s">
        <v>2307</v>
      </c>
      <c r="E90">
        <v>98290</v>
      </c>
      <c r="F90" t="s">
        <v>1587</v>
      </c>
      <c r="G90" t="s">
        <v>1987</v>
      </c>
      <c r="H90" t="s">
        <v>3992</v>
      </c>
      <c r="I90">
        <v>47.921830999999997</v>
      </c>
      <c r="J90">
        <v>-122.097809</v>
      </c>
      <c r="K90" t="s">
        <v>3936</v>
      </c>
      <c r="L90" t="s">
        <v>3946</v>
      </c>
      <c r="M90" t="s">
        <v>3949</v>
      </c>
      <c r="P90" t="s">
        <v>3805</v>
      </c>
    </row>
    <row r="91" spans="1:16" x14ac:dyDescent="0.2">
      <c r="A91" t="s">
        <v>1683</v>
      </c>
      <c r="B91" t="s">
        <v>3522</v>
      </c>
      <c r="C91" t="s">
        <v>2930</v>
      </c>
      <c r="D91" t="s">
        <v>2307</v>
      </c>
      <c r="E91">
        <v>98003</v>
      </c>
      <c r="F91" t="s">
        <v>1604</v>
      </c>
      <c r="G91" t="s">
        <v>1971</v>
      </c>
      <c r="H91" t="s">
        <v>3993</v>
      </c>
      <c r="I91">
        <v>47.289017999999999</v>
      </c>
      <c r="J91">
        <v>-122.313638</v>
      </c>
      <c r="K91" t="s">
        <v>3936</v>
      </c>
      <c r="L91" t="s">
        <v>3946</v>
      </c>
      <c r="M91" t="s">
        <v>3949</v>
      </c>
      <c r="P91" t="s">
        <v>3522</v>
      </c>
    </row>
    <row r="92" spans="1:16" x14ac:dyDescent="0.2">
      <c r="A92" t="s">
        <v>1822</v>
      </c>
      <c r="B92" t="s">
        <v>3821</v>
      </c>
      <c r="C92" t="s">
        <v>3060</v>
      </c>
      <c r="D92" t="s">
        <v>2307</v>
      </c>
      <c r="E92">
        <v>98236</v>
      </c>
      <c r="F92" t="s">
        <v>1587</v>
      </c>
      <c r="G92" t="s">
        <v>1989</v>
      </c>
      <c r="H92" t="s">
        <v>5341</v>
      </c>
      <c r="I92">
        <v>47.979643000000003</v>
      </c>
      <c r="J92">
        <v>-122.367498</v>
      </c>
      <c r="K92" t="s">
        <v>3936</v>
      </c>
      <c r="L92" t="s">
        <v>3946</v>
      </c>
      <c r="M92" t="s">
        <v>3949</v>
      </c>
      <c r="P92" t="s">
        <v>3821</v>
      </c>
    </row>
    <row r="93" spans="1:16" x14ac:dyDescent="0.2">
      <c r="A93" t="s">
        <v>1824</v>
      </c>
      <c r="B93" t="s">
        <v>3823</v>
      </c>
      <c r="C93" t="s">
        <v>2900</v>
      </c>
      <c r="D93" t="s">
        <v>2307</v>
      </c>
      <c r="E93">
        <v>98201</v>
      </c>
      <c r="F93" t="s">
        <v>1600</v>
      </c>
      <c r="G93" t="s">
        <v>1987</v>
      </c>
      <c r="H93" t="s">
        <v>3994</v>
      </c>
      <c r="I93">
        <v>47.976882000000003</v>
      </c>
      <c r="J93">
        <v>-122.193502</v>
      </c>
      <c r="K93" t="s">
        <v>3936</v>
      </c>
      <c r="L93" t="s">
        <v>3946</v>
      </c>
      <c r="M93" t="s">
        <v>3949</v>
      </c>
      <c r="P93" t="s">
        <v>3823</v>
      </c>
    </row>
    <row r="94" spans="1:16" x14ac:dyDescent="0.2">
      <c r="A94" t="s">
        <v>1835</v>
      </c>
      <c r="B94" t="s">
        <v>3839</v>
      </c>
      <c r="C94" t="s">
        <v>3149</v>
      </c>
      <c r="D94" t="s">
        <v>2307</v>
      </c>
      <c r="E94">
        <v>98258</v>
      </c>
      <c r="F94" t="s">
        <v>1591</v>
      </c>
      <c r="G94" t="s">
        <v>1969</v>
      </c>
      <c r="H94" t="s">
        <v>5044</v>
      </c>
      <c r="I94">
        <v>48.001097999999999</v>
      </c>
      <c r="J94">
        <v>-122.10837100000001</v>
      </c>
      <c r="K94" t="s">
        <v>3936</v>
      </c>
      <c r="L94" t="s">
        <v>3946</v>
      </c>
      <c r="M94" t="s">
        <v>3949</v>
      </c>
      <c r="P94" t="s">
        <v>3839</v>
      </c>
    </row>
    <row r="95" spans="1:16" x14ac:dyDescent="0.2">
      <c r="A95" t="s">
        <v>1836</v>
      </c>
      <c r="B95" t="s">
        <v>3841</v>
      </c>
      <c r="C95" t="s">
        <v>3067</v>
      </c>
      <c r="D95" t="s">
        <v>2307</v>
      </c>
      <c r="E95">
        <v>98409</v>
      </c>
      <c r="F95" t="s">
        <v>1591</v>
      </c>
      <c r="G95" t="s">
        <v>1969</v>
      </c>
      <c r="H95" t="s">
        <v>3995</v>
      </c>
      <c r="I95">
        <v>47.233960000000003</v>
      </c>
      <c r="J95">
        <v>-122.455792</v>
      </c>
      <c r="K95" t="s">
        <v>3936</v>
      </c>
      <c r="L95" t="s">
        <v>3946</v>
      </c>
      <c r="M95" t="s">
        <v>3949</v>
      </c>
      <c r="P95" t="s">
        <v>3841</v>
      </c>
    </row>
    <row r="96" spans="1:16" x14ac:dyDescent="0.2">
      <c r="A96" t="s">
        <v>2276</v>
      </c>
      <c r="B96" t="s">
        <v>3209</v>
      </c>
      <c r="C96" t="s">
        <v>3201</v>
      </c>
      <c r="D96" t="s">
        <v>2307</v>
      </c>
      <c r="E96">
        <v>98270</v>
      </c>
      <c r="F96" t="s">
        <v>1583</v>
      </c>
      <c r="G96" t="s">
        <v>1980</v>
      </c>
      <c r="H96" t="s">
        <v>3996</v>
      </c>
      <c r="I96">
        <v>48.051938</v>
      </c>
      <c r="J96">
        <v>-122.16668</v>
      </c>
      <c r="K96" t="s">
        <v>3936</v>
      </c>
      <c r="L96" t="s">
        <v>3946</v>
      </c>
      <c r="M96" t="s">
        <v>3949</v>
      </c>
      <c r="P96" t="s">
        <v>6007</v>
      </c>
    </row>
    <row r="97" spans="1:16" x14ac:dyDescent="0.2">
      <c r="A97" t="s">
        <v>1852</v>
      </c>
      <c r="B97" t="s">
        <v>3863</v>
      </c>
      <c r="C97" t="s">
        <v>3201</v>
      </c>
      <c r="D97" t="s">
        <v>2307</v>
      </c>
      <c r="E97">
        <v>98270</v>
      </c>
      <c r="F97" t="s">
        <v>1583</v>
      </c>
      <c r="G97" t="s">
        <v>1980</v>
      </c>
      <c r="H97" t="s">
        <v>5796</v>
      </c>
      <c r="I97">
        <v>48.061987000000002</v>
      </c>
      <c r="J97">
        <v>-122.176716</v>
      </c>
      <c r="K97" t="s">
        <v>3936</v>
      </c>
      <c r="L97" t="s">
        <v>3946</v>
      </c>
      <c r="M97" t="s">
        <v>3949</v>
      </c>
      <c r="P97" t="s">
        <v>5664</v>
      </c>
    </row>
    <row r="98" spans="1:16" x14ac:dyDescent="0.2">
      <c r="A98" t="s">
        <v>1856</v>
      </c>
      <c r="B98" t="s">
        <v>3868</v>
      </c>
      <c r="C98" t="s">
        <v>3201</v>
      </c>
      <c r="D98" t="s">
        <v>2307</v>
      </c>
      <c r="E98">
        <v>98270</v>
      </c>
      <c r="F98" t="s">
        <v>1587</v>
      </c>
      <c r="G98" t="s">
        <v>1987</v>
      </c>
      <c r="H98" t="s">
        <v>3997</v>
      </c>
      <c r="I98">
        <v>48.082132000000001</v>
      </c>
      <c r="J98">
        <v>-122.173562</v>
      </c>
      <c r="K98" t="s">
        <v>3936</v>
      </c>
      <c r="L98" t="s">
        <v>3946</v>
      </c>
      <c r="M98" t="s">
        <v>3949</v>
      </c>
      <c r="P98" t="s">
        <v>3868</v>
      </c>
    </row>
    <row r="99" spans="1:16" x14ac:dyDescent="0.2">
      <c r="A99" t="s">
        <v>1744</v>
      </c>
      <c r="B99" t="s">
        <v>3878</v>
      </c>
      <c r="C99" t="s">
        <v>3186</v>
      </c>
      <c r="D99" t="s">
        <v>2307</v>
      </c>
      <c r="E99">
        <v>98373</v>
      </c>
      <c r="F99" t="s">
        <v>1575</v>
      </c>
      <c r="G99" t="s">
        <v>1987</v>
      </c>
      <c r="H99" t="s">
        <v>3998</v>
      </c>
      <c r="I99">
        <v>47.151862999999999</v>
      </c>
      <c r="J99">
        <v>-122.292834</v>
      </c>
      <c r="K99" t="s">
        <v>3936</v>
      </c>
      <c r="L99" t="s">
        <v>3946</v>
      </c>
      <c r="M99" t="s">
        <v>3949</v>
      </c>
      <c r="P99" t="s">
        <v>3878</v>
      </c>
    </row>
    <row r="100" spans="1:16" x14ac:dyDescent="0.2">
      <c r="A100" t="s">
        <v>1863</v>
      </c>
      <c r="B100" t="s">
        <v>3888</v>
      </c>
      <c r="C100" t="s">
        <v>3067</v>
      </c>
      <c r="D100" t="s">
        <v>2307</v>
      </c>
      <c r="E100">
        <v>98444</v>
      </c>
      <c r="F100" t="s">
        <v>1583</v>
      </c>
      <c r="G100" t="s">
        <v>1980</v>
      </c>
      <c r="H100" t="s">
        <v>3999</v>
      </c>
      <c r="I100">
        <v>47.128390000000003</v>
      </c>
      <c r="J100">
        <v>-122.434614</v>
      </c>
      <c r="K100" t="s">
        <v>3936</v>
      </c>
      <c r="L100" t="s">
        <v>3946</v>
      </c>
      <c r="M100" t="s">
        <v>3949</v>
      </c>
      <c r="P100" t="s">
        <v>3888</v>
      </c>
    </row>
    <row r="101" spans="1:16" x14ac:dyDescent="0.2">
      <c r="A101" t="s">
        <v>1866</v>
      </c>
      <c r="B101" t="s">
        <v>3895</v>
      </c>
      <c r="C101" t="s">
        <v>3201</v>
      </c>
      <c r="D101" t="s">
        <v>2307</v>
      </c>
      <c r="E101">
        <v>98271</v>
      </c>
      <c r="F101" t="s">
        <v>1583</v>
      </c>
      <c r="G101" t="s">
        <v>1980</v>
      </c>
      <c r="H101" t="s">
        <v>5342</v>
      </c>
      <c r="I101">
        <v>48.150460000000002</v>
      </c>
      <c r="J101">
        <v>-122.18943</v>
      </c>
      <c r="K101" t="s">
        <v>3936</v>
      </c>
      <c r="L101" t="s">
        <v>3946</v>
      </c>
      <c r="M101" t="s">
        <v>3949</v>
      </c>
      <c r="P101" t="s">
        <v>3895</v>
      </c>
    </row>
    <row r="102" spans="1:16" x14ac:dyDescent="0.2">
      <c r="A102" t="s">
        <v>1965</v>
      </c>
      <c r="B102" t="s">
        <v>3530</v>
      </c>
      <c r="C102" t="s">
        <v>3361</v>
      </c>
      <c r="D102" t="s">
        <v>2307</v>
      </c>
      <c r="E102">
        <v>98338</v>
      </c>
      <c r="F102" t="s">
        <v>1583</v>
      </c>
      <c r="G102" t="s">
        <v>1980</v>
      </c>
      <c r="H102" t="s">
        <v>4000</v>
      </c>
      <c r="I102">
        <v>47.077461999999997</v>
      </c>
      <c r="J102">
        <v>-122.293561</v>
      </c>
      <c r="K102" t="s">
        <v>3936</v>
      </c>
      <c r="L102" t="s">
        <v>3946</v>
      </c>
      <c r="M102" t="s">
        <v>3949</v>
      </c>
      <c r="P102" t="s">
        <v>5685</v>
      </c>
    </row>
    <row r="103" spans="1:16" x14ac:dyDescent="0.2">
      <c r="A103" t="s">
        <v>2294</v>
      </c>
      <c r="B103" t="s">
        <v>6218</v>
      </c>
      <c r="C103" t="s">
        <v>3364</v>
      </c>
      <c r="D103" t="s">
        <v>2307</v>
      </c>
      <c r="E103">
        <v>98292</v>
      </c>
      <c r="F103" t="s">
        <v>1583</v>
      </c>
      <c r="G103" t="s">
        <v>1980</v>
      </c>
      <c r="H103" t="s">
        <v>5343</v>
      </c>
      <c r="I103">
        <v>48.238574999999997</v>
      </c>
      <c r="J103">
        <v>-122.331639</v>
      </c>
      <c r="K103" t="s">
        <v>3936</v>
      </c>
      <c r="L103" t="s">
        <v>3946</v>
      </c>
      <c r="M103" t="s">
        <v>3949</v>
      </c>
      <c r="P103" t="s">
        <v>6019</v>
      </c>
    </row>
    <row r="104" spans="1:16" x14ac:dyDescent="0.2">
      <c r="A104" t="s">
        <v>1966</v>
      </c>
      <c r="B104" t="s">
        <v>6219</v>
      </c>
      <c r="C104" t="s">
        <v>3383</v>
      </c>
      <c r="D104" t="s">
        <v>2307</v>
      </c>
      <c r="E104">
        <v>98516</v>
      </c>
      <c r="F104" t="s">
        <v>1583</v>
      </c>
      <c r="G104" t="s">
        <v>1980</v>
      </c>
      <c r="H104" t="s">
        <v>4001</v>
      </c>
      <c r="I104">
        <v>47.061703999999999</v>
      </c>
      <c r="J104">
        <v>-122.740442</v>
      </c>
      <c r="K104" t="s">
        <v>3936</v>
      </c>
      <c r="L104" t="s">
        <v>3946</v>
      </c>
      <c r="M104" t="s">
        <v>3949</v>
      </c>
      <c r="P104" t="s">
        <v>6020</v>
      </c>
    </row>
    <row r="105" spans="1:16" x14ac:dyDescent="0.2">
      <c r="A105" t="s">
        <v>1884</v>
      </c>
      <c r="B105" t="s">
        <v>3917</v>
      </c>
      <c r="C105" t="s">
        <v>3376</v>
      </c>
      <c r="D105" t="s">
        <v>2307</v>
      </c>
      <c r="E105">
        <v>98503</v>
      </c>
      <c r="F105" t="s">
        <v>1583</v>
      </c>
      <c r="G105" t="s">
        <v>1980</v>
      </c>
      <c r="H105" t="s">
        <v>4002</v>
      </c>
      <c r="I105">
        <v>47.037267999999997</v>
      </c>
      <c r="J105">
        <v>-122.819374</v>
      </c>
      <c r="K105" t="s">
        <v>3936</v>
      </c>
      <c r="L105" t="s">
        <v>3946</v>
      </c>
      <c r="M105" t="s">
        <v>3949</v>
      </c>
      <c r="P105" t="s">
        <v>3917</v>
      </c>
    </row>
    <row r="106" spans="1:16" x14ac:dyDescent="0.2">
      <c r="A106" t="s">
        <v>1890</v>
      </c>
      <c r="B106" t="s">
        <v>3927</v>
      </c>
      <c r="C106" t="s">
        <v>3383</v>
      </c>
      <c r="D106" t="s">
        <v>2307</v>
      </c>
      <c r="E106">
        <v>98501</v>
      </c>
      <c r="F106" t="s">
        <v>1591</v>
      </c>
      <c r="G106" t="s">
        <v>1969</v>
      </c>
      <c r="H106" t="s">
        <v>4003</v>
      </c>
      <c r="I106">
        <v>47.045239000000002</v>
      </c>
      <c r="J106">
        <v>-122.89890699999999</v>
      </c>
      <c r="K106" t="s">
        <v>3936</v>
      </c>
      <c r="L106" t="s">
        <v>3946</v>
      </c>
      <c r="M106" t="s">
        <v>3949</v>
      </c>
      <c r="P106" t="s">
        <v>3927</v>
      </c>
    </row>
    <row r="107" spans="1:16" x14ac:dyDescent="0.2">
      <c r="A107" t="s">
        <v>1896</v>
      </c>
      <c r="B107" t="s">
        <v>3450</v>
      </c>
      <c r="C107" t="s">
        <v>66</v>
      </c>
      <c r="D107" t="s">
        <v>2307</v>
      </c>
      <c r="E107">
        <v>98109</v>
      </c>
      <c r="F107" t="s">
        <v>1575</v>
      </c>
      <c r="G107" t="s">
        <v>1971</v>
      </c>
      <c r="H107" t="s">
        <v>4936</v>
      </c>
      <c r="I107">
        <v>47.637262999999997</v>
      </c>
      <c r="J107">
        <v>-122.340329</v>
      </c>
      <c r="K107" t="s">
        <v>3936</v>
      </c>
      <c r="L107" t="s">
        <v>3946</v>
      </c>
      <c r="M107" t="s">
        <v>3949</v>
      </c>
      <c r="N107" t="s">
        <v>3956</v>
      </c>
      <c r="P107" t="s">
        <v>3450</v>
      </c>
    </row>
    <row r="108" spans="1:16" x14ac:dyDescent="0.2">
      <c r="A108" t="s">
        <v>1606</v>
      </c>
      <c r="B108" t="s">
        <v>3552</v>
      </c>
      <c r="C108" t="s">
        <v>66</v>
      </c>
      <c r="D108" t="s">
        <v>2307</v>
      </c>
      <c r="E108">
        <v>98105</v>
      </c>
      <c r="F108" t="s">
        <v>1600</v>
      </c>
      <c r="G108" t="s">
        <v>1984</v>
      </c>
      <c r="H108" t="s">
        <v>3964</v>
      </c>
      <c r="I108">
        <v>47.658906999999999</v>
      </c>
      <c r="J108">
        <v>-122.31336899999999</v>
      </c>
      <c r="K108" t="s">
        <v>3936</v>
      </c>
      <c r="L108" t="s">
        <v>3946</v>
      </c>
      <c r="M108" t="s">
        <v>3949</v>
      </c>
      <c r="N108" t="s">
        <v>3956</v>
      </c>
      <c r="P108" t="s">
        <v>3552</v>
      </c>
    </row>
    <row r="109" spans="1:16" x14ac:dyDescent="0.2">
      <c r="A109" t="s">
        <v>1633</v>
      </c>
      <c r="B109" t="s">
        <v>3580</v>
      </c>
      <c r="C109" t="s">
        <v>66</v>
      </c>
      <c r="D109" t="s">
        <v>2307</v>
      </c>
      <c r="E109">
        <v>98115</v>
      </c>
      <c r="F109" t="s">
        <v>1600</v>
      </c>
      <c r="G109" t="s">
        <v>1989</v>
      </c>
      <c r="H109" t="s">
        <v>3968</v>
      </c>
      <c r="I109">
        <v>47.693201999999999</v>
      </c>
      <c r="J109">
        <v>-122.305286</v>
      </c>
      <c r="K109" t="s">
        <v>3936</v>
      </c>
      <c r="L109" t="s">
        <v>3946</v>
      </c>
      <c r="M109" t="s">
        <v>3949</v>
      </c>
      <c r="N109" t="s">
        <v>3956</v>
      </c>
      <c r="P109" t="s">
        <v>3580</v>
      </c>
    </row>
    <row r="110" spans="1:16" x14ac:dyDescent="0.2">
      <c r="A110" t="s">
        <v>1924</v>
      </c>
      <c r="B110" t="s">
        <v>3479</v>
      </c>
      <c r="C110" t="s">
        <v>66</v>
      </c>
      <c r="D110" t="s">
        <v>2307</v>
      </c>
      <c r="E110">
        <v>98133</v>
      </c>
      <c r="F110" t="s">
        <v>1604</v>
      </c>
      <c r="G110" t="s">
        <v>1982</v>
      </c>
      <c r="H110" t="s">
        <v>3969</v>
      </c>
      <c r="I110">
        <v>47.701791</v>
      </c>
      <c r="J110">
        <v>-122.344464</v>
      </c>
      <c r="K110" t="s">
        <v>3936</v>
      </c>
      <c r="L110" t="s">
        <v>3946</v>
      </c>
      <c r="M110" t="s">
        <v>3949</v>
      </c>
      <c r="N110" t="s">
        <v>3956</v>
      </c>
      <c r="P110" t="s">
        <v>5663</v>
      </c>
    </row>
    <row r="111" spans="1:16" x14ac:dyDescent="0.2">
      <c r="A111" t="s">
        <v>1638</v>
      </c>
      <c r="B111" t="s">
        <v>3584</v>
      </c>
      <c r="C111" t="s">
        <v>66</v>
      </c>
      <c r="D111" t="s">
        <v>2307</v>
      </c>
      <c r="E111">
        <v>98133</v>
      </c>
      <c r="F111" t="s">
        <v>1587</v>
      </c>
      <c r="G111" t="s">
        <v>1973</v>
      </c>
      <c r="H111" t="s">
        <v>5034</v>
      </c>
      <c r="I111">
        <v>47.705300000000001</v>
      </c>
      <c r="J111">
        <v>-122.355146</v>
      </c>
      <c r="K111" t="s">
        <v>3936</v>
      </c>
      <c r="L111" t="s">
        <v>3946</v>
      </c>
      <c r="M111" t="s">
        <v>3949</v>
      </c>
      <c r="N111" t="s">
        <v>3956</v>
      </c>
      <c r="P111" t="s">
        <v>3584</v>
      </c>
    </row>
    <row r="112" spans="1:16" x14ac:dyDescent="0.2">
      <c r="A112" t="s">
        <v>1681</v>
      </c>
      <c r="B112" t="s">
        <v>3630</v>
      </c>
      <c r="C112" t="s">
        <v>2506</v>
      </c>
      <c r="D112" t="s">
        <v>2307</v>
      </c>
      <c r="E112">
        <v>98034</v>
      </c>
      <c r="F112" t="s">
        <v>1600</v>
      </c>
      <c r="G112" t="s">
        <v>1973</v>
      </c>
      <c r="H112" t="s">
        <v>5037</v>
      </c>
      <c r="I112">
        <v>47.721502999999998</v>
      </c>
      <c r="J112">
        <v>-122.20787799999999</v>
      </c>
      <c r="K112" t="s">
        <v>3936</v>
      </c>
      <c r="L112" t="s">
        <v>3946</v>
      </c>
      <c r="M112" t="s">
        <v>3949</v>
      </c>
      <c r="N112" t="s">
        <v>3956</v>
      </c>
      <c r="P112" t="s">
        <v>5572</v>
      </c>
    </row>
    <row r="113" spans="1:16" x14ac:dyDescent="0.2">
      <c r="A113" t="s">
        <v>1687</v>
      </c>
      <c r="B113" t="s">
        <v>3636</v>
      </c>
      <c r="C113" t="s">
        <v>2599</v>
      </c>
      <c r="D113" t="s">
        <v>2307</v>
      </c>
      <c r="E113">
        <v>98028</v>
      </c>
      <c r="F113" t="s">
        <v>1573</v>
      </c>
      <c r="G113" t="s">
        <v>1989</v>
      </c>
      <c r="H113" t="s">
        <v>3975</v>
      </c>
      <c r="I113">
        <v>47.751449999999998</v>
      </c>
      <c r="J113">
        <v>-122.249375</v>
      </c>
      <c r="K113" t="s">
        <v>3936</v>
      </c>
      <c r="L113" t="s">
        <v>3946</v>
      </c>
      <c r="M113" t="s">
        <v>3949</v>
      </c>
      <c r="N113" t="s">
        <v>3956</v>
      </c>
      <c r="P113" t="s">
        <v>3636</v>
      </c>
    </row>
    <row r="114" spans="1:16" x14ac:dyDescent="0.2">
      <c r="A114" t="s">
        <v>1703</v>
      </c>
      <c r="B114" t="s">
        <v>3649</v>
      </c>
      <c r="C114" t="s">
        <v>2586</v>
      </c>
      <c r="D114" t="s">
        <v>2307</v>
      </c>
      <c r="E114">
        <v>98052</v>
      </c>
      <c r="F114" t="s">
        <v>1575</v>
      </c>
      <c r="G114" t="s">
        <v>1973</v>
      </c>
      <c r="H114" t="s">
        <v>3977</v>
      </c>
      <c r="I114">
        <v>47.670851999999996</v>
      </c>
      <c r="J114">
        <v>-122.111698</v>
      </c>
      <c r="K114" t="s">
        <v>3936</v>
      </c>
      <c r="L114" t="s">
        <v>3946</v>
      </c>
      <c r="M114" t="s">
        <v>3949</v>
      </c>
      <c r="N114" t="s">
        <v>3956</v>
      </c>
      <c r="P114" t="s">
        <v>3649</v>
      </c>
    </row>
    <row r="115" spans="1:16" x14ac:dyDescent="0.2">
      <c r="A115" t="s">
        <v>1706</v>
      </c>
      <c r="B115" t="s">
        <v>3654</v>
      </c>
      <c r="C115" t="s">
        <v>2597</v>
      </c>
      <c r="D115" t="s">
        <v>2307</v>
      </c>
      <c r="E115">
        <v>98057</v>
      </c>
      <c r="F115" t="s">
        <v>1658</v>
      </c>
      <c r="G115" t="s">
        <v>1999</v>
      </c>
      <c r="H115" t="s">
        <v>5329</v>
      </c>
      <c r="I115">
        <v>47.489989999999999</v>
      </c>
      <c r="J115">
        <v>-122.21807099999999</v>
      </c>
      <c r="K115" t="s">
        <v>3936</v>
      </c>
      <c r="L115" t="s">
        <v>3946</v>
      </c>
      <c r="M115" t="s">
        <v>3949</v>
      </c>
      <c r="N115" t="s">
        <v>3956</v>
      </c>
      <c r="P115" t="s">
        <v>3654</v>
      </c>
    </row>
    <row r="116" spans="1:16" x14ac:dyDescent="0.2">
      <c r="A116" t="s">
        <v>1732</v>
      </c>
      <c r="B116" t="s">
        <v>3689</v>
      </c>
      <c r="C116" t="s">
        <v>2636</v>
      </c>
      <c r="D116" t="s">
        <v>2307</v>
      </c>
      <c r="E116">
        <v>98188</v>
      </c>
      <c r="F116" t="s">
        <v>1604</v>
      </c>
      <c r="G116" t="s">
        <v>1973</v>
      </c>
      <c r="H116" t="s">
        <v>5039</v>
      </c>
      <c r="I116">
        <v>47.451067000000002</v>
      </c>
      <c r="J116">
        <v>-122.26267</v>
      </c>
      <c r="K116" t="s">
        <v>3936</v>
      </c>
      <c r="L116" t="s">
        <v>3946</v>
      </c>
      <c r="M116" t="s">
        <v>3949</v>
      </c>
      <c r="N116" t="s">
        <v>3956</v>
      </c>
      <c r="P116" t="s">
        <v>3689</v>
      </c>
    </row>
    <row r="117" spans="1:16" x14ac:dyDescent="0.2">
      <c r="A117" t="s">
        <v>1951</v>
      </c>
      <c r="B117" t="s">
        <v>3513</v>
      </c>
      <c r="C117" t="s">
        <v>2861</v>
      </c>
      <c r="D117" t="s">
        <v>2307</v>
      </c>
      <c r="E117">
        <v>98012</v>
      </c>
      <c r="F117" t="s">
        <v>1658</v>
      </c>
      <c r="G117" t="s">
        <v>1986</v>
      </c>
      <c r="H117" t="s">
        <v>5042</v>
      </c>
      <c r="I117">
        <v>47.850399000000003</v>
      </c>
      <c r="J117">
        <v>-122.221012</v>
      </c>
      <c r="K117" t="s">
        <v>3936</v>
      </c>
      <c r="L117" t="s">
        <v>3946</v>
      </c>
      <c r="M117" t="s">
        <v>3949</v>
      </c>
      <c r="N117" t="s">
        <v>3956</v>
      </c>
      <c r="P117" t="s">
        <v>3513</v>
      </c>
    </row>
    <row r="118" spans="1:16" x14ac:dyDescent="0.2">
      <c r="A118" t="s">
        <v>1706</v>
      </c>
      <c r="B118" t="s">
        <v>2969</v>
      </c>
      <c r="C118" t="s">
        <v>2900</v>
      </c>
      <c r="D118" t="s">
        <v>2307</v>
      </c>
      <c r="E118">
        <v>98203</v>
      </c>
      <c r="F118" t="s">
        <v>1658</v>
      </c>
      <c r="G118" t="s">
        <v>1999</v>
      </c>
      <c r="H118" t="s">
        <v>5338</v>
      </c>
      <c r="I118">
        <v>47.929212999999997</v>
      </c>
      <c r="J118">
        <v>-122.221171</v>
      </c>
      <c r="K118" t="s">
        <v>3936</v>
      </c>
      <c r="L118" t="s">
        <v>3946</v>
      </c>
      <c r="M118" t="s">
        <v>3949</v>
      </c>
      <c r="N118" t="s">
        <v>3956</v>
      </c>
      <c r="P118" t="s">
        <v>2969</v>
      </c>
    </row>
    <row r="119" spans="1:16" x14ac:dyDescent="0.2">
      <c r="A119" t="s">
        <v>1809</v>
      </c>
      <c r="B119" t="s">
        <v>3800</v>
      </c>
      <c r="C119" t="s">
        <v>2961</v>
      </c>
      <c r="D119" t="s">
        <v>2307</v>
      </c>
      <c r="E119">
        <v>98092</v>
      </c>
      <c r="F119" t="s">
        <v>1575</v>
      </c>
      <c r="G119" t="s">
        <v>1989</v>
      </c>
      <c r="H119" t="s">
        <v>5339</v>
      </c>
      <c r="I119">
        <v>47.322564</v>
      </c>
      <c r="J119">
        <v>-122.172656</v>
      </c>
      <c r="K119" t="s">
        <v>3936</v>
      </c>
      <c r="L119" t="s">
        <v>3946</v>
      </c>
      <c r="M119" t="s">
        <v>3949</v>
      </c>
      <c r="N119" t="s">
        <v>3956</v>
      </c>
      <c r="P119" t="s">
        <v>3800</v>
      </c>
    </row>
    <row r="120" spans="1:16" x14ac:dyDescent="0.2">
      <c r="A120" t="s">
        <v>1822</v>
      </c>
      <c r="B120" t="s">
        <v>3821</v>
      </c>
      <c r="C120" t="s">
        <v>3060</v>
      </c>
      <c r="D120" t="s">
        <v>2307</v>
      </c>
      <c r="E120">
        <v>98236</v>
      </c>
      <c r="F120" t="s">
        <v>1587</v>
      </c>
      <c r="G120" t="s">
        <v>1989</v>
      </c>
      <c r="H120" t="s">
        <v>5341</v>
      </c>
      <c r="I120">
        <v>47.979643000000003</v>
      </c>
      <c r="J120">
        <v>-122.367498</v>
      </c>
      <c r="K120" t="s">
        <v>3936</v>
      </c>
      <c r="L120" t="s">
        <v>3946</v>
      </c>
      <c r="M120" t="s">
        <v>3949</v>
      </c>
      <c r="N120" t="s">
        <v>3956</v>
      </c>
      <c r="P120" t="s">
        <v>3821</v>
      </c>
    </row>
    <row r="121" spans="1:16" x14ac:dyDescent="0.2">
      <c r="A121" t="s">
        <v>1824</v>
      </c>
      <c r="B121" t="s">
        <v>3823</v>
      </c>
      <c r="C121" t="s">
        <v>2900</v>
      </c>
      <c r="D121" t="s">
        <v>2307</v>
      </c>
      <c r="E121">
        <v>98201</v>
      </c>
      <c r="F121" t="s">
        <v>1600</v>
      </c>
      <c r="G121" t="s">
        <v>1987</v>
      </c>
      <c r="H121" t="s">
        <v>3994</v>
      </c>
      <c r="I121">
        <v>47.976882000000003</v>
      </c>
      <c r="J121">
        <v>-122.193502</v>
      </c>
      <c r="K121" t="s">
        <v>3936</v>
      </c>
      <c r="L121" t="s">
        <v>3946</v>
      </c>
      <c r="M121" t="s">
        <v>3949</v>
      </c>
      <c r="N121" t="s">
        <v>3956</v>
      </c>
      <c r="P121" t="s">
        <v>3823</v>
      </c>
    </row>
    <row r="122" spans="1:16" x14ac:dyDescent="0.2">
      <c r="A122" t="s">
        <v>1852</v>
      </c>
      <c r="B122" t="s">
        <v>3863</v>
      </c>
      <c r="C122" t="s">
        <v>3201</v>
      </c>
      <c r="D122" t="s">
        <v>2307</v>
      </c>
      <c r="E122">
        <v>98270</v>
      </c>
      <c r="F122" t="s">
        <v>1583</v>
      </c>
      <c r="G122" t="s">
        <v>1980</v>
      </c>
      <c r="H122" t="s">
        <v>5796</v>
      </c>
      <c r="I122">
        <v>48.061987000000002</v>
      </c>
      <c r="J122">
        <v>-122.176716</v>
      </c>
      <c r="K122" t="s">
        <v>3936</v>
      </c>
      <c r="L122" t="s">
        <v>3946</v>
      </c>
      <c r="M122" t="s">
        <v>3949</v>
      </c>
      <c r="N122" t="s">
        <v>3956</v>
      </c>
      <c r="P122" t="s">
        <v>5664</v>
      </c>
    </row>
    <row r="123" spans="1:16" x14ac:dyDescent="0.2">
      <c r="A123" t="s">
        <v>1915</v>
      </c>
      <c r="B123" t="s">
        <v>3469</v>
      </c>
      <c r="C123" t="s">
        <v>66</v>
      </c>
      <c r="D123" t="s">
        <v>2307</v>
      </c>
      <c r="E123">
        <v>98144</v>
      </c>
      <c r="F123" t="s">
        <v>1577</v>
      </c>
      <c r="G123" t="s">
        <v>1981</v>
      </c>
      <c r="H123" t="s">
        <v>3965</v>
      </c>
      <c r="I123">
        <v>47.59854</v>
      </c>
      <c r="J123">
        <v>-122.315207</v>
      </c>
      <c r="K123" t="s">
        <v>3936</v>
      </c>
      <c r="L123" t="s">
        <v>3946</v>
      </c>
      <c r="M123" t="s">
        <v>3949</v>
      </c>
      <c r="N123" t="s">
        <v>3958</v>
      </c>
      <c r="P123" t="s">
        <v>3469</v>
      </c>
    </row>
    <row r="124" spans="1:16" x14ac:dyDescent="0.2">
      <c r="A124" t="s">
        <v>1637</v>
      </c>
      <c r="B124" t="s">
        <v>5031</v>
      </c>
      <c r="C124" t="s">
        <v>66</v>
      </c>
      <c r="D124" t="s">
        <v>2307</v>
      </c>
      <c r="E124">
        <v>98103</v>
      </c>
      <c r="F124" t="s">
        <v>1587</v>
      </c>
      <c r="G124" t="s">
        <v>5032</v>
      </c>
      <c r="H124" t="s">
        <v>5033</v>
      </c>
      <c r="I124">
        <v>47.705182000000001</v>
      </c>
      <c r="J124">
        <v>-122.35090099999999</v>
      </c>
      <c r="K124" t="s">
        <v>3936</v>
      </c>
      <c r="L124" t="s">
        <v>3946</v>
      </c>
      <c r="M124" t="s">
        <v>3949</v>
      </c>
      <c r="N124" t="s">
        <v>3958</v>
      </c>
      <c r="P124" t="s">
        <v>5031</v>
      </c>
    </row>
    <row r="125" spans="1:16" x14ac:dyDescent="0.2">
      <c r="A125" t="s">
        <v>2100</v>
      </c>
      <c r="B125" t="s">
        <v>2473</v>
      </c>
      <c r="C125" t="s">
        <v>66</v>
      </c>
      <c r="D125" t="s">
        <v>2307</v>
      </c>
      <c r="E125">
        <v>98116</v>
      </c>
      <c r="F125" t="s">
        <v>2050</v>
      </c>
      <c r="G125" t="s">
        <v>1981</v>
      </c>
      <c r="H125" t="s">
        <v>5035</v>
      </c>
      <c r="I125">
        <v>47.560254</v>
      </c>
      <c r="J125">
        <v>-122.386628</v>
      </c>
      <c r="K125" t="s">
        <v>3936</v>
      </c>
      <c r="L125" t="s">
        <v>3946</v>
      </c>
      <c r="M125" t="s">
        <v>3949</v>
      </c>
      <c r="N125" t="s">
        <v>3958</v>
      </c>
      <c r="P125" t="s">
        <v>2473</v>
      </c>
    </row>
    <row r="126" spans="1:16" x14ac:dyDescent="0.2">
      <c r="A126" t="s">
        <v>1648</v>
      </c>
      <c r="B126" t="s">
        <v>3593</v>
      </c>
      <c r="C126" t="s">
        <v>66</v>
      </c>
      <c r="D126" t="s">
        <v>2307</v>
      </c>
      <c r="E126">
        <v>98108</v>
      </c>
      <c r="F126" t="s">
        <v>1583</v>
      </c>
      <c r="G126" t="s">
        <v>1980</v>
      </c>
      <c r="H126" t="s">
        <v>5325</v>
      </c>
      <c r="I126">
        <v>47.548450000000003</v>
      </c>
      <c r="J126">
        <v>-122.32122200000001</v>
      </c>
      <c r="K126" t="s">
        <v>3936</v>
      </c>
      <c r="L126" t="s">
        <v>3946</v>
      </c>
      <c r="M126" t="s">
        <v>3949</v>
      </c>
      <c r="N126" t="s">
        <v>3958</v>
      </c>
      <c r="P126" t="s">
        <v>5665</v>
      </c>
    </row>
    <row r="127" spans="1:16" x14ac:dyDescent="0.2">
      <c r="A127" t="s">
        <v>2168</v>
      </c>
      <c r="B127" t="s">
        <v>2718</v>
      </c>
      <c r="C127" t="s">
        <v>2717</v>
      </c>
      <c r="D127" t="s">
        <v>2307</v>
      </c>
      <c r="E127">
        <v>98036</v>
      </c>
      <c r="F127" t="s">
        <v>1716</v>
      </c>
      <c r="G127" t="s">
        <v>2005</v>
      </c>
      <c r="H127" t="s">
        <v>3981</v>
      </c>
      <c r="I127">
        <v>47.809697</v>
      </c>
      <c r="J127">
        <v>-122.32426700000001</v>
      </c>
      <c r="K127" t="s">
        <v>3936</v>
      </c>
      <c r="L127" t="s">
        <v>3946</v>
      </c>
      <c r="M127" t="s">
        <v>3949</v>
      </c>
      <c r="N127" t="s">
        <v>3958</v>
      </c>
      <c r="P127" t="s">
        <v>2718</v>
      </c>
    </row>
    <row r="128" spans="1:16" x14ac:dyDescent="0.2">
      <c r="A128" t="s">
        <v>1779</v>
      </c>
      <c r="B128" t="s">
        <v>3758</v>
      </c>
      <c r="C128" t="s">
        <v>2900</v>
      </c>
      <c r="D128" t="s">
        <v>2307</v>
      </c>
      <c r="E128">
        <v>98204</v>
      </c>
      <c r="F128" t="s">
        <v>1573</v>
      </c>
      <c r="G128" t="s">
        <v>5334</v>
      </c>
      <c r="H128" t="s">
        <v>5335</v>
      </c>
      <c r="I128">
        <v>47.882057000000003</v>
      </c>
      <c r="J128">
        <v>-122.242227</v>
      </c>
      <c r="K128" t="s">
        <v>3936</v>
      </c>
      <c r="L128" t="s">
        <v>3946</v>
      </c>
      <c r="M128" t="s">
        <v>3949</v>
      </c>
      <c r="N128" t="s">
        <v>3958</v>
      </c>
      <c r="P128" t="s">
        <v>3758</v>
      </c>
    </row>
    <row r="129" spans="1:16" x14ac:dyDescent="0.2">
      <c r="A129" t="s">
        <v>1783</v>
      </c>
      <c r="B129" t="s">
        <v>3762</v>
      </c>
      <c r="C129" t="s">
        <v>2861</v>
      </c>
      <c r="D129" t="s">
        <v>2307</v>
      </c>
      <c r="E129">
        <v>98012</v>
      </c>
      <c r="F129" t="s">
        <v>1591</v>
      </c>
      <c r="G129" t="s">
        <v>1969</v>
      </c>
      <c r="H129" t="s">
        <v>5336</v>
      </c>
      <c r="I129">
        <v>47.878037999999997</v>
      </c>
      <c r="J129">
        <v>-122.210612</v>
      </c>
      <c r="K129" t="s">
        <v>3936</v>
      </c>
      <c r="L129" t="s">
        <v>3946</v>
      </c>
      <c r="M129" t="s">
        <v>3949</v>
      </c>
      <c r="N129" t="s">
        <v>3958</v>
      </c>
      <c r="P129" t="s">
        <v>5683</v>
      </c>
    </row>
    <row r="130" spans="1:16" x14ac:dyDescent="0.2">
      <c r="A130" t="s">
        <v>2294</v>
      </c>
      <c r="B130" t="s">
        <v>6218</v>
      </c>
      <c r="C130" t="s">
        <v>3364</v>
      </c>
      <c r="D130" t="s">
        <v>2307</v>
      </c>
      <c r="E130">
        <v>98292</v>
      </c>
      <c r="F130" t="s">
        <v>1583</v>
      </c>
      <c r="G130" t="s">
        <v>1980</v>
      </c>
      <c r="H130" t="s">
        <v>5343</v>
      </c>
      <c r="I130">
        <v>48.238574999999997</v>
      </c>
      <c r="J130">
        <v>-122.331639</v>
      </c>
      <c r="K130" t="s">
        <v>3936</v>
      </c>
      <c r="L130" t="s">
        <v>3946</v>
      </c>
      <c r="M130" t="s">
        <v>3949</v>
      </c>
      <c r="N130" t="s">
        <v>3958</v>
      </c>
      <c r="P130" t="s">
        <v>6019</v>
      </c>
    </row>
    <row r="131" spans="1:16" x14ac:dyDescent="0.2">
      <c r="A131" t="s">
        <v>2057</v>
      </c>
      <c r="B131" t="s">
        <v>2400</v>
      </c>
      <c r="C131" t="s">
        <v>66</v>
      </c>
      <c r="D131" t="s">
        <v>2307</v>
      </c>
      <c r="E131">
        <v>98105</v>
      </c>
      <c r="F131" t="s">
        <v>2044</v>
      </c>
      <c r="G131" t="s">
        <v>1990</v>
      </c>
      <c r="H131" t="s">
        <v>5322</v>
      </c>
      <c r="I131">
        <v>47.661752</v>
      </c>
      <c r="J131">
        <v>-122.31290199999999</v>
      </c>
      <c r="K131" t="s">
        <v>3936</v>
      </c>
      <c r="L131" t="s">
        <v>3946</v>
      </c>
      <c r="M131" t="s">
        <v>3949</v>
      </c>
      <c r="N131" t="s">
        <v>3959</v>
      </c>
      <c r="P131" t="s">
        <v>2400</v>
      </c>
    </row>
    <row r="132" spans="1:16" x14ac:dyDescent="0.2">
      <c r="A132" t="s">
        <v>1650</v>
      </c>
      <c r="B132" t="s">
        <v>3595</v>
      </c>
      <c r="C132" t="s">
        <v>66</v>
      </c>
      <c r="D132" t="s">
        <v>2307</v>
      </c>
      <c r="E132">
        <v>98125</v>
      </c>
      <c r="F132" t="s">
        <v>1583</v>
      </c>
      <c r="G132" t="s">
        <v>1980</v>
      </c>
      <c r="H132" t="s">
        <v>5326</v>
      </c>
      <c r="I132">
        <v>47.715001000000001</v>
      </c>
      <c r="J132">
        <v>-122.31240699999999</v>
      </c>
      <c r="K132" t="s">
        <v>3936</v>
      </c>
      <c r="L132" t="s">
        <v>3946</v>
      </c>
      <c r="M132" t="s">
        <v>3949</v>
      </c>
      <c r="N132" t="s">
        <v>3959</v>
      </c>
      <c r="P132" t="s">
        <v>3595</v>
      </c>
    </row>
    <row r="133" spans="1:16" x14ac:dyDescent="0.2">
      <c r="A133" t="s">
        <v>1671</v>
      </c>
      <c r="B133" t="s">
        <v>6215</v>
      </c>
      <c r="C133" t="s">
        <v>66</v>
      </c>
      <c r="D133" t="s">
        <v>2307</v>
      </c>
      <c r="E133">
        <v>98106</v>
      </c>
      <c r="F133" t="s">
        <v>1602</v>
      </c>
      <c r="G133" t="s">
        <v>1995</v>
      </c>
      <c r="H133" t="s">
        <v>3972</v>
      </c>
      <c r="I133">
        <v>47.514924000000001</v>
      </c>
      <c r="J133">
        <v>-122.353765</v>
      </c>
      <c r="K133" t="s">
        <v>3936</v>
      </c>
      <c r="L133" t="s">
        <v>3946</v>
      </c>
      <c r="M133" t="s">
        <v>3949</v>
      </c>
      <c r="N133" t="s">
        <v>3959</v>
      </c>
      <c r="P133" t="s">
        <v>6016</v>
      </c>
    </row>
    <row r="134" spans="1:16" x14ac:dyDescent="0.2">
      <c r="A134" t="s">
        <v>1744</v>
      </c>
      <c r="B134" t="s">
        <v>3705</v>
      </c>
      <c r="C134" t="s">
        <v>2780</v>
      </c>
      <c r="D134" t="s">
        <v>2307</v>
      </c>
      <c r="E134">
        <v>98032</v>
      </c>
      <c r="F134" t="s">
        <v>1575</v>
      </c>
      <c r="G134" t="s">
        <v>1987</v>
      </c>
      <c r="H134" t="s">
        <v>3982</v>
      </c>
      <c r="I134">
        <v>47.441094999999997</v>
      </c>
      <c r="J134">
        <v>-122.24450899999999</v>
      </c>
      <c r="K134" t="s">
        <v>3936</v>
      </c>
      <c r="L134" t="s">
        <v>3946</v>
      </c>
      <c r="M134" t="s">
        <v>3949</v>
      </c>
      <c r="N134" t="s">
        <v>3959</v>
      </c>
      <c r="P134" t="s">
        <v>3705</v>
      </c>
    </row>
    <row r="135" spans="1:16" x14ac:dyDescent="0.2">
      <c r="A135" t="s">
        <v>1745</v>
      </c>
      <c r="B135" t="s">
        <v>3706</v>
      </c>
      <c r="C135" t="s">
        <v>2754</v>
      </c>
      <c r="D135" t="s">
        <v>2307</v>
      </c>
      <c r="E135">
        <v>98310</v>
      </c>
      <c r="F135" t="s">
        <v>1575</v>
      </c>
      <c r="G135" t="s">
        <v>1987</v>
      </c>
      <c r="H135" t="s">
        <v>3983</v>
      </c>
      <c r="I135">
        <v>47.589168999999998</v>
      </c>
      <c r="J135">
        <v>-122.629785</v>
      </c>
      <c r="K135" t="s">
        <v>3936</v>
      </c>
      <c r="L135" t="s">
        <v>3946</v>
      </c>
      <c r="M135" t="s">
        <v>3949</v>
      </c>
      <c r="N135" t="s">
        <v>3959</v>
      </c>
      <c r="P135" t="s">
        <v>3706</v>
      </c>
    </row>
    <row r="136" spans="1:16" x14ac:dyDescent="0.2">
      <c r="A136" t="s">
        <v>1804</v>
      </c>
      <c r="B136" t="s">
        <v>3793</v>
      </c>
      <c r="C136" t="s">
        <v>2930</v>
      </c>
      <c r="D136" t="s">
        <v>2307</v>
      </c>
      <c r="E136">
        <v>98003</v>
      </c>
      <c r="F136" t="s">
        <v>1583</v>
      </c>
      <c r="G136" t="s">
        <v>1980</v>
      </c>
      <c r="H136" t="s">
        <v>3991</v>
      </c>
      <c r="I136">
        <v>47.315252999999998</v>
      </c>
      <c r="J136">
        <v>-122.30809600000001</v>
      </c>
      <c r="K136" t="s">
        <v>3936</v>
      </c>
      <c r="L136" t="s">
        <v>3946</v>
      </c>
      <c r="M136" t="s">
        <v>3949</v>
      </c>
      <c r="N136" t="s">
        <v>3959</v>
      </c>
      <c r="P136" t="s">
        <v>3793</v>
      </c>
    </row>
    <row r="137" spans="1:16" x14ac:dyDescent="0.2">
      <c r="A137" t="s">
        <v>1744</v>
      </c>
      <c r="B137" t="s">
        <v>3878</v>
      </c>
      <c r="C137" t="s">
        <v>3186</v>
      </c>
      <c r="D137" t="s">
        <v>2307</v>
      </c>
      <c r="E137">
        <v>98373</v>
      </c>
      <c r="F137" t="s">
        <v>1575</v>
      </c>
      <c r="G137" t="s">
        <v>1987</v>
      </c>
      <c r="H137" t="s">
        <v>3998</v>
      </c>
      <c r="I137">
        <v>47.151862999999999</v>
      </c>
      <c r="J137">
        <v>-122.292834</v>
      </c>
      <c r="K137" t="s">
        <v>3936</v>
      </c>
      <c r="L137" t="s">
        <v>3946</v>
      </c>
      <c r="M137" t="s">
        <v>3949</v>
      </c>
      <c r="N137" t="s">
        <v>3959</v>
      </c>
      <c r="P137" t="s">
        <v>3878</v>
      </c>
    </row>
    <row r="138" spans="1:16" x14ac:dyDescent="0.2">
      <c r="A138" t="s">
        <v>1863</v>
      </c>
      <c r="B138" t="s">
        <v>3888</v>
      </c>
      <c r="C138" t="s">
        <v>3067</v>
      </c>
      <c r="D138" t="s">
        <v>2307</v>
      </c>
      <c r="E138">
        <v>98444</v>
      </c>
      <c r="F138" t="s">
        <v>1583</v>
      </c>
      <c r="G138" t="s">
        <v>1980</v>
      </c>
      <c r="H138" t="s">
        <v>3999</v>
      </c>
      <c r="I138">
        <v>47.128390000000003</v>
      </c>
      <c r="J138">
        <v>-122.434614</v>
      </c>
      <c r="K138" t="s">
        <v>3936</v>
      </c>
      <c r="L138" t="s">
        <v>3946</v>
      </c>
      <c r="M138" t="s">
        <v>3949</v>
      </c>
      <c r="N138" t="s">
        <v>3959</v>
      </c>
      <c r="P138" t="s">
        <v>3888</v>
      </c>
    </row>
    <row r="139" spans="1:16" x14ac:dyDescent="0.2">
      <c r="A139" t="s">
        <v>1966</v>
      </c>
      <c r="B139" t="s">
        <v>6219</v>
      </c>
      <c r="C139" t="s">
        <v>3383</v>
      </c>
      <c r="D139" t="s">
        <v>2307</v>
      </c>
      <c r="E139">
        <v>98516</v>
      </c>
      <c r="F139" t="s">
        <v>1583</v>
      </c>
      <c r="G139" t="s">
        <v>1980</v>
      </c>
      <c r="H139" t="s">
        <v>4001</v>
      </c>
      <c r="I139">
        <v>47.061703999999999</v>
      </c>
      <c r="J139">
        <v>-122.740442</v>
      </c>
      <c r="K139" t="s">
        <v>3936</v>
      </c>
      <c r="L139" t="s">
        <v>3946</v>
      </c>
      <c r="M139" t="s">
        <v>3949</v>
      </c>
      <c r="N139" t="s">
        <v>3959</v>
      </c>
      <c r="P139" t="s">
        <v>6020</v>
      </c>
    </row>
    <row r="140" spans="1:16" x14ac:dyDescent="0.2">
      <c r="A140" t="s">
        <v>1579</v>
      </c>
      <c r="B140" t="s">
        <v>3533</v>
      </c>
      <c r="C140" t="s">
        <v>66</v>
      </c>
      <c r="D140" t="s">
        <v>2307</v>
      </c>
      <c r="E140">
        <v>98102</v>
      </c>
      <c r="F140" t="s">
        <v>1575</v>
      </c>
      <c r="G140" t="s">
        <v>1971</v>
      </c>
      <c r="H140" t="s">
        <v>5029</v>
      </c>
      <c r="I140">
        <v>47.620100999999998</v>
      </c>
      <c r="J140">
        <v>-122.321034</v>
      </c>
      <c r="K140" t="s">
        <v>3936</v>
      </c>
      <c r="L140" t="s">
        <v>3946</v>
      </c>
      <c r="M140" t="s">
        <v>3949</v>
      </c>
      <c r="N140" t="s">
        <v>3960</v>
      </c>
      <c r="P140" t="s">
        <v>3533</v>
      </c>
    </row>
    <row r="141" spans="1:16" x14ac:dyDescent="0.2">
      <c r="A141" t="s">
        <v>1614</v>
      </c>
      <c r="B141" t="s">
        <v>3561</v>
      </c>
      <c r="C141" t="s">
        <v>66</v>
      </c>
      <c r="D141" t="s">
        <v>2307</v>
      </c>
      <c r="E141">
        <v>98115</v>
      </c>
      <c r="F141" t="s">
        <v>1604</v>
      </c>
      <c r="G141" t="s">
        <v>5032</v>
      </c>
      <c r="H141" t="s">
        <v>5323</v>
      </c>
      <c r="I141">
        <v>47.675277999999999</v>
      </c>
      <c r="J141">
        <v>-122.325605</v>
      </c>
      <c r="K141" t="s">
        <v>3936</v>
      </c>
      <c r="L141" t="s">
        <v>3946</v>
      </c>
      <c r="M141" t="s">
        <v>3949</v>
      </c>
      <c r="N141" t="s">
        <v>3960</v>
      </c>
      <c r="P141" t="s">
        <v>3561</v>
      </c>
    </row>
    <row r="142" spans="1:16" x14ac:dyDescent="0.2">
      <c r="A142" t="s">
        <v>1616</v>
      </c>
      <c r="B142" t="s">
        <v>3563</v>
      </c>
      <c r="C142" t="s">
        <v>66</v>
      </c>
      <c r="D142" t="s">
        <v>2307</v>
      </c>
      <c r="E142">
        <v>98115</v>
      </c>
      <c r="F142" t="s">
        <v>1575</v>
      </c>
      <c r="G142" t="s">
        <v>2002</v>
      </c>
      <c r="H142" t="s">
        <v>5030</v>
      </c>
      <c r="I142">
        <v>47.675921000000002</v>
      </c>
      <c r="J142">
        <v>-122.31925200000001</v>
      </c>
      <c r="K142" t="s">
        <v>3936</v>
      </c>
      <c r="L142" t="s">
        <v>3946</v>
      </c>
      <c r="M142" t="s">
        <v>3949</v>
      </c>
      <c r="N142" t="s">
        <v>3960</v>
      </c>
      <c r="P142" t="s">
        <v>3563</v>
      </c>
    </row>
    <row r="143" spans="1:16" x14ac:dyDescent="0.2">
      <c r="A143" t="s">
        <v>1631</v>
      </c>
      <c r="B143" t="s">
        <v>3578</v>
      </c>
      <c r="C143" t="s">
        <v>66</v>
      </c>
      <c r="D143" t="s">
        <v>2307</v>
      </c>
      <c r="E143">
        <v>98117</v>
      </c>
      <c r="F143" t="s">
        <v>1575</v>
      </c>
      <c r="G143" t="s">
        <v>1981</v>
      </c>
      <c r="H143" t="s">
        <v>3967</v>
      </c>
      <c r="I143">
        <v>47.688867999999999</v>
      </c>
      <c r="J143">
        <v>-122.37688199999999</v>
      </c>
      <c r="K143" t="s">
        <v>3936</v>
      </c>
      <c r="L143" t="s">
        <v>3946</v>
      </c>
      <c r="M143" t="s">
        <v>3949</v>
      </c>
      <c r="N143" t="s">
        <v>3960</v>
      </c>
      <c r="P143" t="s">
        <v>5680</v>
      </c>
    </row>
    <row r="144" spans="1:16" x14ac:dyDescent="0.2">
      <c r="A144" t="s">
        <v>1654</v>
      </c>
      <c r="B144" t="s">
        <v>3599</v>
      </c>
      <c r="C144" t="s">
        <v>66</v>
      </c>
      <c r="D144" t="s">
        <v>2307</v>
      </c>
      <c r="E144">
        <v>98125</v>
      </c>
      <c r="F144" t="s">
        <v>1575</v>
      </c>
      <c r="G144" t="s">
        <v>1987</v>
      </c>
      <c r="H144" t="s">
        <v>3970</v>
      </c>
      <c r="I144">
        <v>47.719442000000001</v>
      </c>
      <c r="J144">
        <v>-122.294839</v>
      </c>
      <c r="K144" t="s">
        <v>3936</v>
      </c>
      <c r="L144" t="s">
        <v>3946</v>
      </c>
      <c r="M144" t="s">
        <v>3949</v>
      </c>
      <c r="N144" t="s">
        <v>3960</v>
      </c>
      <c r="P144" t="s">
        <v>3599</v>
      </c>
    </row>
    <row r="145" spans="1:16" x14ac:dyDescent="0.2">
      <c r="A145" t="s">
        <v>1656</v>
      </c>
      <c r="B145" t="s">
        <v>3602</v>
      </c>
      <c r="C145" t="s">
        <v>66</v>
      </c>
      <c r="D145" t="s">
        <v>2307</v>
      </c>
      <c r="E145">
        <v>98118</v>
      </c>
      <c r="F145" t="s">
        <v>1575</v>
      </c>
      <c r="G145" t="s">
        <v>1973</v>
      </c>
      <c r="H145" t="s">
        <v>5327</v>
      </c>
      <c r="I145">
        <v>47.54222</v>
      </c>
      <c r="J145">
        <v>-122.28405600000001</v>
      </c>
      <c r="K145" t="s">
        <v>3936</v>
      </c>
      <c r="L145" t="s">
        <v>3946</v>
      </c>
      <c r="M145" t="s">
        <v>3949</v>
      </c>
      <c r="N145" t="s">
        <v>3960</v>
      </c>
      <c r="P145" t="s">
        <v>3602</v>
      </c>
    </row>
    <row r="146" spans="1:16" x14ac:dyDescent="0.2">
      <c r="A146" t="s">
        <v>1659</v>
      </c>
      <c r="B146" t="s">
        <v>3604</v>
      </c>
      <c r="C146" t="s">
        <v>2506</v>
      </c>
      <c r="D146" t="s">
        <v>2307</v>
      </c>
      <c r="E146">
        <v>98033</v>
      </c>
      <c r="F146" t="s">
        <v>1575</v>
      </c>
      <c r="G146" t="s">
        <v>1987</v>
      </c>
      <c r="H146" t="s">
        <v>3971</v>
      </c>
      <c r="I146">
        <v>47.676411000000002</v>
      </c>
      <c r="J146">
        <v>-122.207356</v>
      </c>
      <c r="K146" t="s">
        <v>3936</v>
      </c>
      <c r="L146" t="s">
        <v>3946</v>
      </c>
      <c r="M146" t="s">
        <v>3949</v>
      </c>
      <c r="N146" t="s">
        <v>3960</v>
      </c>
      <c r="P146" t="s">
        <v>3604</v>
      </c>
    </row>
    <row r="147" spans="1:16" x14ac:dyDescent="0.2">
      <c r="A147" t="s">
        <v>1683</v>
      </c>
      <c r="B147" t="s">
        <v>3491</v>
      </c>
      <c r="C147" t="s">
        <v>386</v>
      </c>
      <c r="D147" t="s">
        <v>2307</v>
      </c>
      <c r="E147">
        <v>98133</v>
      </c>
      <c r="F147" t="s">
        <v>1577</v>
      </c>
      <c r="G147" t="s">
        <v>1973</v>
      </c>
      <c r="H147" t="s">
        <v>4077</v>
      </c>
      <c r="I147">
        <v>47.761727999999998</v>
      </c>
      <c r="J147">
        <v>-122.34602099999999</v>
      </c>
      <c r="K147" t="s">
        <v>3936</v>
      </c>
      <c r="L147" t="s">
        <v>3946</v>
      </c>
      <c r="M147" t="s">
        <v>3949</v>
      </c>
      <c r="N147" t="s">
        <v>3960</v>
      </c>
      <c r="P147" t="s">
        <v>3491</v>
      </c>
    </row>
    <row r="148" spans="1:16" x14ac:dyDescent="0.2">
      <c r="A148" t="s">
        <v>1698</v>
      </c>
      <c r="B148" t="s">
        <v>3495</v>
      </c>
      <c r="C148" t="s">
        <v>2586</v>
      </c>
      <c r="D148" t="s">
        <v>2307</v>
      </c>
      <c r="E148">
        <v>98059</v>
      </c>
      <c r="F148" t="s">
        <v>1591</v>
      </c>
      <c r="G148" t="s">
        <v>1969</v>
      </c>
      <c r="H148" t="s">
        <v>4020</v>
      </c>
      <c r="I148">
        <v>47.672727999999999</v>
      </c>
      <c r="J148">
        <v>-122.121144</v>
      </c>
      <c r="K148" t="s">
        <v>3936</v>
      </c>
      <c r="L148" t="s">
        <v>3946</v>
      </c>
      <c r="M148" t="s">
        <v>3949</v>
      </c>
      <c r="N148" t="s">
        <v>3960</v>
      </c>
      <c r="P148" t="s">
        <v>5666</v>
      </c>
    </row>
    <row r="149" spans="1:16" x14ac:dyDescent="0.2">
      <c r="A149" t="s">
        <v>1718</v>
      </c>
      <c r="B149" t="s">
        <v>3669</v>
      </c>
      <c r="C149" t="s">
        <v>2597</v>
      </c>
      <c r="D149" t="s">
        <v>2307</v>
      </c>
      <c r="E149">
        <v>98057</v>
      </c>
      <c r="F149" t="s">
        <v>1575</v>
      </c>
      <c r="G149" t="s">
        <v>1973</v>
      </c>
      <c r="H149" t="s">
        <v>5330</v>
      </c>
      <c r="I149">
        <v>47.483029000000002</v>
      </c>
      <c r="J149">
        <v>-122.217111</v>
      </c>
      <c r="K149" t="s">
        <v>3936</v>
      </c>
      <c r="L149" t="s">
        <v>3946</v>
      </c>
      <c r="M149" t="s">
        <v>3949</v>
      </c>
      <c r="N149" t="s">
        <v>3960</v>
      </c>
      <c r="P149" t="s">
        <v>3669</v>
      </c>
    </row>
    <row r="150" spans="1:16" x14ac:dyDescent="0.2">
      <c r="A150" t="s">
        <v>1720</v>
      </c>
      <c r="B150" t="s">
        <v>3671</v>
      </c>
      <c r="C150" t="s">
        <v>2672</v>
      </c>
      <c r="D150" t="s">
        <v>2307</v>
      </c>
      <c r="E150">
        <v>98072</v>
      </c>
      <c r="F150" t="s">
        <v>1604</v>
      </c>
      <c r="G150" t="s">
        <v>1987</v>
      </c>
      <c r="H150" t="s">
        <v>5331</v>
      </c>
      <c r="I150">
        <v>47.755023999999999</v>
      </c>
      <c r="J150">
        <v>-122.163269</v>
      </c>
      <c r="K150" t="s">
        <v>3936</v>
      </c>
      <c r="L150" t="s">
        <v>3946</v>
      </c>
      <c r="M150" t="s">
        <v>3949</v>
      </c>
      <c r="N150" t="s">
        <v>3960</v>
      </c>
      <c r="P150" t="s">
        <v>5667</v>
      </c>
    </row>
    <row r="151" spans="1:16" x14ac:dyDescent="0.2">
      <c r="A151" t="s">
        <v>1727</v>
      </c>
      <c r="B151" t="s">
        <v>3680</v>
      </c>
      <c r="C151" t="s">
        <v>2672</v>
      </c>
      <c r="D151" t="s">
        <v>2307</v>
      </c>
      <c r="E151">
        <v>98072</v>
      </c>
      <c r="F151" t="s">
        <v>1575</v>
      </c>
      <c r="G151" t="s">
        <v>1984</v>
      </c>
      <c r="H151" t="s">
        <v>5332</v>
      </c>
      <c r="I151">
        <v>47.755313000000001</v>
      </c>
      <c r="J151">
        <v>-122.152581</v>
      </c>
      <c r="K151" t="s">
        <v>3936</v>
      </c>
      <c r="L151" t="s">
        <v>3946</v>
      </c>
      <c r="M151" t="s">
        <v>3949</v>
      </c>
      <c r="N151" t="s">
        <v>3960</v>
      </c>
      <c r="P151" t="s">
        <v>5681</v>
      </c>
    </row>
    <row r="152" spans="1:16" x14ac:dyDescent="0.2">
      <c r="A152" t="s">
        <v>1948</v>
      </c>
      <c r="B152" t="s">
        <v>3510</v>
      </c>
      <c r="C152" t="s">
        <v>2830</v>
      </c>
      <c r="D152" t="s">
        <v>2307</v>
      </c>
      <c r="E152">
        <v>98198</v>
      </c>
      <c r="F152" t="s">
        <v>1575</v>
      </c>
      <c r="G152" t="s">
        <v>1973</v>
      </c>
      <c r="H152" t="s">
        <v>5041</v>
      </c>
      <c r="I152">
        <v>47.408079999999998</v>
      </c>
      <c r="J152">
        <v>-122.324714</v>
      </c>
      <c r="K152" t="s">
        <v>3936</v>
      </c>
      <c r="L152" t="s">
        <v>3946</v>
      </c>
      <c r="M152" t="s">
        <v>3949</v>
      </c>
      <c r="N152" t="s">
        <v>3960</v>
      </c>
      <c r="P152" t="s">
        <v>3510</v>
      </c>
    </row>
    <row r="153" spans="1:16" x14ac:dyDescent="0.2">
      <c r="A153" t="s">
        <v>1683</v>
      </c>
      <c r="B153" t="s">
        <v>3512</v>
      </c>
      <c r="C153" t="s">
        <v>2861</v>
      </c>
      <c r="D153" t="s">
        <v>2307</v>
      </c>
      <c r="E153">
        <v>98012</v>
      </c>
      <c r="F153" t="s">
        <v>1577</v>
      </c>
      <c r="G153" t="s">
        <v>1973</v>
      </c>
      <c r="H153" t="s">
        <v>4126</v>
      </c>
      <c r="I153">
        <v>47.849381999999999</v>
      </c>
      <c r="J153">
        <v>-122.21875300000001</v>
      </c>
      <c r="K153" t="s">
        <v>3936</v>
      </c>
      <c r="L153" t="s">
        <v>3946</v>
      </c>
      <c r="M153" t="s">
        <v>3949</v>
      </c>
      <c r="N153" t="s">
        <v>3960</v>
      </c>
      <c r="P153" t="s">
        <v>5682</v>
      </c>
    </row>
    <row r="154" spans="1:16" x14ac:dyDescent="0.2">
      <c r="A154" t="s">
        <v>1954</v>
      </c>
      <c r="B154" t="s">
        <v>5043</v>
      </c>
      <c r="C154" t="s">
        <v>2900</v>
      </c>
      <c r="D154" t="s">
        <v>2307</v>
      </c>
      <c r="E154">
        <v>98208</v>
      </c>
      <c r="F154" t="s">
        <v>1575</v>
      </c>
      <c r="G154" t="s">
        <v>1968</v>
      </c>
      <c r="H154" t="s">
        <v>3989</v>
      </c>
      <c r="I154">
        <v>47.927483000000002</v>
      </c>
      <c r="J154">
        <v>-122.22277699999999</v>
      </c>
      <c r="K154" t="s">
        <v>3936</v>
      </c>
      <c r="L154" t="s">
        <v>3946</v>
      </c>
      <c r="M154" t="s">
        <v>3949</v>
      </c>
      <c r="N154" t="s">
        <v>3960</v>
      </c>
      <c r="P154" t="s">
        <v>5043</v>
      </c>
    </row>
    <row r="155" spans="1:16" x14ac:dyDescent="0.2">
      <c r="A155" t="s">
        <v>1683</v>
      </c>
      <c r="B155" t="s">
        <v>3522</v>
      </c>
      <c r="C155" t="s">
        <v>2930</v>
      </c>
      <c r="D155" t="s">
        <v>2307</v>
      </c>
      <c r="E155">
        <v>98003</v>
      </c>
      <c r="F155" t="s">
        <v>1604</v>
      </c>
      <c r="G155" t="s">
        <v>1971</v>
      </c>
      <c r="H155" t="s">
        <v>3993</v>
      </c>
      <c r="I155">
        <v>47.289017999999999</v>
      </c>
      <c r="J155">
        <v>-122.313638</v>
      </c>
      <c r="K155" t="s">
        <v>3936</v>
      </c>
      <c r="L155" t="s">
        <v>3946</v>
      </c>
      <c r="M155" t="s">
        <v>3949</v>
      </c>
      <c r="N155" t="s">
        <v>3960</v>
      </c>
      <c r="P155" t="s">
        <v>3522</v>
      </c>
    </row>
    <row r="156" spans="1:16" x14ac:dyDescent="0.2">
      <c r="A156" t="s">
        <v>1835</v>
      </c>
      <c r="B156" t="s">
        <v>3839</v>
      </c>
      <c r="C156" t="s">
        <v>3149</v>
      </c>
      <c r="D156" t="s">
        <v>2307</v>
      </c>
      <c r="E156">
        <v>98258</v>
      </c>
      <c r="F156" t="s">
        <v>1591</v>
      </c>
      <c r="G156" t="s">
        <v>1969</v>
      </c>
      <c r="H156" t="s">
        <v>5044</v>
      </c>
      <c r="I156">
        <v>48.001097999999999</v>
      </c>
      <c r="J156">
        <v>-122.10837100000001</v>
      </c>
      <c r="K156" t="s">
        <v>3936</v>
      </c>
      <c r="L156" t="s">
        <v>3946</v>
      </c>
      <c r="M156" t="s">
        <v>3949</v>
      </c>
      <c r="N156" t="s">
        <v>3960</v>
      </c>
      <c r="P156" t="s">
        <v>3839</v>
      </c>
    </row>
    <row r="157" spans="1:16" x14ac:dyDescent="0.2">
      <c r="A157" t="s">
        <v>1856</v>
      </c>
      <c r="B157" t="s">
        <v>3868</v>
      </c>
      <c r="C157" t="s">
        <v>3201</v>
      </c>
      <c r="D157" t="s">
        <v>2307</v>
      </c>
      <c r="E157">
        <v>98270</v>
      </c>
      <c r="F157" t="s">
        <v>1587</v>
      </c>
      <c r="G157" t="s">
        <v>1987</v>
      </c>
      <c r="H157" t="s">
        <v>3997</v>
      </c>
      <c r="I157">
        <v>48.082132000000001</v>
      </c>
      <c r="J157">
        <v>-122.173562</v>
      </c>
      <c r="K157" t="s">
        <v>3936</v>
      </c>
      <c r="L157" t="s">
        <v>3946</v>
      </c>
      <c r="M157" t="s">
        <v>3949</v>
      </c>
      <c r="N157" t="s">
        <v>3960</v>
      </c>
      <c r="P157" t="s">
        <v>3868</v>
      </c>
    </row>
    <row r="158" spans="1:16" x14ac:dyDescent="0.2">
      <c r="A158" t="s">
        <v>1866</v>
      </c>
      <c r="B158" t="s">
        <v>3895</v>
      </c>
      <c r="C158" t="s">
        <v>3201</v>
      </c>
      <c r="D158" t="s">
        <v>2307</v>
      </c>
      <c r="E158">
        <v>98271</v>
      </c>
      <c r="F158" t="s">
        <v>1583</v>
      </c>
      <c r="G158" t="s">
        <v>1980</v>
      </c>
      <c r="H158" t="s">
        <v>5342</v>
      </c>
      <c r="I158">
        <v>48.150460000000002</v>
      </c>
      <c r="J158">
        <v>-122.18943</v>
      </c>
      <c r="K158" t="s">
        <v>3936</v>
      </c>
      <c r="L158" t="s">
        <v>3946</v>
      </c>
      <c r="M158" t="s">
        <v>3949</v>
      </c>
      <c r="N158" t="s">
        <v>3960</v>
      </c>
      <c r="P158" t="s">
        <v>3895</v>
      </c>
    </row>
    <row r="159" spans="1:16" x14ac:dyDescent="0.2">
      <c r="A159" t="s">
        <v>1965</v>
      </c>
      <c r="B159" t="s">
        <v>3530</v>
      </c>
      <c r="C159" t="s">
        <v>3361</v>
      </c>
      <c r="D159" t="s">
        <v>2307</v>
      </c>
      <c r="E159">
        <v>98338</v>
      </c>
      <c r="F159" t="s">
        <v>1583</v>
      </c>
      <c r="G159" t="s">
        <v>1980</v>
      </c>
      <c r="H159" t="s">
        <v>4000</v>
      </c>
      <c r="I159">
        <v>47.077461999999997</v>
      </c>
      <c r="J159">
        <v>-122.293561</v>
      </c>
      <c r="K159" t="s">
        <v>3936</v>
      </c>
      <c r="L159" t="s">
        <v>3946</v>
      </c>
      <c r="M159" t="s">
        <v>3949</v>
      </c>
      <c r="N159" t="s">
        <v>3960</v>
      </c>
      <c r="P159" t="s">
        <v>5685</v>
      </c>
    </row>
    <row r="160" spans="1:16" x14ac:dyDescent="0.2">
      <c r="A160" t="s">
        <v>1890</v>
      </c>
      <c r="B160" t="s">
        <v>3927</v>
      </c>
      <c r="C160" t="s">
        <v>3383</v>
      </c>
      <c r="D160" t="s">
        <v>2307</v>
      </c>
      <c r="E160">
        <v>98501</v>
      </c>
      <c r="F160" t="s">
        <v>1591</v>
      </c>
      <c r="G160" t="s">
        <v>1969</v>
      </c>
      <c r="H160" t="s">
        <v>4003</v>
      </c>
      <c r="I160">
        <v>47.045239000000002</v>
      </c>
      <c r="J160">
        <v>-122.89890699999999</v>
      </c>
      <c r="K160" t="s">
        <v>3936</v>
      </c>
      <c r="L160" t="s">
        <v>3946</v>
      </c>
      <c r="M160" t="s">
        <v>3949</v>
      </c>
      <c r="N160" t="s">
        <v>3960</v>
      </c>
      <c r="P160" t="s">
        <v>3927</v>
      </c>
    </row>
    <row r="161" spans="1:16" x14ac:dyDescent="0.2">
      <c r="A161" t="s">
        <v>1904</v>
      </c>
      <c r="B161" t="s">
        <v>3459</v>
      </c>
      <c r="C161" t="s">
        <v>66</v>
      </c>
      <c r="D161" t="s">
        <v>2307</v>
      </c>
      <c r="E161">
        <v>98101</v>
      </c>
      <c r="F161" t="s">
        <v>1604</v>
      </c>
      <c r="G161" t="s">
        <v>1969</v>
      </c>
      <c r="H161" t="s">
        <v>4009</v>
      </c>
      <c r="I161">
        <v>47.613157000000001</v>
      </c>
      <c r="J161">
        <v>-122.33789299999999</v>
      </c>
      <c r="K161" t="s">
        <v>3936</v>
      </c>
      <c r="L161" t="s">
        <v>3946</v>
      </c>
      <c r="M161" t="s">
        <v>4888</v>
      </c>
      <c r="N161" t="s">
        <v>4889</v>
      </c>
      <c r="P161" t="s">
        <v>3459</v>
      </c>
    </row>
    <row r="162" spans="1:16" x14ac:dyDescent="0.2">
      <c r="A162" t="s">
        <v>1907</v>
      </c>
      <c r="B162" t="s">
        <v>3462</v>
      </c>
      <c r="C162" t="s">
        <v>66</v>
      </c>
      <c r="D162" t="s">
        <v>2307</v>
      </c>
      <c r="E162">
        <v>98101</v>
      </c>
      <c r="F162" t="s">
        <v>1604</v>
      </c>
      <c r="G162" t="s">
        <v>1976</v>
      </c>
      <c r="H162" t="s">
        <v>4010</v>
      </c>
      <c r="I162">
        <v>47.608178000000002</v>
      </c>
      <c r="J162">
        <v>-122.334621</v>
      </c>
      <c r="K162" t="s">
        <v>3936</v>
      </c>
      <c r="L162" t="s">
        <v>3946</v>
      </c>
      <c r="M162" t="s">
        <v>4888</v>
      </c>
      <c r="N162" t="s">
        <v>4889</v>
      </c>
      <c r="P162" t="s">
        <v>3462</v>
      </c>
    </row>
    <row r="163" spans="1:16" x14ac:dyDescent="0.2">
      <c r="A163" t="s">
        <v>1593</v>
      </c>
      <c r="B163" t="s">
        <v>3463</v>
      </c>
      <c r="C163" t="s">
        <v>66</v>
      </c>
      <c r="D163" t="s">
        <v>2307</v>
      </c>
      <c r="E163">
        <v>98101</v>
      </c>
      <c r="F163" t="s">
        <v>1577</v>
      </c>
      <c r="G163" t="s">
        <v>1983</v>
      </c>
      <c r="H163" t="s">
        <v>4043</v>
      </c>
      <c r="I163">
        <v>47.605884000000003</v>
      </c>
      <c r="J163">
        <v>-122.340521</v>
      </c>
      <c r="K163" t="s">
        <v>3936</v>
      </c>
      <c r="L163" t="s">
        <v>3946</v>
      </c>
      <c r="M163" t="s">
        <v>4888</v>
      </c>
      <c r="N163" t="s">
        <v>4889</v>
      </c>
      <c r="P163" t="s">
        <v>3463</v>
      </c>
    </row>
    <row r="164" spans="1:16" x14ac:dyDescent="0.2">
      <c r="A164" t="s">
        <v>1595</v>
      </c>
      <c r="B164" t="s">
        <v>3464</v>
      </c>
      <c r="C164" t="s">
        <v>66</v>
      </c>
      <c r="D164" t="s">
        <v>2307</v>
      </c>
      <c r="E164">
        <v>98105</v>
      </c>
      <c r="F164" t="s">
        <v>1573</v>
      </c>
      <c r="G164" t="s">
        <v>1990</v>
      </c>
      <c r="H164" t="s">
        <v>5344</v>
      </c>
      <c r="I164">
        <v>47.653773000000001</v>
      </c>
      <c r="J164">
        <v>-122.324462</v>
      </c>
      <c r="K164" t="s">
        <v>3936</v>
      </c>
      <c r="L164" t="s">
        <v>3946</v>
      </c>
      <c r="M164" t="s">
        <v>4888</v>
      </c>
      <c r="N164" t="s">
        <v>4889</v>
      </c>
      <c r="P164" t="s">
        <v>3464</v>
      </c>
    </row>
    <row r="165" spans="1:16" x14ac:dyDescent="0.2">
      <c r="A165" t="s">
        <v>1910</v>
      </c>
      <c r="B165" t="s">
        <v>3464</v>
      </c>
      <c r="C165" t="s">
        <v>66</v>
      </c>
      <c r="D165" t="s">
        <v>2307</v>
      </c>
      <c r="E165">
        <v>98105</v>
      </c>
      <c r="F165" t="s">
        <v>1573</v>
      </c>
      <c r="G165" t="s">
        <v>1974</v>
      </c>
      <c r="H165" t="s">
        <v>4012</v>
      </c>
      <c r="I165">
        <v>47.653773000000001</v>
      </c>
      <c r="J165">
        <v>-122.324462</v>
      </c>
      <c r="K165" t="s">
        <v>3936</v>
      </c>
      <c r="L165" t="s">
        <v>3946</v>
      </c>
      <c r="M165" t="s">
        <v>4888</v>
      </c>
      <c r="N165" t="s">
        <v>4889</v>
      </c>
      <c r="P165" t="s">
        <v>3464</v>
      </c>
    </row>
    <row r="166" spans="1:16" x14ac:dyDescent="0.2">
      <c r="A166" t="s">
        <v>1595</v>
      </c>
      <c r="B166" t="s">
        <v>3567</v>
      </c>
      <c r="C166" t="s">
        <v>66</v>
      </c>
      <c r="D166" t="s">
        <v>2307</v>
      </c>
      <c r="E166">
        <v>98107</v>
      </c>
      <c r="F166" t="s">
        <v>1573</v>
      </c>
      <c r="G166" t="s">
        <v>1990</v>
      </c>
      <c r="H166" t="s">
        <v>5345</v>
      </c>
      <c r="I166">
        <v>47.67248</v>
      </c>
      <c r="J166">
        <v>-122.376165</v>
      </c>
      <c r="K166" t="s">
        <v>3936</v>
      </c>
      <c r="L166" t="s">
        <v>3946</v>
      </c>
      <c r="M166" t="s">
        <v>4888</v>
      </c>
      <c r="N166" t="s">
        <v>4889</v>
      </c>
      <c r="P166" t="s">
        <v>3567</v>
      </c>
    </row>
    <row r="167" spans="1:16" x14ac:dyDescent="0.2">
      <c r="A167" t="s">
        <v>2082</v>
      </c>
      <c r="B167" t="s">
        <v>2439</v>
      </c>
      <c r="C167" t="s">
        <v>66</v>
      </c>
      <c r="D167" t="s">
        <v>2307</v>
      </c>
      <c r="E167">
        <v>98107</v>
      </c>
      <c r="F167" t="s">
        <v>1716</v>
      </c>
      <c r="G167" t="s">
        <v>1981</v>
      </c>
      <c r="H167" t="s">
        <v>4326</v>
      </c>
      <c r="I167">
        <v>47.667755999999997</v>
      </c>
      <c r="J167">
        <v>-122.39748899999999</v>
      </c>
      <c r="K167" t="s">
        <v>3936</v>
      </c>
      <c r="L167" t="s">
        <v>3946</v>
      </c>
      <c r="M167" t="s">
        <v>4888</v>
      </c>
      <c r="N167" t="s">
        <v>4889</v>
      </c>
      <c r="P167" t="s">
        <v>2439</v>
      </c>
    </row>
    <row r="168" spans="1:16" x14ac:dyDescent="0.2">
      <c r="A168" t="s">
        <v>2095</v>
      </c>
      <c r="B168" t="s">
        <v>2463</v>
      </c>
      <c r="C168" t="s">
        <v>66</v>
      </c>
      <c r="D168" t="s">
        <v>2307</v>
      </c>
      <c r="E168">
        <v>98144</v>
      </c>
      <c r="F168" t="s">
        <v>1583</v>
      </c>
      <c r="G168" t="s">
        <v>1980</v>
      </c>
      <c r="H168" t="s">
        <v>5798</v>
      </c>
      <c r="I168">
        <v>47.569904999999999</v>
      </c>
      <c r="J168">
        <v>-122.290909</v>
      </c>
      <c r="K168" t="s">
        <v>3936</v>
      </c>
      <c r="L168" t="s">
        <v>3946</v>
      </c>
      <c r="M168" t="s">
        <v>4888</v>
      </c>
      <c r="N168" t="s">
        <v>4889</v>
      </c>
      <c r="P168" t="s">
        <v>5668</v>
      </c>
    </row>
    <row r="169" spans="1:16" x14ac:dyDescent="0.2">
      <c r="A169" t="s">
        <v>1597</v>
      </c>
      <c r="B169" t="s">
        <v>3588</v>
      </c>
      <c r="C169" t="s">
        <v>66</v>
      </c>
      <c r="D169" t="s">
        <v>2307</v>
      </c>
      <c r="E169">
        <v>98125</v>
      </c>
      <c r="F169" t="s">
        <v>1573</v>
      </c>
      <c r="G169" t="s">
        <v>1990</v>
      </c>
      <c r="H169" t="s">
        <v>5346</v>
      </c>
      <c r="I169">
        <v>47.708742999999998</v>
      </c>
      <c r="J169">
        <v>-122.3244</v>
      </c>
      <c r="K169" t="s">
        <v>3936</v>
      </c>
      <c r="L169" t="s">
        <v>3946</v>
      </c>
      <c r="M169" t="s">
        <v>4888</v>
      </c>
      <c r="N169" t="s">
        <v>4889</v>
      </c>
      <c r="P169" t="s">
        <v>3588</v>
      </c>
    </row>
    <row r="170" spans="1:16" x14ac:dyDescent="0.2">
      <c r="A170" t="s">
        <v>1597</v>
      </c>
      <c r="B170" t="s">
        <v>3603</v>
      </c>
      <c r="C170" t="s">
        <v>66</v>
      </c>
      <c r="D170" t="s">
        <v>2307</v>
      </c>
      <c r="E170">
        <v>98133</v>
      </c>
      <c r="F170" t="s">
        <v>1573</v>
      </c>
      <c r="G170" t="s">
        <v>1990</v>
      </c>
      <c r="H170" t="s">
        <v>5347</v>
      </c>
      <c r="I170">
        <v>47.726464</v>
      </c>
      <c r="J170">
        <v>-122.344843</v>
      </c>
      <c r="K170" t="s">
        <v>3936</v>
      </c>
      <c r="L170" t="s">
        <v>3946</v>
      </c>
      <c r="M170" t="s">
        <v>4888</v>
      </c>
      <c r="N170" t="s">
        <v>4889</v>
      </c>
      <c r="P170" t="s">
        <v>3603</v>
      </c>
    </row>
    <row r="171" spans="1:16" x14ac:dyDescent="0.2">
      <c r="A171" t="s">
        <v>1932</v>
      </c>
      <c r="B171" t="s">
        <v>3488</v>
      </c>
      <c r="C171" t="s">
        <v>2555</v>
      </c>
      <c r="D171" t="s">
        <v>2307</v>
      </c>
      <c r="E171">
        <v>98110</v>
      </c>
      <c r="F171" t="s">
        <v>1583</v>
      </c>
      <c r="G171" t="s">
        <v>1980</v>
      </c>
      <c r="H171" t="s">
        <v>5348</v>
      </c>
      <c r="I171">
        <v>47.635652999999998</v>
      </c>
      <c r="J171">
        <v>-122.518192</v>
      </c>
      <c r="K171" t="s">
        <v>3936</v>
      </c>
      <c r="L171" t="s">
        <v>3946</v>
      </c>
      <c r="M171" t="s">
        <v>4888</v>
      </c>
      <c r="N171" t="s">
        <v>4889</v>
      </c>
      <c r="P171" t="s">
        <v>3488</v>
      </c>
    </row>
    <row r="172" spans="1:16" x14ac:dyDescent="0.2">
      <c r="A172" t="s">
        <v>1597</v>
      </c>
      <c r="B172" t="s">
        <v>3635</v>
      </c>
      <c r="C172" t="s">
        <v>2502</v>
      </c>
      <c r="D172" t="s">
        <v>2307</v>
      </c>
      <c r="E172">
        <v>98007</v>
      </c>
      <c r="F172" t="s">
        <v>1573</v>
      </c>
      <c r="G172" t="s">
        <v>1990</v>
      </c>
      <c r="H172" t="s">
        <v>5795</v>
      </c>
      <c r="I172">
        <v>47.623421</v>
      </c>
      <c r="J172">
        <v>-122.132492</v>
      </c>
      <c r="K172" t="s">
        <v>3936</v>
      </c>
      <c r="L172" t="s">
        <v>3946</v>
      </c>
      <c r="M172" t="s">
        <v>4888</v>
      </c>
      <c r="N172" t="s">
        <v>4889</v>
      </c>
      <c r="P172" t="s">
        <v>5571</v>
      </c>
    </row>
    <row r="173" spans="1:16" x14ac:dyDescent="0.2">
      <c r="A173" t="s">
        <v>1597</v>
      </c>
      <c r="B173" t="s">
        <v>2650</v>
      </c>
      <c r="C173" t="s">
        <v>2597</v>
      </c>
      <c r="D173" t="s">
        <v>2307</v>
      </c>
      <c r="E173">
        <v>98055</v>
      </c>
      <c r="F173" t="s">
        <v>1573</v>
      </c>
      <c r="G173" t="s">
        <v>1990</v>
      </c>
      <c r="H173" t="s">
        <v>4086</v>
      </c>
      <c r="I173">
        <v>47.503585000000001</v>
      </c>
      <c r="J173">
        <v>-122.199714</v>
      </c>
      <c r="K173" t="s">
        <v>3936</v>
      </c>
      <c r="L173" t="s">
        <v>3946</v>
      </c>
      <c r="M173" t="s">
        <v>4888</v>
      </c>
      <c r="N173" t="s">
        <v>4889</v>
      </c>
      <c r="P173" t="s">
        <v>2650</v>
      </c>
    </row>
    <row r="174" spans="1:16" x14ac:dyDescent="0.2">
      <c r="A174" t="s">
        <v>1597</v>
      </c>
      <c r="B174" t="s">
        <v>3650</v>
      </c>
      <c r="C174" t="s">
        <v>2581</v>
      </c>
      <c r="D174" t="s">
        <v>2307</v>
      </c>
      <c r="E174">
        <v>98166</v>
      </c>
      <c r="F174" t="s">
        <v>1573</v>
      </c>
      <c r="G174" t="s">
        <v>1990</v>
      </c>
      <c r="H174" t="s">
        <v>5025</v>
      </c>
      <c r="I174">
        <v>47.470291000000003</v>
      </c>
      <c r="J174">
        <v>-122.334281</v>
      </c>
      <c r="K174" t="s">
        <v>3936</v>
      </c>
      <c r="L174" t="s">
        <v>3946</v>
      </c>
      <c r="M174" t="s">
        <v>4888</v>
      </c>
      <c r="N174" t="s">
        <v>4889</v>
      </c>
      <c r="P174" t="s">
        <v>3650</v>
      </c>
    </row>
    <row r="175" spans="1:16" x14ac:dyDescent="0.2">
      <c r="A175" t="s">
        <v>1704</v>
      </c>
      <c r="B175" t="s">
        <v>3651</v>
      </c>
      <c r="C175" t="s">
        <v>2581</v>
      </c>
      <c r="D175" t="s">
        <v>2307</v>
      </c>
      <c r="E175">
        <v>98166</v>
      </c>
      <c r="F175" t="s">
        <v>1600</v>
      </c>
      <c r="G175" t="s">
        <v>1998</v>
      </c>
      <c r="H175" t="s">
        <v>5349</v>
      </c>
      <c r="I175">
        <v>47.470342000000002</v>
      </c>
      <c r="J175">
        <v>-122.345888</v>
      </c>
      <c r="K175" t="s">
        <v>3936</v>
      </c>
      <c r="L175" t="s">
        <v>3946</v>
      </c>
      <c r="M175" t="s">
        <v>4888</v>
      </c>
      <c r="N175" t="s">
        <v>4889</v>
      </c>
      <c r="P175" t="s">
        <v>3651</v>
      </c>
    </row>
    <row r="176" spans="1:16" x14ac:dyDescent="0.2">
      <c r="A176" t="s">
        <v>1597</v>
      </c>
      <c r="B176" t="s">
        <v>3653</v>
      </c>
      <c r="C176" t="s">
        <v>2627</v>
      </c>
      <c r="D176" t="s">
        <v>2307</v>
      </c>
      <c r="E176">
        <v>98020</v>
      </c>
      <c r="F176" t="s">
        <v>1573</v>
      </c>
      <c r="G176" t="s">
        <v>1990</v>
      </c>
      <c r="H176" t="s">
        <v>5026</v>
      </c>
      <c r="I176">
        <v>47.790391</v>
      </c>
      <c r="J176">
        <v>-122.365657</v>
      </c>
      <c r="K176" t="s">
        <v>3936</v>
      </c>
      <c r="L176" t="s">
        <v>3946</v>
      </c>
      <c r="M176" t="s">
        <v>4888</v>
      </c>
      <c r="N176" t="s">
        <v>4889</v>
      </c>
      <c r="P176" t="s">
        <v>3653</v>
      </c>
    </row>
    <row r="177" spans="1:16" x14ac:dyDescent="0.2">
      <c r="A177" t="s">
        <v>1595</v>
      </c>
      <c r="B177" t="s">
        <v>3666</v>
      </c>
      <c r="C177" t="s">
        <v>2636</v>
      </c>
      <c r="D177" t="s">
        <v>2307</v>
      </c>
      <c r="E177">
        <v>98188</v>
      </c>
      <c r="F177" t="s">
        <v>1573</v>
      </c>
      <c r="G177" t="s">
        <v>1990</v>
      </c>
      <c r="H177" t="s">
        <v>5027</v>
      </c>
      <c r="I177">
        <v>47.458240000000004</v>
      </c>
      <c r="J177">
        <v>-122.255289</v>
      </c>
      <c r="K177" t="s">
        <v>3936</v>
      </c>
      <c r="L177" t="s">
        <v>3946</v>
      </c>
      <c r="M177" t="s">
        <v>4888</v>
      </c>
      <c r="N177" t="s">
        <v>4889</v>
      </c>
      <c r="P177" t="s">
        <v>3666</v>
      </c>
    </row>
    <row r="178" spans="1:16" x14ac:dyDescent="0.2">
      <c r="A178" t="s">
        <v>1704</v>
      </c>
      <c r="B178" t="s">
        <v>3716</v>
      </c>
      <c r="C178" t="s">
        <v>2597</v>
      </c>
      <c r="D178" t="s">
        <v>2307</v>
      </c>
      <c r="E178">
        <v>98055</v>
      </c>
      <c r="F178" t="s">
        <v>1600</v>
      </c>
      <c r="G178" t="s">
        <v>2004</v>
      </c>
      <c r="H178" t="s">
        <v>5028</v>
      </c>
      <c r="I178">
        <v>47.442836</v>
      </c>
      <c r="J178">
        <v>-122.19674999999999</v>
      </c>
      <c r="K178" t="s">
        <v>3936</v>
      </c>
      <c r="L178" t="s">
        <v>3946</v>
      </c>
      <c r="M178" t="s">
        <v>4888</v>
      </c>
      <c r="N178" t="s">
        <v>4889</v>
      </c>
      <c r="P178" t="s">
        <v>3716</v>
      </c>
    </row>
    <row r="179" spans="1:16" x14ac:dyDescent="0.2">
      <c r="A179" t="s">
        <v>1704</v>
      </c>
      <c r="B179" t="s">
        <v>3737</v>
      </c>
      <c r="C179" t="s">
        <v>2848</v>
      </c>
      <c r="D179" t="s">
        <v>2307</v>
      </c>
      <c r="E179">
        <v>98383</v>
      </c>
      <c r="F179" t="s">
        <v>1600</v>
      </c>
      <c r="G179" t="s">
        <v>1998</v>
      </c>
      <c r="H179" t="s">
        <v>4890</v>
      </c>
      <c r="I179">
        <v>47.660632</v>
      </c>
      <c r="J179">
        <v>-122.685571</v>
      </c>
      <c r="K179" t="s">
        <v>3936</v>
      </c>
      <c r="L179" t="s">
        <v>3946</v>
      </c>
      <c r="M179" t="s">
        <v>4888</v>
      </c>
      <c r="N179" t="s">
        <v>4889</v>
      </c>
      <c r="P179" t="s">
        <v>3737</v>
      </c>
    </row>
    <row r="180" spans="1:16" x14ac:dyDescent="0.2">
      <c r="A180" t="s">
        <v>1595</v>
      </c>
      <c r="B180" t="s">
        <v>3741</v>
      </c>
      <c r="C180" t="s">
        <v>2717</v>
      </c>
      <c r="D180" t="s">
        <v>2307</v>
      </c>
      <c r="E180">
        <v>98036</v>
      </c>
      <c r="F180" t="s">
        <v>1573</v>
      </c>
      <c r="G180" t="s">
        <v>1990</v>
      </c>
      <c r="H180" t="s">
        <v>5313</v>
      </c>
      <c r="I180">
        <v>47.863137999999999</v>
      </c>
      <c r="J180">
        <v>-122.28317699999999</v>
      </c>
      <c r="K180" t="s">
        <v>3936</v>
      </c>
      <c r="L180" t="s">
        <v>3946</v>
      </c>
      <c r="M180" t="s">
        <v>4888</v>
      </c>
      <c r="N180" t="s">
        <v>4889</v>
      </c>
      <c r="P180" t="s">
        <v>3741</v>
      </c>
    </row>
    <row r="181" spans="1:16" x14ac:dyDescent="0.2">
      <c r="A181" t="s">
        <v>1704</v>
      </c>
      <c r="B181" t="s">
        <v>3759</v>
      </c>
      <c r="C181" t="s">
        <v>2900</v>
      </c>
      <c r="D181" t="s">
        <v>2307</v>
      </c>
      <c r="E181">
        <v>98204</v>
      </c>
      <c r="F181" t="s">
        <v>1600</v>
      </c>
      <c r="G181" t="s">
        <v>1998</v>
      </c>
      <c r="H181" t="s">
        <v>5314</v>
      </c>
      <c r="I181">
        <v>47.881529</v>
      </c>
      <c r="J181">
        <v>-122.238608</v>
      </c>
      <c r="K181" t="s">
        <v>3936</v>
      </c>
      <c r="L181" t="s">
        <v>3946</v>
      </c>
      <c r="M181" t="s">
        <v>4888</v>
      </c>
      <c r="N181" t="s">
        <v>4889</v>
      </c>
      <c r="P181" t="s">
        <v>5678</v>
      </c>
    </row>
    <row r="182" spans="1:16" x14ac:dyDescent="0.2">
      <c r="A182" t="s">
        <v>1597</v>
      </c>
      <c r="B182" t="s">
        <v>3768</v>
      </c>
      <c r="C182" t="s">
        <v>2780</v>
      </c>
      <c r="D182" t="s">
        <v>2307</v>
      </c>
      <c r="E182">
        <v>98030</v>
      </c>
      <c r="F182" t="s">
        <v>1573</v>
      </c>
      <c r="G182" t="s">
        <v>1990</v>
      </c>
      <c r="H182" t="s">
        <v>4891</v>
      </c>
      <c r="I182">
        <v>47.374084000000003</v>
      </c>
      <c r="J182">
        <v>-122.202569</v>
      </c>
      <c r="K182" t="s">
        <v>3936</v>
      </c>
      <c r="L182" t="s">
        <v>3946</v>
      </c>
      <c r="M182" t="s">
        <v>4888</v>
      </c>
      <c r="N182" t="s">
        <v>4889</v>
      </c>
      <c r="P182" t="s">
        <v>3768</v>
      </c>
    </row>
    <row r="183" spans="1:16" x14ac:dyDescent="0.2">
      <c r="A183" t="s">
        <v>1597</v>
      </c>
      <c r="B183" t="s">
        <v>3781</v>
      </c>
      <c r="C183" t="s">
        <v>2900</v>
      </c>
      <c r="D183" t="s">
        <v>2307</v>
      </c>
      <c r="E183">
        <v>98208</v>
      </c>
      <c r="F183" t="s">
        <v>1573</v>
      </c>
      <c r="G183" t="s">
        <v>1990</v>
      </c>
      <c r="H183" t="s">
        <v>5021</v>
      </c>
      <c r="I183">
        <v>47.912120000000002</v>
      </c>
      <c r="J183">
        <v>-122.21383</v>
      </c>
      <c r="K183" t="s">
        <v>3936</v>
      </c>
      <c r="L183" t="s">
        <v>3946</v>
      </c>
      <c r="M183" t="s">
        <v>4888</v>
      </c>
      <c r="N183" t="s">
        <v>4889</v>
      </c>
      <c r="P183" t="s">
        <v>5669</v>
      </c>
    </row>
    <row r="184" spans="1:16" x14ac:dyDescent="0.2">
      <c r="A184" t="s">
        <v>1597</v>
      </c>
      <c r="B184" t="s">
        <v>3792</v>
      </c>
      <c r="C184" t="s">
        <v>2930</v>
      </c>
      <c r="D184" t="s">
        <v>2307</v>
      </c>
      <c r="E184">
        <v>98003</v>
      </c>
      <c r="F184" t="s">
        <v>1573</v>
      </c>
      <c r="G184" t="s">
        <v>1990</v>
      </c>
      <c r="H184" t="s">
        <v>5315</v>
      </c>
      <c r="I184">
        <v>47.315252999999998</v>
      </c>
      <c r="J184">
        <v>-122.30822000000001</v>
      </c>
      <c r="K184" t="s">
        <v>3936</v>
      </c>
      <c r="L184" t="s">
        <v>3946</v>
      </c>
      <c r="M184" t="s">
        <v>4888</v>
      </c>
      <c r="N184" t="s">
        <v>4889</v>
      </c>
      <c r="P184" t="s">
        <v>3792</v>
      </c>
    </row>
    <row r="185" spans="1:16" x14ac:dyDescent="0.2">
      <c r="A185" t="s">
        <v>1956</v>
      </c>
      <c r="B185" t="s">
        <v>3519</v>
      </c>
      <c r="C185" t="s">
        <v>2914</v>
      </c>
      <c r="D185" t="s">
        <v>2307</v>
      </c>
      <c r="E185">
        <v>98275</v>
      </c>
      <c r="F185" t="s">
        <v>1573</v>
      </c>
      <c r="G185" t="s">
        <v>1974</v>
      </c>
      <c r="H185" t="s">
        <v>4027</v>
      </c>
      <c r="I185">
        <v>47.948946999999997</v>
      </c>
      <c r="J185">
        <v>-122.303956</v>
      </c>
      <c r="K185" t="s">
        <v>3936</v>
      </c>
      <c r="L185" t="s">
        <v>3946</v>
      </c>
      <c r="M185" t="s">
        <v>4888</v>
      </c>
      <c r="N185" t="s">
        <v>4889</v>
      </c>
      <c r="P185" t="s">
        <v>3519</v>
      </c>
    </row>
    <row r="186" spans="1:16" x14ac:dyDescent="0.2">
      <c r="A186" t="s">
        <v>1597</v>
      </c>
      <c r="B186" t="s">
        <v>3798</v>
      </c>
      <c r="C186" t="s">
        <v>2914</v>
      </c>
      <c r="D186" t="s">
        <v>2307</v>
      </c>
      <c r="E186">
        <v>98275</v>
      </c>
      <c r="F186" t="s">
        <v>1573</v>
      </c>
      <c r="G186" t="s">
        <v>1990</v>
      </c>
      <c r="H186" t="s">
        <v>5316</v>
      </c>
      <c r="I186">
        <v>47.948946999999997</v>
      </c>
      <c r="J186">
        <v>-122.303956</v>
      </c>
      <c r="K186" t="s">
        <v>3936</v>
      </c>
      <c r="L186" t="s">
        <v>3946</v>
      </c>
      <c r="M186" t="s">
        <v>4888</v>
      </c>
      <c r="N186" t="s">
        <v>4889</v>
      </c>
      <c r="P186" t="s">
        <v>3798</v>
      </c>
    </row>
    <row r="187" spans="1:16" x14ac:dyDescent="0.2">
      <c r="A187" t="s">
        <v>1704</v>
      </c>
      <c r="B187" t="s">
        <v>2992</v>
      </c>
      <c r="C187" t="s">
        <v>2961</v>
      </c>
      <c r="D187" t="s">
        <v>2307</v>
      </c>
      <c r="E187">
        <v>98002</v>
      </c>
      <c r="F187" t="s">
        <v>1600</v>
      </c>
      <c r="G187" t="s">
        <v>1998</v>
      </c>
      <c r="H187" t="s">
        <v>5022</v>
      </c>
      <c r="I187">
        <v>47.318694000000001</v>
      </c>
      <c r="J187">
        <v>-122.221304</v>
      </c>
      <c r="K187" t="s">
        <v>3936</v>
      </c>
      <c r="L187" t="s">
        <v>3946</v>
      </c>
      <c r="M187" t="s">
        <v>4888</v>
      </c>
      <c r="N187" t="s">
        <v>4889</v>
      </c>
      <c r="P187" t="s">
        <v>2992</v>
      </c>
    </row>
    <row r="188" spans="1:16" x14ac:dyDescent="0.2">
      <c r="A188" t="s">
        <v>1597</v>
      </c>
      <c r="B188" t="s">
        <v>3819</v>
      </c>
      <c r="C188" t="s">
        <v>2900</v>
      </c>
      <c r="D188" t="s">
        <v>2307</v>
      </c>
      <c r="E188">
        <v>98201</v>
      </c>
      <c r="F188" t="s">
        <v>1573</v>
      </c>
      <c r="G188" t="s">
        <v>1990</v>
      </c>
      <c r="H188" t="s">
        <v>4164</v>
      </c>
      <c r="I188">
        <v>47.963171000000003</v>
      </c>
      <c r="J188">
        <v>-122.208977</v>
      </c>
      <c r="K188" t="s">
        <v>3936</v>
      </c>
      <c r="L188" t="s">
        <v>3946</v>
      </c>
      <c r="M188" t="s">
        <v>4888</v>
      </c>
      <c r="N188" t="s">
        <v>4889</v>
      </c>
      <c r="P188" t="s">
        <v>5679</v>
      </c>
    </row>
    <row r="189" spans="1:16" x14ac:dyDescent="0.2">
      <c r="A189" t="s">
        <v>1962</v>
      </c>
      <c r="B189" t="s">
        <v>3525</v>
      </c>
      <c r="C189" t="s">
        <v>3067</v>
      </c>
      <c r="D189" t="s">
        <v>2307</v>
      </c>
      <c r="E189">
        <v>98421</v>
      </c>
      <c r="F189" t="s">
        <v>1591</v>
      </c>
      <c r="G189" t="s">
        <v>1969</v>
      </c>
      <c r="H189" t="s">
        <v>4031</v>
      </c>
      <c r="I189">
        <v>47.245683</v>
      </c>
      <c r="J189">
        <v>-122.43074799999999</v>
      </c>
      <c r="K189" t="s">
        <v>3936</v>
      </c>
      <c r="L189" t="s">
        <v>3946</v>
      </c>
      <c r="M189" t="s">
        <v>4888</v>
      </c>
      <c r="N189" t="s">
        <v>4889</v>
      </c>
      <c r="P189" t="s">
        <v>3525</v>
      </c>
    </row>
    <row r="190" spans="1:16" x14ac:dyDescent="0.2">
      <c r="A190" t="s">
        <v>1597</v>
      </c>
      <c r="B190" t="s">
        <v>3842</v>
      </c>
      <c r="C190" t="s">
        <v>3067</v>
      </c>
      <c r="D190" t="s">
        <v>2307</v>
      </c>
      <c r="E190">
        <v>98465</v>
      </c>
      <c r="F190" t="s">
        <v>1573</v>
      </c>
      <c r="G190" t="s">
        <v>1990</v>
      </c>
      <c r="H190" t="s">
        <v>5317</v>
      </c>
      <c r="I190">
        <v>47.243774000000002</v>
      </c>
      <c r="J190">
        <v>-122.52647399999999</v>
      </c>
      <c r="K190" t="s">
        <v>3936</v>
      </c>
      <c r="L190" t="s">
        <v>3946</v>
      </c>
      <c r="M190" t="s">
        <v>4888</v>
      </c>
      <c r="N190" t="s">
        <v>4889</v>
      </c>
      <c r="P190" t="s">
        <v>3842</v>
      </c>
    </row>
    <row r="191" spans="1:16" x14ac:dyDescent="0.2">
      <c r="A191" t="s">
        <v>2006</v>
      </c>
      <c r="B191" t="s">
        <v>3160</v>
      </c>
      <c r="C191" t="s">
        <v>3067</v>
      </c>
      <c r="D191" t="s">
        <v>2307</v>
      </c>
      <c r="E191">
        <v>98401</v>
      </c>
      <c r="F191" t="s">
        <v>1716</v>
      </c>
      <c r="G191" t="s">
        <v>1989</v>
      </c>
      <c r="H191" t="s">
        <v>5047</v>
      </c>
      <c r="I191">
        <v>47.246574000000003</v>
      </c>
      <c r="J191">
        <v>-122.553409</v>
      </c>
      <c r="K191" t="s">
        <v>3936</v>
      </c>
      <c r="L191" t="s">
        <v>3946</v>
      </c>
      <c r="M191" t="s">
        <v>4888</v>
      </c>
      <c r="N191" t="s">
        <v>4889</v>
      </c>
      <c r="P191" t="s">
        <v>3160</v>
      </c>
    </row>
    <row r="192" spans="1:16" x14ac:dyDescent="0.2">
      <c r="A192" t="s">
        <v>1597</v>
      </c>
      <c r="B192" t="s">
        <v>3845</v>
      </c>
      <c r="C192" t="s">
        <v>3067</v>
      </c>
      <c r="D192" t="s">
        <v>2307</v>
      </c>
      <c r="E192">
        <v>98409</v>
      </c>
      <c r="F192" t="s">
        <v>1573</v>
      </c>
      <c r="G192" t="s">
        <v>1990</v>
      </c>
      <c r="H192" t="s">
        <v>5023</v>
      </c>
      <c r="I192">
        <v>47.217892999999997</v>
      </c>
      <c r="J192">
        <v>-122.46785300000001</v>
      </c>
      <c r="K192" t="s">
        <v>3936</v>
      </c>
      <c r="L192" t="s">
        <v>3946</v>
      </c>
      <c r="M192" t="s">
        <v>4888</v>
      </c>
      <c r="N192" t="s">
        <v>4889</v>
      </c>
      <c r="P192" t="s">
        <v>3845</v>
      </c>
    </row>
    <row r="193" spans="1:16" x14ac:dyDescent="0.2">
      <c r="A193" t="s">
        <v>1597</v>
      </c>
      <c r="B193" t="s">
        <v>3875</v>
      </c>
      <c r="C193" t="s">
        <v>3067</v>
      </c>
      <c r="D193" t="s">
        <v>2307</v>
      </c>
      <c r="E193">
        <v>98499</v>
      </c>
      <c r="F193" t="s">
        <v>1573</v>
      </c>
      <c r="G193" t="s">
        <v>1990</v>
      </c>
      <c r="H193" t="s">
        <v>5318</v>
      </c>
      <c r="I193">
        <v>47.165149</v>
      </c>
      <c r="J193">
        <v>-122.483808</v>
      </c>
      <c r="K193" t="s">
        <v>3936</v>
      </c>
      <c r="L193" t="s">
        <v>3946</v>
      </c>
      <c r="M193" t="s">
        <v>4888</v>
      </c>
      <c r="N193" t="s">
        <v>4889</v>
      </c>
      <c r="P193" t="s">
        <v>3875</v>
      </c>
    </row>
    <row r="194" spans="1:16" x14ac:dyDescent="0.2">
      <c r="A194" t="s">
        <v>1704</v>
      </c>
      <c r="B194" t="s">
        <v>3876</v>
      </c>
      <c r="C194" t="s">
        <v>3186</v>
      </c>
      <c r="D194" t="s">
        <v>2307</v>
      </c>
      <c r="E194">
        <v>98373</v>
      </c>
      <c r="F194" t="s">
        <v>1600</v>
      </c>
      <c r="G194" t="s">
        <v>2004</v>
      </c>
      <c r="H194" t="s">
        <v>5319</v>
      </c>
      <c r="I194">
        <v>47.153928999999998</v>
      </c>
      <c r="J194">
        <v>-122.293094</v>
      </c>
      <c r="K194" t="s">
        <v>3936</v>
      </c>
      <c r="L194" t="s">
        <v>3946</v>
      </c>
      <c r="M194" t="s">
        <v>4888</v>
      </c>
      <c r="N194" t="s">
        <v>4889</v>
      </c>
      <c r="P194" t="s">
        <v>3876</v>
      </c>
    </row>
    <row r="195" spans="1:16" x14ac:dyDescent="0.2">
      <c r="A195" t="s">
        <v>1704</v>
      </c>
      <c r="B195" t="s">
        <v>3887</v>
      </c>
      <c r="C195" t="s">
        <v>3067</v>
      </c>
      <c r="D195" t="s">
        <v>2307</v>
      </c>
      <c r="E195">
        <v>98444</v>
      </c>
      <c r="F195" t="s">
        <v>1600</v>
      </c>
      <c r="G195" t="s">
        <v>2004</v>
      </c>
      <c r="H195" t="s">
        <v>4203</v>
      </c>
      <c r="I195">
        <v>47.132192000000003</v>
      </c>
      <c r="J195">
        <v>-122.434488</v>
      </c>
      <c r="K195" t="s">
        <v>3936</v>
      </c>
      <c r="L195" t="s">
        <v>3946</v>
      </c>
      <c r="M195" t="s">
        <v>4888</v>
      </c>
      <c r="N195" t="s">
        <v>4889</v>
      </c>
      <c r="P195" t="s">
        <v>3887</v>
      </c>
    </row>
    <row r="196" spans="1:16" x14ac:dyDescent="0.2">
      <c r="A196" t="s">
        <v>1882</v>
      </c>
      <c r="B196" t="s">
        <v>3914</v>
      </c>
      <c r="C196" t="s">
        <v>3376</v>
      </c>
      <c r="D196" t="s">
        <v>2307</v>
      </c>
      <c r="E196">
        <v>98516</v>
      </c>
      <c r="F196" t="s">
        <v>1583</v>
      </c>
      <c r="G196" t="s">
        <v>1980</v>
      </c>
      <c r="H196" t="s">
        <v>4224</v>
      </c>
      <c r="I196">
        <v>47.059474000000002</v>
      </c>
      <c r="J196">
        <v>-122.754003</v>
      </c>
      <c r="K196" t="s">
        <v>3936</v>
      </c>
      <c r="L196" t="s">
        <v>3946</v>
      </c>
      <c r="M196" t="s">
        <v>4888</v>
      </c>
      <c r="N196" t="s">
        <v>4889</v>
      </c>
      <c r="P196" t="s">
        <v>3914</v>
      </c>
    </row>
    <row r="197" spans="1:16" x14ac:dyDescent="0.2">
      <c r="A197" t="s">
        <v>1704</v>
      </c>
      <c r="B197" t="s">
        <v>3920</v>
      </c>
      <c r="C197" t="s">
        <v>3376</v>
      </c>
      <c r="D197" t="s">
        <v>2307</v>
      </c>
      <c r="E197">
        <v>98503</v>
      </c>
      <c r="F197" t="s">
        <v>1600</v>
      </c>
      <c r="G197" t="s">
        <v>1998</v>
      </c>
      <c r="H197" t="s">
        <v>5320</v>
      </c>
      <c r="I197">
        <v>47.040232000000003</v>
      </c>
      <c r="J197">
        <v>-122.837659</v>
      </c>
      <c r="K197" t="s">
        <v>3936</v>
      </c>
      <c r="L197" t="s">
        <v>3946</v>
      </c>
      <c r="M197" t="s">
        <v>4888</v>
      </c>
      <c r="N197" t="s">
        <v>4889</v>
      </c>
      <c r="P197" t="s">
        <v>3920</v>
      </c>
    </row>
    <row r="198" spans="1:16" x14ac:dyDescent="0.2">
      <c r="A198" t="s">
        <v>1590</v>
      </c>
      <c r="B198" t="s">
        <v>3539</v>
      </c>
      <c r="C198" t="s">
        <v>66</v>
      </c>
      <c r="D198" t="s">
        <v>2307</v>
      </c>
      <c r="E198">
        <v>98103</v>
      </c>
      <c r="F198" t="s">
        <v>1587</v>
      </c>
      <c r="G198" t="s">
        <v>1987</v>
      </c>
      <c r="H198" t="s">
        <v>5048</v>
      </c>
      <c r="I198">
        <v>47.651090000000003</v>
      </c>
      <c r="J198">
        <v>-122.34244</v>
      </c>
      <c r="K198" t="s">
        <v>3936</v>
      </c>
      <c r="L198" t="s">
        <v>3946</v>
      </c>
      <c r="M198" t="s">
        <v>4888</v>
      </c>
      <c r="N198" t="s">
        <v>4938</v>
      </c>
      <c r="P198" t="s">
        <v>3539</v>
      </c>
    </row>
    <row r="199" spans="1:16" x14ac:dyDescent="0.2">
      <c r="A199" t="s">
        <v>1598</v>
      </c>
      <c r="B199" t="s">
        <v>3547</v>
      </c>
      <c r="C199" t="s">
        <v>66</v>
      </c>
      <c r="D199" t="s">
        <v>2307</v>
      </c>
      <c r="E199">
        <v>98103</v>
      </c>
      <c r="F199" t="s">
        <v>1587</v>
      </c>
      <c r="G199" t="s">
        <v>1973</v>
      </c>
      <c r="H199" t="s">
        <v>4045</v>
      </c>
      <c r="I199">
        <v>47.661358999999997</v>
      </c>
      <c r="J199">
        <v>-122.33641299999999</v>
      </c>
      <c r="K199" t="s">
        <v>3936</v>
      </c>
      <c r="L199" t="s">
        <v>3946</v>
      </c>
      <c r="M199" t="s">
        <v>4888</v>
      </c>
      <c r="N199" t="s">
        <v>4938</v>
      </c>
      <c r="P199" t="s">
        <v>3547</v>
      </c>
    </row>
    <row r="200" spans="1:16" x14ac:dyDescent="0.2">
      <c r="A200" t="s">
        <v>1632</v>
      </c>
      <c r="B200" t="s">
        <v>3579</v>
      </c>
      <c r="C200" t="s">
        <v>66</v>
      </c>
      <c r="D200" t="s">
        <v>2307</v>
      </c>
      <c r="E200">
        <v>98144</v>
      </c>
      <c r="F200" t="s">
        <v>1577</v>
      </c>
      <c r="G200" t="s">
        <v>1981</v>
      </c>
      <c r="H200" t="s">
        <v>4939</v>
      </c>
      <c r="I200">
        <v>47.572533</v>
      </c>
      <c r="J200">
        <v>-122.29399100000001</v>
      </c>
      <c r="K200" t="s">
        <v>3936</v>
      </c>
      <c r="L200" t="s">
        <v>3946</v>
      </c>
      <c r="M200" t="s">
        <v>4888</v>
      </c>
      <c r="N200" t="s">
        <v>4938</v>
      </c>
      <c r="P200" t="s">
        <v>3579</v>
      </c>
    </row>
    <row r="201" spans="1:16" x14ac:dyDescent="0.2">
      <c r="A201" t="s">
        <v>1646</v>
      </c>
      <c r="B201" t="s">
        <v>3591</v>
      </c>
      <c r="C201" t="s">
        <v>66</v>
      </c>
      <c r="D201" t="s">
        <v>2307</v>
      </c>
      <c r="E201">
        <v>98118</v>
      </c>
      <c r="F201" t="s">
        <v>1604</v>
      </c>
      <c r="G201" t="s">
        <v>1989</v>
      </c>
      <c r="H201" t="s">
        <v>4062</v>
      </c>
      <c r="I201">
        <v>47.557993000000003</v>
      </c>
      <c r="J201">
        <v>-122.284758</v>
      </c>
      <c r="K201" t="s">
        <v>3936</v>
      </c>
      <c r="L201" t="s">
        <v>3946</v>
      </c>
      <c r="M201" t="s">
        <v>4888</v>
      </c>
      <c r="N201" t="s">
        <v>4938</v>
      </c>
      <c r="P201" t="s">
        <v>3591</v>
      </c>
    </row>
    <row r="202" spans="1:16" x14ac:dyDescent="0.2">
      <c r="A202" t="s">
        <v>1665</v>
      </c>
      <c r="B202" t="s">
        <v>3612</v>
      </c>
      <c r="C202" t="s">
        <v>386</v>
      </c>
      <c r="D202" t="s">
        <v>2307</v>
      </c>
      <c r="E202">
        <v>98133</v>
      </c>
      <c r="F202" t="s">
        <v>1575</v>
      </c>
      <c r="G202" t="s">
        <v>1982</v>
      </c>
      <c r="H202" t="s">
        <v>5049</v>
      </c>
      <c r="I202">
        <v>47.739297999999998</v>
      </c>
      <c r="J202">
        <v>-122.345039</v>
      </c>
      <c r="K202" t="s">
        <v>3936</v>
      </c>
      <c r="L202" t="s">
        <v>3946</v>
      </c>
      <c r="M202" t="s">
        <v>4888</v>
      </c>
      <c r="N202" t="s">
        <v>4938</v>
      </c>
      <c r="P202" t="s">
        <v>3612</v>
      </c>
    </row>
    <row r="203" spans="1:16" x14ac:dyDescent="0.2">
      <c r="A203" t="s">
        <v>1717</v>
      </c>
      <c r="B203" t="s">
        <v>3668</v>
      </c>
      <c r="C203" t="s">
        <v>2672</v>
      </c>
      <c r="D203" t="s">
        <v>2307</v>
      </c>
      <c r="E203">
        <v>98072</v>
      </c>
      <c r="F203" t="s">
        <v>1604</v>
      </c>
      <c r="G203" t="s">
        <v>1989</v>
      </c>
      <c r="H203" t="s">
        <v>4094</v>
      </c>
      <c r="I203">
        <v>47.731879999999997</v>
      </c>
      <c r="J203">
        <v>-122.141268</v>
      </c>
      <c r="K203" t="s">
        <v>3936</v>
      </c>
      <c r="L203" t="s">
        <v>3946</v>
      </c>
      <c r="M203" t="s">
        <v>4888</v>
      </c>
      <c r="N203" t="s">
        <v>4938</v>
      </c>
      <c r="P203" t="s">
        <v>5686</v>
      </c>
    </row>
    <row r="204" spans="1:16" x14ac:dyDescent="0.2">
      <c r="A204" t="s">
        <v>1725</v>
      </c>
      <c r="B204" t="s">
        <v>3676</v>
      </c>
      <c r="C204" t="s">
        <v>2597</v>
      </c>
      <c r="D204" t="s">
        <v>2307</v>
      </c>
      <c r="E204">
        <v>98057</v>
      </c>
      <c r="F204" t="s">
        <v>1587</v>
      </c>
      <c r="G204" t="s">
        <v>1984</v>
      </c>
      <c r="H204" t="s">
        <v>4100</v>
      </c>
      <c r="I204">
        <v>47.479517999999999</v>
      </c>
      <c r="J204">
        <v>-122.205299</v>
      </c>
      <c r="K204" t="s">
        <v>3936</v>
      </c>
      <c r="L204" t="s">
        <v>3946</v>
      </c>
      <c r="M204" t="s">
        <v>4888</v>
      </c>
      <c r="N204" t="s">
        <v>4938</v>
      </c>
      <c r="P204" t="s">
        <v>3676</v>
      </c>
    </row>
    <row r="205" spans="1:16" x14ac:dyDescent="0.2">
      <c r="A205" t="s">
        <v>5050</v>
      </c>
      <c r="B205" t="s">
        <v>5051</v>
      </c>
      <c r="C205" t="s">
        <v>2597</v>
      </c>
      <c r="D205" t="s">
        <v>2307</v>
      </c>
      <c r="E205">
        <v>98059</v>
      </c>
      <c r="F205" t="s">
        <v>1600</v>
      </c>
      <c r="G205" t="s">
        <v>1973</v>
      </c>
      <c r="H205" t="s">
        <v>5350</v>
      </c>
      <c r="I205">
        <v>47.488689999999998</v>
      </c>
      <c r="J205">
        <v>-122.171837</v>
      </c>
      <c r="K205" t="s">
        <v>3936</v>
      </c>
      <c r="L205" t="s">
        <v>3946</v>
      </c>
      <c r="M205" t="s">
        <v>4888</v>
      </c>
      <c r="N205" t="s">
        <v>4938</v>
      </c>
      <c r="P205" t="s">
        <v>5051</v>
      </c>
    </row>
    <row r="206" spans="1:16" x14ac:dyDescent="0.2">
      <c r="A206" t="s">
        <v>1758</v>
      </c>
      <c r="B206" t="s">
        <v>3725</v>
      </c>
      <c r="C206" t="s">
        <v>2586</v>
      </c>
      <c r="D206" t="s">
        <v>2307</v>
      </c>
      <c r="E206">
        <v>98053</v>
      </c>
      <c r="F206" t="s">
        <v>1583</v>
      </c>
      <c r="G206" t="s">
        <v>1980</v>
      </c>
      <c r="H206" t="s">
        <v>5351</v>
      </c>
      <c r="I206">
        <v>47.699832999999998</v>
      </c>
      <c r="J206">
        <v>-122.02616</v>
      </c>
      <c r="K206" t="s">
        <v>3936</v>
      </c>
      <c r="L206" t="s">
        <v>3946</v>
      </c>
      <c r="M206" t="s">
        <v>4888</v>
      </c>
      <c r="N206" t="s">
        <v>4938</v>
      </c>
      <c r="P206" t="s">
        <v>3725</v>
      </c>
    </row>
    <row r="207" spans="1:16" x14ac:dyDescent="0.2">
      <c r="A207" t="s">
        <v>2285</v>
      </c>
      <c r="B207" t="s">
        <v>3284</v>
      </c>
      <c r="C207" t="s">
        <v>3201</v>
      </c>
      <c r="D207" t="s">
        <v>2307</v>
      </c>
      <c r="E207">
        <v>98271</v>
      </c>
      <c r="F207" t="s">
        <v>1591</v>
      </c>
      <c r="G207" t="s">
        <v>1969</v>
      </c>
      <c r="H207" t="s">
        <v>4940</v>
      </c>
      <c r="I207">
        <v>48.100186999999998</v>
      </c>
      <c r="J207">
        <v>-122.17505800000001</v>
      </c>
      <c r="K207" t="s">
        <v>3936</v>
      </c>
      <c r="L207" t="s">
        <v>3946</v>
      </c>
      <c r="M207" t="s">
        <v>4888</v>
      </c>
      <c r="N207" t="s">
        <v>4938</v>
      </c>
      <c r="P207" t="s">
        <v>3284</v>
      </c>
    </row>
    <row r="208" spans="1:16" x14ac:dyDescent="0.2">
      <c r="A208" t="s">
        <v>1939</v>
      </c>
      <c r="B208" t="s">
        <v>3500</v>
      </c>
      <c r="C208" t="s">
        <v>2636</v>
      </c>
      <c r="D208" t="s">
        <v>2307</v>
      </c>
      <c r="E208">
        <v>98188</v>
      </c>
      <c r="F208" t="s">
        <v>1575</v>
      </c>
      <c r="G208" t="s">
        <v>1975</v>
      </c>
      <c r="H208" t="s">
        <v>4021</v>
      </c>
      <c r="I208">
        <v>47.454813000000001</v>
      </c>
      <c r="J208">
        <v>-122.262275</v>
      </c>
      <c r="K208" t="s">
        <v>3936</v>
      </c>
      <c r="L208" t="s">
        <v>3946</v>
      </c>
      <c r="M208" t="s">
        <v>4888</v>
      </c>
      <c r="N208" t="s">
        <v>4941</v>
      </c>
      <c r="P208" t="s">
        <v>3500</v>
      </c>
    </row>
    <row r="209" spans="1:16" x14ac:dyDescent="0.2">
      <c r="A209" t="s">
        <v>1877</v>
      </c>
      <c r="B209" t="s">
        <v>3907</v>
      </c>
      <c r="C209" t="s">
        <v>3364</v>
      </c>
      <c r="D209" t="s">
        <v>2307</v>
      </c>
      <c r="E209">
        <v>98292</v>
      </c>
      <c r="F209" t="s">
        <v>1583</v>
      </c>
      <c r="G209" t="s">
        <v>1980</v>
      </c>
      <c r="H209" t="s">
        <v>4218</v>
      </c>
      <c r="I209">
        <v>48.241795000000003</v>
      </c>
      <c r="J209">
        <v>-122.37044400000001</v>
      </c>
      <c r="K209" t="s">
        <v>3936</v>
      </c>
      <c r="L209" t="s">
        <v>3946</v>
      </c>
      <c r="M209" t="s">
        <v>4888</v>
      </c>
      <c r="N209" t="s">
        <v>4941</v>
      </c>
      <c r="P209" t="s">
        <v>3907</v>
      </c>
    </row>
    <row r="210" spans="1:16" x14ac:dyDescent="0.2">
      <c r="A210" t="s">
        <v>5052</v>
      </c>
      <c r="B210" t="s">
        <v>5053</v>
      </c>
      <c r="C210" t="s">
        <v>66</v>
      </c>
      <c r="D210" t="s">
        <v>2307</v>
      </c>
      <c r="E210">
        <v>98144</v>
      </c>
      <c r="F210" t="s">
        <v>1716</v>
      </c>
      <c r="G210" t="s">
        <v>1990</v>
      </c>
      <c r="H210" t="s">
        <v>5054</v>
      </c>
      <c r="I210">
        <v>47.571117999999998</v>
      </c>
      <c r="J210">
        <v>-122.291144</v>
      </c>
      <c r="K210" t="s">
        <v>3936</v>
      </c>
      <c r="L210" t="s">
        <v>3946</v>
      </c>
      <c r="M210" t="s">
        <v>4895</v>
      </c>
      <c r="P210" t="s">
        <v>5053</v>
      </c>
    </row>
    <row r="211" spans="1:16" x14ac:dyDescent="0.2">
      <c r="A211" t="s">
        <v>1649</v>
      </c>
      <c r="B211" t="s">
        <v>3594</v>
      </c>
      <c r="C211" t="s">
        <v>66</v>
      </c>
      <c r="D211" t="s">
        <v>2307</v>
      </c>
      <c r="E211">
        <v>98118</v>
      </c>
      <c r="F211" t="s">
        <v>1587</v>
      </c>
      <c r="G211" t="s">
        <v>1973</v>
      </c>
      <c r="H211" t="s">
        <v>4064</v>
      </c>
      <c r="I211">
        <v>47.553271000000002</v>
      </c>
      <c r="J211">
        <v>-122.27964299999999</v>
      </c>
      <c r="K211" t="s">
        <v>3936</v>
      </c>
      <c r="L211" t="s">
        <v>3946</v>
      </c>
      <c r="M211" t="s">
        <v>4895</v>
      </c>
      <c r="P211" t="s">
        <v>3594</v>
      </c>
    </row>
    <row r="212" spans="1:16" x14ac:dyDescent="0.2">
      <c r="A212" t="s">
        <v>1926</v>
      </c>
      <c r="B212" t="s">
        <v>3482</v>
      </c>
      <c r="C212" t="s">
        <v>66</v>
      </c>
      <c r="D212" t="s">
        <v>2307</v>
      </c>
      <c r="E212">
        <v>98118</v>
      </c>
      <c r="F212" t="s">
        <v>1591</v>
      </c>
      <c r="G212" t="s">
        <v>1969</v>
      </c>
      <c r="H212" t="s">
        <v>5352</v>
      </c>
      <c r="I212">
        <v>47.549593000000002</v>
      </c>
      <c r="J212">
        <v>-122.277275</v>
      </c>
      <c r="K212" t="s">
        <v>3936</v>
      </c>
      <c r="L212" t="s">
        <v>3946</v>
      </c>
      <c r="M212" t="s">
        <v>4895</v>
      </c>
      <c r="P212" t="s">
        <v>3482</v>
      </c>
    </row>
    <row r="213" spans="1:16" x14ac:dyDescent="0.2">
      <c r="A213" t="s">
        <v>2009</v>
      </c>
      <c r="B213" t="s">
        <v>2309</v>
      </c>
      <c r="C213" t="s">
        <v>66</v>
      </c>
      <c r="D213" t="s">
        <v>2307</v>
      </c>
      <c r="E213">
        <v>98109</v>
      </c>
      <c r="F213" t="s">
        <v>1600</v>
      </c>
      <c r="G213" t="s">
        <v>2005</v>
      </c>
      <c r="H213" t="s">
        <v>4241</v>
      </c>
      <c r="I213">
        <v>47.622421000000003</v>
      </c>
      <c r="J213">
        <v>-122.338266</v>
      </c>
      <c r="K213" t="s">
        <v>3936</v>
      </c>
      <c r="L213" t="s">
        <v>3946</v>
      </c>
      <c r="M213" t="s">
        <v>4888</v>
      </c>
      <c r="P213" t="s">
        <v>2309</v>
      </c>
    </row>
    <row r="214" spans="1:16" x14ac:dyDescent="0.2">
      <c r="A214" t="s">
        <v>2010</v>
      </c>
      <c r="B214" t="s">
        <v>2311</v>
      </c>
      <c r="C214" t="s">
        <v>66</v>
      </c>
      <c r="D214" t="s">
        <v>2307</v>
      </c>
      <c r="E214">
        <v>98109</v>
      </c>
      <c r="F214" t="s">
        <v>1716</v>
      </c>
      <c r="G214" t="s">
        <v>2000</v>
      </c>
      <c r="H214" t="s">
        <v>4243</v>
      </c>
      <c r="I214">
        <v>47.621972999999997</v>
      </c>
      <c r="J214">
        <v>-122.348398</v>
      </c>
      <c r="K214" t="s">
        <v>3936</v>
      </c>
      <c r="L214" t="s">
        <v>3946</v>
      </c>
      <c r="M214" t="s">
        <v>4888</v>
      </c>
      <c r="P214" t="s">
        <v>2311</v>
      </c>
    </row>
    <row r="215" spans="1:16" x14ac:dyDescent="0.2">
      <c r="A215" t="s">
        <v>1574</v>
      </c>
      <c r="B215" t="s">
        <v>3532</v>
      </c>
      <c r="C215" t="s">
        <v>66</v>
      </c>
      <c r="D215" t="s">
        <v>2307</v>
      </c>
      <c r="E215">
        <v>98109</v>
      </c>
      <c r="F215" t="s">
        <v>1575</v>
      </c>
      <c r="G215" t="s">
        <v>1987</v>
      </c>
      <c r="H215" t="s">
        <v>4036</v>
      </c>
      <c r="I215">
        <v>47.623545</v>
      </c>
      <c r="J215">
        <v>-122.35562</v>
      </c>
      <c r="K215" t="s">
        <v>3936</v>
      </c>
      <c r="L215" t="s">
        <v>3946</v>
      </c>
      <c r="M215" t="s">
        <v>4888</v>
      </c>
      <c r="P215" t="s">
        <v>3532</v>
      </c>
    </row>
    <row r="216" spans="1:16" x14ac:dyDescent="0.2">
      <c r="A216" t="s">
        <v>1900</v>
      </c>
      <c r="B216" t="s">
        <v>3453</v>
      </c>
      <c r="C216" t="s">
        <v>66</v>
      </c>
      <c r="D216" t="s">
        <v>2307</v>
      </c>
      <c r="E216">
        <v>98109</v>
      </c>
      <c r="F216" t="s">
        <v>1575</v>
      </c>
      <c r="G216" t="s">
        <v>1972</v>
      </c>
      <c r="H216" t="s">
        <v>4006</v>
      </c>
      <c r="I216">
        <v>47.624369999999999</v>
      </c>
      <c r="J216">
        <v>-122.356358</v>
      </c>
      <c r="K216" t="s">
        <v>3936</v>
      </c>
      <c r="L216" t="s">
        <v>3946</v>
      </c>
      <c r="M216" t="s">
        <v>4888</v>
      </c>
      <c r="P216" t="s">
        <v>3453</v>
      </c>
    </row>
    <row r="217" spans="1:16" x14ac:dyDescent="0.2">
      <c r="A217" t="s">
        <v>2013</v>
      </c>
      <c r="B217" t="s">
        <v>2315</v>
      </c>
      <c r="C217" t="s">
        <v>66</v>
      </c>
      <c r="D217" t="s">
        <v>2307</v>
      </c>
      <c r="E217">
        <v>98109</v>
      </c>
      <c r="F217" t="s">
        <v>1716</v>
      </c>
      <c r="G217" t="s">
        <v>2000</v>
      </c>
      <c r="H217" t="s">
        <v>4249</v>
      </c>
      <c r="I217">
        <v>47.623677000000001</v>
      </c>
      <c r="J217">
        <v>-122.35692299999999</v>
      </c>
      <c r="K217" t="s">
        <v>3936</v>
      </c>
      <c r="L217" t="s">
        <v>3946</v>
      </c>
      <c r="M217" t="s">
        <v>4888</v>
      </c>
      <c r="P217" t="s">
        <v>2315</v>
      </c>
    </row>
    <row r="218" spans="1:16" x14ac:dyDescent="0.2">
      <c r="A218" t="s">
        <v>1578</v>
      </c>
      <c r="B218" t="s">
        <v>3457</v>
      </c>
      <c r="C218" t="s">
        <v>66</v>
      </c>
      <c r="D218" t="s">
        <v>2307</v>
      </c>
      <c r="E218">
        <v>98109</v>
      </c>
      <c r="F218" t="s">
        <v>1577</v>
      </c>
      <c r="G218" t="s">
        <v>1987</v>
      </c>
      <c r="H218" t="s">
        <v>4037</v>
      </c>
      <c r="I218">
        <v>47.637537999999999</v>
      </c>
      <c r="J218">
        <v>-122.357136</v>
      </c>
      <c r="K218" t="s">
        <v>3936</v>
      </c>
      <c r="L218" t="s">
        <v>3946</v>
      </c>
      <c r="M218" t="s">
        <v>4888</v>
      </c>
      <c r="P218" t="s">
        <v>3457</v>
      </c>
    </row>
    <row r="219" spans="1:16" x14ac:dyDescent="0.2">
      <c r="A219" t="s">
        <v>2017</v>
      </c>
      <c r="B219" t="s">
        <v>2321</v>
      </c>
      <c r="C219" t="s">
        <v>66</v>
      </c>
      <c r="D219" t="s">
        <v>2307</v>
      </c>
      <c r="E219">
        <v>98102</v>
      </c>
      <c r="F219" t="s">
        <v>1716</v>
      </c>
      <c r="G219" t="s">
        <v>2005</v>
      </c>
      <c r="H219" t="s">
        <v>4254</v>
      </c>
      <c r="I219">
        <v>47.622100000000003</v>
      </c>
      <c r="J219">
        <v>-122.321061</v>
      </c>
      <c r="K219" t="s">
        <v>3936</v>
      </c>
      <c r="L219" t="s">
        <v>3946</v>
      </c>
      <c r="M219" t="s">
        <v>4888</v>
      </c>
      <c r="P219" t="s">
        <v>2321</v>
      </c>
    </row>
    <row r="220" spans="1:16" x14ac:dyDescent="0.2">
      <c r="A220" t="s">
        <v>1904</v>
      </c>
      <c r="B220" t="s">
        <v>3459</v>
      </c>
      <c r="C220" t="s">
        <v>66</v>
      </c>
      <c r="D220" t="s">
        <v>2307</v>
      </c>
      <c r="E220">
        <v>98101</v>
      </c>
      <c r="F220" t="s">
        <v>1604</v>
      </c>
      <c r="G220" t="s">
        <v>1969</v>
      </c>
      <c r="H220" t="s">
        <v>4009</v>
      </c>
      <c r="I220">
        <v>47.613157000000001</v>
      </c>
      <c r="J220">
        <v>-122.33789299999999</v>
      </c>
      <c r="K220" t="s">
        <v>3936</v>
      </c>
      <c r="L220" t="s">
        <v>3946</v>
      </c>
      <c r="M220" t="s">
        <v>4888</v>
      </c>
      <c r="P220" t="s">
        <v>3459</v>
      </c>
    </row>
    <row r="221" spans="1:16" x14ac:dyDescent="0.2">
      <c r="A221" t="s">
        <v>2021</v>
      </c>
      <c r="B221" t="s">
        <v>2330</v>
      </c>
      <c r="C221" t="s">
        <v>66</v>
      </c>
      <c r="D221" t="s">
        <v>2307</v>
      </c>
      <c r="E221">
        <v>98101</v>
      </c>
      <c r="F221" t="s">
        <v>1591</v>
      </c>
      <c r="G221" t="s">
        <v>1969</v>
      </c>
      <c r="H221" t="s">
        <v>5353</v>
      </c>
      <c r="I221">
        <v>47.612130999999998</v>
      </c>
      <c r="J221">
        <v>-122.335374</v>
      </c>
      <c r="K221" t="s">
        <v>3936</v>
      </c>
      <c r="L221" t="s">
        <v>3946</v>
      </c>
      <c r="M221" t="s">
        <v>4888</v>
      </c>
      <c r="P221" t="s">
        <v>2330</v>
      </c>
    </row>
    <row r="222" spans="1:16" x14ac:dyDescent="0.2">
      <c r="A222" t="s">
        <v>1906</v>
      </c>
      <c r="B222" t="s">
        <v>3461</v>
      </c>
      <c r="C222" t="s">
        <v>66</v>
      </c>
      <c r="D222" t="s">
        <v>2307</v>
      </c>
      <c r="E222">
        <v>98101</v>
      </c>
      <c r="F222" t="s">
        <v>1575</v>
      </c>
      <c r="G222" t="s">
        <v>1975</v>
      </c>
      <c r="H222" t="s">
        <v>5354</v>
      </c>
      <c r="I222">
        <v>47.609760000000001</v>
      </c>
      <c r="J222">
        <v>-122.33499999999999</v>
      </c>
      <c r="K222" t="s">
        <v>3936</v>
      </c>
      <c r="L222" t="s">
        <v>3946</v>
      </c>
      <c r="M222" t="s">
        <v>4888</v>
      </c>
      <c r="P222" t="s">
        <v>3461</v>
      </c>
    </row>
    <row r="223" spans="1:16" x14ac:dyDescent="0.2">
      <c r="A223" t="s">
        <v>2021</v>
      </c>
      <c r="B223" t="s">
        <v>2345</v>
      </c>
      <c r="C223" t="s">
        <v>66</v>
      </c>
      <c r="D223" t="s">
        <v>2307</v>
      </c>
      <c r="E223">
        <v>98101</v>
      </c>
      <c r="F223" t="s">
        <v>1573</v>
      </c>
      <c r="G223" t="s">
        <v>1981</v>
      </c>
      <c r="H223" t="s">
        <v>5355</v>
      </c>
      <c r="I223">
        <v>47.609279999999998</v>
      </c>
      <c r="J223">
        <v>-122.341066</v>
      </c>
      <c r="K223" t="s">
        <v>3936</v>
      </c>
      <c r="L223" t="s">
        <v>3946</v>
      </c>
      <c r="M223" t="s">
        <v>4888</v>
      </c>
      <c r="P223" t="s">
        <v>2345</v>
      </c>
    </row>
    <row r="224" spans="1:16" x14ac:dyDescent="0.2">
      <c r="A224" t="s">
        <v>2030</v>
      </c>
      <c r="B224" t="s">
        <v>2349</v>
      </c>
      <c r="C224" t="s">
        <v>66</v>
      </c>
      <c r="D224" t="s">
        <v>2307</v>
      </c>
      <c r="E224">
        <v>98101</v>
      </c>
      <c r="F224" t="s">
        <v>1583</v>
      </c>
      <c r="G224" t="s">
        <v>1980</v>
      </c>
      <c r="H224" t="s">
        <v>5799</v>
      </c>
      <c r="I224">
        <v>47.608781999999998</v>
      </c>
      <c r="J224">
        <v>-122.340091</v>
      </c>
      <c r="K224" t="s">
        <v>3936</v>
      </c>
      <c r="L224" t="s">
        <v>3946</v>
      </c>
      <c r="M224" t="s">
        <v>4888</v>
      </c>
      <c r="P224" t="s">
        <v>5744</v>
      </c>
    </row>
    <row r="225" spans="1:16" x14ac:dyDescent="0.2">
      <c r="A225" t="s">
        <v>2031</v>
      </c>
      <c r="B225" t="s">
        <v>2350</v>
      </c>
      <c r="C225" t="s">
        <v>66</v>
      </c>
      <c r="D225" t="s">
        <v>2307</v>
      </c>
      <c r="E225">
        <v>98101</v>
      </c>
      <c r="F225" t="s">
        <v>2019</v>
      </c>
      <c r="G225" t="s">
        <v>2005</v>
      </c>
      <c r="H225" t="s">
        <v>4274</v>
      </c>
      <c r="I225">
        <v>47.608784</v>
      </c>
      <c r="J225">
        <v>-122.34057199999999</v>
      </c>
      <c r="K225" t="s">
        <v>3936</v>
      </c>
      <c r="L225" t="s">
        <v>3946</v>
      </c>
      <c r="M225" t="s">
        <v>4888</v>
      </c>
      <c r="P225" t="s">
        <v>5670</v>
      </c>
    </row>
    <row r="226" spans="1:16" x14ac:dyDescent="0.2">
      <c r="A226" t="s">
        <v>1589</v>
      </c>
      <c r="B226" t="s">
        <v>3538</v>
      </c>
      <c r="C226" t="s">
        <v>66</v>
      </c>
      <c r="D226" t="s">
        <v>2307</v>
      </c>
      <c r="E226">
        <v>98102</v>
      </c>
      <c r="F226" t="s">
        <v>1575</v>
      </c>
      <c r="G226" t="s">
        <v>1968</v>
      </c>
      <c r="H226" t="s">
        <v>4040</v>
      </c>
      <c r="I226">
        <v>47.648031000000003</v>
      </c>
      <c r="J226">
        <v>-122.32426100000001</v>
      </c>
      <c r="K226" t="s">
        <v>3936</v>
      </c>
      <c r="L226" t="s">
        <v>3946</v>
      </c>
      <c r="M226" t="s">
        <v>4888</v>
      </c>
      <c r="P226" t="s">
        <v>3538</v>
      </c>
    </row>
    <row r="227" spans="1:16" x14ac:dyDescent="0.2">
      <c r="A227" t="s">
        <v>1590</v>
      </c>
      <c r="B227" t="s">
        <v>3539</v>
      </c>
      <c r="C227" t="s">
        <v>66</v>
      </c>
      <c r="D227" t="s">
        <v>2307</v>
      </c>
      <c r="E227">
        <v>98103</v>
      </c>
      <c r="F227" t="s">
        <v>1587</v>
      </c>
      <c r="G227" t="s">
        <v>1987</v>
      </c>
      <c r="H227" t="s">
        <v>5048</v>
      </c>
      <c r="I227">
        <v>47.651090000000003</v>
      </c>
      <c r="J227">
        <v>-122.34244</v>
      </c>
      <c r="K227" t="s">
        <v>3936</v>
      </c>
      <c r="L227" t="s">
        <v>3946</v>
      </c>
      <c r="M227" t="s">
        <v>4888</v>
      </c>
      <c r="P227" t="s">
        <v>3539</v>
      </c>
    </row>
    <row r="228" spans="1:16" x14ac:dyDescent="0.2">
      <c r="A228" t="s">
        <v>2032</v>
      </c>
      <c r="B228" t="s">
        <v>2353</v>
      </c>
      <c r="C228" t="s">
        <v>66</v>
      </c>
      <c r="D228" t="s">
        <v>2307</v>
      </c>
      <c r="E228">
        <v>98122</v>
      </c>
      <c r="F228" t="s">
        <v>1658</v>
      </c>
      <c r="G228" t="s">
        <v>2033</v>
      </c>
      <c r="H228" t="s">
        <v>5356</v>
      </c>
      <c r="I228">
        <v>47.613962000000001</v>
      </c>
      <c r="J228">
        <v>-122.31788</v>
      </c>
      <c r="K228" t="s">
        <v>3936</v>
      </c>
      <c r="L228" t="s">
        <v>3946</v>
      </c>
      <c r="M228" t="s">
        <v>4888</v>
      </c>
      <c r="P228" t="s">
        <v>2353</v>
      </c>
    </row>
    <row r="229" spans="1:16" x14ac:dyDescent="0.2">
      <c r="A229" t="s">
        <v>1907</v>
      </c>
      <c r="B229" t="s">
        <v>3462</v>
      </c>
      <c r="C229" t="s">
        <v>66</v>
      </c>
      <c r="D229" t="s">
        <v>2307</v>
      </c>
      <c r="E229">
        <v>98101</v>
      </c>
      <c r="F229" t="s">
        <v>1604</v>
      </c>
      <c r="G229" t="s">
        <v>1976</v>
      </c>
      <c r="H229" t="s">
        <v>4010</v>
      </c>
      <c r="I229">
        <v>47.608178000000002</v>
      </c>
      <c r="J229">
        <v>-122.334621</v>
      </c>
      <c r="K229" t="s">
        <v>3936</v>
      </c>
      <c r="L229" t="s">
        <v>3946</v>
      </c>
      <c r="M229" t="s">
        <v>4888</v>
      </c>
      <c r="P229" t="s">
        <v>3462</v>
      </c>
    </row>
    <row r="230" spans="1:16" x14ac:dyDescent="0.2">
      <c r="A230" t="s">
        <v>1908</v>
      </c>
      <c r="B230" t="s">
        <v>3462</v>
      </c>
      <c r="C230" t="s">
        <v>66</v>
      </c>
      <c r="D230" t="s">
        <v>2307</v>
      </c>
      <c r="E230">
        <v>98101</v>
      </c>
      <c r="F230" t="s">
        <v>1604</v>
      </c>
      <c r="G230" t="s">
        <v>1977</v>
      </c>
      <c r="H230" t="s">
        <v>5058</v>
      </c>
      <c r="I230">
        <v>47.608178000000002</v>
      </c>
      <c r="J230">
        <v>-122.334621</v>
      </c>
      <c r="K230" t="s">
        <v>3936</v>
      </c>
      <c r="L230" t="s">
        <v>3946</v>
      </c>
      <c r="M230" t="s">
        <v>4888</v>
      </c>
      <c r="P230" t="s">
        <v>3462</v>
      </c>
    </row>
    <row r="231" spans="1:16" x14ac:dyDescent="0.2">
      <c r="A231" t="s">
        <v>2009</v>
      </c>
      <c r="B231" t="s">
        <v>2358</v>
      </c>
      <c r="C231" t="s">
        <v>66</v>
      </c>
      <c r="D231" t="s">
        <v>2307</v>
      </c>
      <c r="E231">
        <v>98103</v>
      </c>
      <c r="F231" t="s">
        <v>1600</v>
      </c>
      <c r="G231" t="s">
        <v>2005</v>
      </c>
      <c r="H231" t="s">
        <v>4278</v>
      </c>
      <c r="I231">
        <v>47.650365000000001</v>
      </c>
      <c r="J231">
        <v>-122.353499</v>
      </c>
      <c r="K231" t="s">
        <v>3936</v>
      </c>
      <c r="L231" t="s">
        <v>3946</v>
      </c>
      <c r="M231" t="s">
        <v>4888</v>
      </c>
      <c r="P231" t="s">
        <v>2358</v>
      </c>
    </row>
    <row r="232" spans="1:16" x14ac:dyDescent="0.2">
      <c r="A232" t="s">
        <v>1592</v>
      </c>
      <c r="B232" t="s">
        <v>3542</v>
      </c>
      <c r="C232" t="s">
        <v>66</v>
      </c>
      <c r="D232" t="s">
        <v>2307</v>
      </c>
      <c r="E232">
        <v>98104</v>
      </c>
      <c r="F232" t="s">
        <v>1591</v>
      </c>
      <c r="G232" t="s">
        <v>1969</v>
      </c>
      <c r="H232" t="s">
        <v>4942</v>
      </c>
      <c r="I232">
        <v>47.606574999999999</v>
      </c>
      <c r="J232">
        <v>-122.331397</v>
      </c>
      <c r="K232" t="s">
        <v>3936</v>
      </c>
      <c r="L232" t="s">
        <v>3946</v>
      </c>
      <c r="M232" t="s">
        <v>4888</v>
      </c>
      <c r="P232" t="s">
        <v>3542</v>
      </c>
    </row>
    <row r="233" spans="1:16" x14ac:dyDescent="0.2">
      <c r="A233" t="s">
        <v>1593</v>
      </c>
      <c r="B233" t="s">
        <v>3463</v>
      </c>
      <c r="C233" t="s">
        <v>66</v>
      </c>
      <c r="D233" t="s">
        <v>2307</v>
      </c>
      <c r="E233">
        <v>98101</v>
      </c>
      <c r="F233" t="s">
        <v>1577</v>
      </c>
      <c r="G233" t="s">
        <v>1983</v>
      </c>
      <c r="H233" t="s">
        <v>4043</v>
      </c>
      <c r="I233">
        <v>47.605884000000003</v>
      </c>
      <c r="J233">
        <v>-122.340521</v>
      </c>
      <c r="K233" t="s">
        <v>3936</v>
      </c>
      <c r="L233" t="s">
        <v>3946</v>
      </c>
      <c r="M233" t="s">
        <v>4888</v>
      </c>
      <c r="P233" t="s">
        <v>3463</v>
      </c>
    </row>
    <row r="234" spans="1:16" x14ac:dyDescent="0.2">
      <c r="A234" t="s">
        <v>2036</v>
      </c>
      <c r="B234" t="s">
        <v>2364</v>
      </c>
      <c r="C234" t="s">
        <v>66</v>
      </c>
      <c r="D234" t="s">
        <v>2307</v>
      </c>
      <c r="E234">
        <v>98103</v>
      </c>
      <c r="F234" t="s">
        <v>1583</v>
      </c>
      <c r="G234" t="s">
        <v>1980</v>
      </c>
      <c r="H234" t="s">
        <v>5059</v>
      </c>
      <c r="I234">
        <v>47.654119000000001</v>
      </c>
      <c r="J234">
        <v>-122.34453499999999</v>
      </c>
      <c r="K234" t="s">
        <v>3936</v>
      </c>
      <c r="L234" t="s">
        <v>3946</v>
      </c>
      <c r="M234" t="s">
        <v>4888</v>
      </c>
      <c r="P234" t="s">
        <v>2364</v>
      </c>
    </row>
    <row r="235" spans="1:16" x14ac:dyDescent="0.2">
      <c r="A235" t="s">
        <v>2010</v>
      </c>
      <c r="B235" t="s">
        <v>2366</v>
      </c>
      <c r="C235" t="s">
        <v>66</v>
      </c>
      <c r="D235" t="s">
        <v>2307</v>
      </c>
      <c r="E235">
        <v>98104</v>
      </c>
      <c r="F235" t="s">
        <v>1716</v>
      </c>
      <c r="G235" t="s">
        <v>2000</v>
      </c>
      <c r="H235" t="s">
        <v>4284</v>
      </c>
      <c r="I235">
        <v>47.603817999999997</v>
      </c>
      <c r="J235">
        <v>-122.33857999999999</v>
      </c>
      <c r="K235" t="s">
        <v>3936</v>
      </c>
      <c r="L235" t="s">
        <v>3946</v>
      </c>
      <c r="M235" t="s">
        <v>4888</v>
      </c>
      <c r="P235" t="s">
        <v>2366</v>
      </c>
    </row>
    <row r="236" spans="1:16" x14ac:dyDescent="0.2">
      <c r="A236" t="s">
        <v>2009</v>
      </c>
      <c r="B236" t="s">
        <v>2368</v>
      </c>
      <c r="C236" t="s">
        <v>66</v>
      </c>
      <c r="D236" t="s">
        <v>2307</v>
      </c>
      <c r="E236">
        <v>98104</v>
      </c>
      <c r="F236" t="s">
        <v>1600</v>
      </c>
      <c r="G236" t="s">
        <v>2005</v>
      </c>
      <c r="H236" t="s">
        <v>4286</v>
      </c>
      <c r="I236">
        <v>47.603957999999999</v>
      </c>
      <c r="J236">
        <v>-122.333978</v>
      </c>
      <c r="K236" t="s">
        <v>3936</v>
      </c>
      <c r="L236" t="s">
        <v>3946</v>
      </c>
      <c r="M236" t="s">
        <v>4888</v>
      </c>
      <c r="P236" t="s">
        <v>2368</v>
      </c>
    </row>
    <row r="237" spans="1:16" x14ac:dyDescent="0.2">
      <c r="A237" t="s">
        <v>1595</v>
      </c>
      <c r="B237" t="s">
        <v>3464</v>
      </c>
      <c r="C237" t="s">
        <v>66</v>
      </c>
      <c r="D237" t="s">
        <v>2307</v>
      </c>
      <c r="E237">
        <v>98105</v>
      </c>
      <c r="F237" t="s">
        <v>1573</v>
      </c>
      <c r="G237" t="s">
        <v>1990</v>
      </c>
      <c r="H237" t="s">
        <v>5344</v>
      </c>
      <c r="I237">
        <v>47.653773000000001</v>
      </c>
      <c r="J237">
        <v>-122.324462</v>
      </c>
      <c r="K237" t="s">
        <v>3936</v>
      </c>
      <c r="L237" t="s">
        <v>3946</v>
      </c>
      <c r="M237" t="s">
        <v>4888</v>
      </c>
      <c r="P237" t="s">
        <v>3464</v>
      </c>
    </row>
    <row r="238" spans="1:16" x14ac:dyDescent="0.2">
      <c r="A238" t="s">
        <v>1910</v>
      </c>
      <c r="B238" t="s">
        <v>3464</v>
      </c>
      <c r="C238" t="s">
        <v>66</v>
      </c>
      <c r="D238" t="s">
        <v>2307</v>
      </c>
      <c r="E238">
        <v>98105</v>
      </c>
      <c r="F238" t="s">
        <v>1573</v>
      </c>
      <c r="G238" t="s">
        <v>1974</v>
      </c>
      <c r="H238" t="s">
        <v>4012</v>
      </c>
      <c r="I238">
        <v>47.653773000000001</v>
      </c>
      <c r="J238">
        <v>-122.324462</v>
      </c>
      <c r="K238" t="s">
        <v>3936</v>
      </c>
      <c r="L238" t="s">
        <v>3946</v>
      </c>
      <c r="M238" t="s">
        <v>4888</v>
      </c>
      <c r="P238" t="s">
        <v>3464</v>
      </c>
    </row>
    <row r="239" spans="1:16" x14ac:dyDescent="0.2">
      <c r="A239" t="s">
        <v>2038</v>
      </c>
      <c r="B239" t="s">
        <v>2372</v>
      </c>
      <c r="C239" t="s">
        <v>66</v>
      </c>
      <c r="D239" t="s">
        <v>2307</v>
      </c>
      <c r="E239">
        <v>98112</v>
      </c>
      <c r="F239" t="s">
        <v>2039</v>
      </c>
      <c r="G239" t="s">
        <v>1981</v>
      </c>
      <c r="H239" t="s">
        <v>4288</v>
      </c>
      <c r="I239">
        <v>47.619501</v>
      </c>
      <c r="J239">
        <v>-122.302165</v>
      </c>
      <c r="K239" t="s">
        <v>3936</v>
      </c>
      <c r="L239" t="s">
        <v>3946</v>
      </c>
      <c r="M239" t="s">
        <v>4888</v>
      </c>
      <c r="P239" t="s">
        <v>2372</v>
      </c>
    </row>
    <row r="240" spans="1:16" x14ac:dyDescent="0.2">
      <c r="A240" t="s">
        <v>2042</v>
      </c>
      <c r="B240" t="s">
        <v>2377</v>
      </c>
      <c r="C240" t="s">
        <v>66</v>
      </c>
      <c r="D240" t="s">
        <v>2307</v>
      </c>
      <c r="E240">
        <v>98107</v>
      </c>
      <c r="F240" t="s">
        <v>2035</v>
      </c>
      <c r="G240" t="s">
        <v>2005</v>
      </c>
      <c r="H240" t="s">
        <v>4293</v>
      </c>
      <c r="I240">
        <v>47.656269999999999</v>
      </c>
      <c r="J240">
        <v>-122.36245700000001</v>
      </c>
      <c r="K240" t="s">
        <v>3936</v>
      </c>
      <c r="L240" t="s">
        <v>3946</v>
      </c>
      <c r="M240" t="s">
        <v>4888</v>
      </c>
      <c r="P240" t="s">
        <v>2377</v>
      </c>
    </row>
    <row r="241" spans="1:16" x14ac:dyDescent="0.2">
      <c r="A241" t="s">
        <v>2043</v>
      </c>
      <c r="B241" t="s">
        <v>2380</v>
      </c>
      <c r="C241" t="s">
        <v>66</v>
      </c>
      <c r="D241" t="s">
        <v>2307</v>
      </c>
      <c r="E241">
        <v>98119</v>
      </c>
      <c r="F241" t="s">
        <v>2044</v>
      </c>
      <c r="G241" t="s">
        <v>1990</v>
      </c>
      <c r="H241" t="s">
        <v>5357</v>
      </c>
      <c r="I241">
        <v>47.648868999999998</v>
      </c>
      <c r="J241">
        <v>-122.376983</v>
      </c>
      <c r="K241" t="s">
        <v>3936</v>
      </c>
      <c r="L241" t="s">
        <v>3946</v>
      </c>
      <c r="M241" t="s">
        <v>4888</v>
      </c>
      <c r="P241" t="s">
        <v>2380</v>
      </c>
    </row>
    <row r="242" spans="1:16" x14ac:dyDescent="0.2">
      <c r="A242" t="s">
        <v>1598</v>
      </c>
      <c r="B242" t="s">
        <v>3547</v>
      </c>
      <c r="C242" t="s">
        <v>66</v>
      </c>
      <c r="D242" t="s">
        <v>2307</v>
      </c>
      <c r="E242">
        <v>98103</v>
      </c>
      <c r="F242" t="s">
        <v>1587</v>
      </c>
      <c r="G242" t="s">
        <v>1973</v>
      </c>
      <c r="H242" t="s">
        <v>4045</v>
      </c>
      <c r="I242">
        <v>47.661358999999997</v>
      </c>
      <c r="J242">
        <v>-122.33641299999999</v>
      </c>
      <c r="K242" t="s">
        <v>3936</v>
      </c>
      <c r="L242" t="s">
        <v>3946</v>
      </c>
      <c r="M242" t="s">
        <v>4888</v>
      </c>
      <c r="P242" t="s">
        <v>3547</v>
      </c>
    </row>
    <row r="243" spans="1:16" x14ac:dyDescent="0.2">
      <c r="A243" t="s">
        <v>1603</v>
      </c>
      <c r="B243" t="s">
        <v>3550</v>
      </c>
      <c r="C243" t="s">
        <v>66</v>
      </c>
      <c r="D243" t="s">
        <v>2307</v>
      </c>
      <c r="E243">
        <v>98103</v>
      </c>
      <c r="F243" t="s">
        <v>1583</v>
      </c>
      <c r="G243" t="s">
        <v>1980</v>
      </c>
      <c r="H243" t="s">
        <v>4943</v>
      </c>
      <c r="I243">
        <v>47.661580000000001</v>
      </c>
      <c r="J243">
        <v>-122.334625</v>
      </c>
      <c r="K243" t="s">
        <v>3936</v>
      </c>
      <c r="L243" t="s">
        <v>3946</v>
      </c>
      <c r="M243" t="s">
        <v>4888</v>
      </c>
      <c r="P243" t="s">
        <v>3550</v>
      </c>
    </row>
    <row r="244" spans="1:16" x14ac:dyDescent="0.2">
      <c r="A244" t="s">
        <v>2046</v>
      </c>
      <c r="B244" t="s">
        <v>2385</v>
      </c>
      <c r="C244" t="s">
        <v>66</v>
      </c>
      <c r="D244" t="s">
        <v>2307</v>
      </c>
      <c r="E244">
        <v>98112</v>
      </c>
      <c r="F244" t="s">
        <v>1716</v>
      </c>
      <c r="G244" t="s">
        <v>1995</v>
      </c>
      <c r="H244" t="s">
        <v>4297</v>
      </c>
      <c r="I244">
        <v>47.626311999999999</v>
      </c>
      <c r="J244">
        <v>-122.291901</v>
      </c>
      <c r="K244" t="s">
        <v>3936</v>
      </c>
      <c r="L244" t="s">
        <v>3946</v>
      </c>
      <c r="M244" t="s">
        <v>4888</v>
      </c>
      <c r="P244" t="s">
        <v>2385</v>
      </c>
    </row>
    <row r="245" spans="1:16" x14ac:dyDescent="0.2">
      <c r="A245" t="s">
        <v>2047</v>
      </c>
      <c r="B245" t="s">
        <v>2386</v>
      </c>
      <c r="C245" t="s">
        <v>66</v>
      </c>
      <c r="D245" t="s">
        <v>2307</v>
      </c>
      <c r="E245">
        <v>98199</v>
      </c>
      <c r="F245" t="s">
        <v>1716</v>
      </c>
      <c r="G245" t="s">
        <v>1987</v>
      </c>
      <c r="H245" t="s">
        <v>5061</v>
      </c>
      <c r="I245">
        <v>47.645246</v>
      </c>
      <c r="J245">
        <v>-122.382678</v>
      </c>
      <c r="K245" t="s">
        <v>3936</v>
      </c>
      <c r="L245" t="s">
        <v>3946</v>
      </c>
      <c r="M245" t="s">
        <v>4888</v>
      </c>
      <c r="P245" t="s">
        <v>2386</v>
      </c>
    </row>
    <row r="246" spans="1:16" x14ac:dyDescent="0.2">
      <c r="A246" t="s">
        <v>2049</v>
      </c>
      <c r="B246" t="s">
        <v>2389</v>
      </c>
      <c r="C246" t="s">
        <v>66</v>
      </c>
      <c r="D246" t="s">
        <v>2307</v>
      </c>
      <c r="E246">
        <v>98107</v>
      </c>
      <c r="F246" t="s">
        <v>1583</v>
      </c>
      <c r="G246" t="s">
        <v>1980</v>
      </c>
      <c r="H246" t="s">
        <v>5358</v>
      </c>
      <c r="I246">
        <v>47.659042999999997</v>
      </c>
      <c r="J246">
        <v>-122.364744</v>
      </c>
      <c r="K246" t="s">
        <v>3936</v>
      </c>
      <c r="L246" t="s">
        <v>3946</v>
      </c>
      <c r="M246" t="s">
        <v>4888</v>
      </c>
      <c r="P246" t="s">
        <v>2389</v>
      </c>
    </row>
    <row r="247" spans="1:16" x14ac:dyDescent="0.2">
      <c r="A247" t="s">
        <v>1607</v>
      </c>
      <c r="B247" t="s">
        <v>3553</v>
      </c>
      <c r="C247" t="s">
        <v>66</v>
      </c>
      <c r="D247" t="s">
        <v>2307</v>
      </c>
      <c r="E247">
        <v>98107</v>
      </c>
      <c r="F247" t="s">
        <v>1583</v>
      </c>
      <c r="G247" t="s">
        <v>1980</v>
      </c>
      <c r="H247" t="s">
        <v>5359</v>
      </c>
      <c r="I247">
        <v>47.659962</v>
      </c>
      <c r="J247">
        <v>-122.365526</v>
      </c>
      <c r="K247" t="s">
        <v>3936</v>
      </c>
      <c r="L247" t="s">
        <v>3946</v>
      </c>
      <c r="M247" t="s">
        <v>4888</v>
      </c>
      <c r="P247" t="s">
        <v>3553</v>
      </c>
    </row>
    <row r="248" spans="1:16" x14ac:dyDescent="0.2">
      <c r="A248" t="s">
        <v>2013</v>
      </c>
      <c r="B248" t="s">
        <v>2393</v>
      </c>
      <c r="C248" t="s">
        <v>66</v>
      </c>
      <c r="D248" t="s">
        <v>2307</v>
      </c>
      <c r="E248">
        <v>98103</v>
      </c>
      <c r="F248" t="s">
        <v>1716</v>
      </c>
      <c r="G248" t="s">
        <v>2000</v>
      </c>
      <c r="H248" t="s">
        <v>4302</v>
      </c>
      <c r="I248">
        <v>47.664276999999998</v>
      </c>
      <c r="J248">
        <v>-122.34146</v>
      </c>
      <c r="K248" t="s">
        <v>3936</v>
      </c>
      <c r="L248" t="s">
        <v>3946</v>
      </c>
      <c r="M248" t="s">
        <v>4888</v>
      </c>
      <c r="P248" t="s">
        <v>2393</v>
      </c>
    </row>
    <row r="249" spans="1:16" x14ac:dyDescent="0.2">
      <c r="A249" t="s">
        <v>2051</v>
      </c>
      <c r="B249" t="s">
        <v>2394</v>
      </c>
      <c r="C249" t="s">
        <v>66</v>
      </c>
      <c r="D249" t="s">
        <v>2307</v>
      </c>
      <c r="E249">
        <v>98105</v>
      </c>
      <c r="F249" t="s">
        <v>1600</v>
      </c>
      <c r="G249" t="s">
        <v>2052</v>
      </c>
      <c r="H249" t="s">
        <v>4303</v>
      </c>
      <c r="I249">
        <v>47.659945999999998</v>
      </c>
      <c r="J249">
        <v>-122.31333100000001</v>
      </c>
      <c r="K249" t="s">
        <v>3936</v>
      </c>
      <c r="L249" t="s">
        <v>3946</v>
      </c>
      <c r="M249" t="s">
        <v>4888</v>
      </c>
      <c r="P249" t="s">
        <v>2394</v>
      </c>
    </row>
    <row r="250" spans="1:16" x14ac:dyDescent="0.2">
      <c r="A250" t="s">
        <v>2053</v>
      </c>
      <c r="B250" t="s">
        <v>2395</v>
      </c>
      <c r="C250" t="s">
        <v>66</v>
      </c>
      <c r="D250" t="s">
        <v>2307</v>
      </c>
      <c r="E250">
        <v>98122</v>
      </c>
      <c r="F250" t="s">
        <v>1573</v>
      </c>
      <c r="G250" t="s">
        <v>1969</v>
      </c>
      <c r="H250" t="s">
        <v>4944</v>
      </c>
      <c r="I250">
        <v>47.601823000000003</v>
      </c>
      <c r="J250">
        <v>-122.3073</v>
      </c>
      <c r="K250" t="s">
        <v>3936</v>
      </c>
      <c r="L250" t="s">
        <v>3946</v>
      </c>
      <c r="M250" t="s">
        <v>4888</v>
      </c>
      <c r="P250" t="s">
        <v>2395</v>
      </c>
    </row>
    <row r="251" spans="1:16" x14ac:dyDescent="0.2">
      <c r="A251" t="s">
        <v>1609</v>
      </c>
      <c r="B251" t="s">
        <v>3555</v>
      </c>
      <c r="C251" t="s">
        <v>66</v>
      </c>
      <c r="D251" t="s">
        <v>2307</v>
      </c>
      <c r="E251">
        <v>98144</v>
      </c>
      <c r="F251" t="s">
        <v>1583</v>
      </c>
      <c r="G251" t="s">
        <v>1980</v>
      </c>
      <c r="H251" t="s">
        <v>5360</v>
      </c>
      <c r="I251">
        <v>47.599316999999999</v>
      </c>
      <c r="J251">
        <v>-122.310129</v>
      </c>
      <c r="K251" t="s">
        <v>3936</v>
      </c>
      <c r="L251" t="s">
        <v>3946</v>
      </c>
      <c r="M251" t="s">
        <v>4888</v>
      </c>
      <c r="P251" t="s">
        <v>3555</v>
      </c>
    </row>
    <row r="252" spans="1:16" x14ac:dyDescent="0.2">
      <c r="A252" t="s">
        <v>2055</v>
      </c>
      <c r="B252" t="s">
        <v>2399</v>
      </c>
      <c r="C252" t="s">
        <v>66</v>
      </c>
      <c r="D252" t="s">
        <v>2307</v>
      </c>
      <c r="E252">
        <v>98144</v>
      </c>
      <c r="F252" t="s">
        <v>2039</v>
      </c>
      <c r="G252" t="s">
        <v>2056</v>
      </c>
      <c r="H252" t="s">
        <v>4306</v>
      </c>
      <c r="I252">
        <v>47.599376999999997</v>
      </c>
      <c r="J252">
        <v>-122.30992000000001</v>
      </c>
      <c r="K252" t="s">
        <v>3936</v>
      </c>
      <c r="L252" t="s">
        <v>3946</v>
      </c>
      <c r="M252" t="s">
        <v>4888</v>
      </c>
      <c r="P252" t="s">
        <v>2399</v>
      </c>
    </row>
    <row r="253" spans="1:16" x14ac:dyDescent="0.2">
      <c r="A253" t="s">
        <v>2058</v>
      </c>
      <c r="B253" t="s">
        <v>2401</v>
      </c>
      <c r="C253" t="s">
        <v>66</v>
      </c>
      <c r="D253" t="s">
        <v>2307</v>
      </c>
      <c r="E253">
        <v>98105</v>
      </c>
      <c r="F253" t="s">
        <v>1716</v>
      </c>
      <c r="G253" t="s">
        <v>1995</v>
      </c>
      <c r="H253" t="s">
        <v>4307</v>
      </c>
      <c r="I253">
        <v>47.663637999999999</v>
      </c>
      <c r="J253">
        <v>-122.313276</v>
      </c>
      <c r="K253" t="s">
        <v>3936</v>
      </c>
      <c r="L253" t="s">
        <v>3946</v>
      </c>
      <c r="M253" t="s">
        <v>4888</v>
      </c>
      <c r="P253" t="s">
        <v>2401</v>
      </c>
    </row>
    <row r="254" spans="1:16" x14ac:dyDescent="0.2">
      <c r="A254" t="s">
        <v>2032</v>
      </c>
      <c r="B254" t="s">
        <v>2403</v>
      </c>
      <c r="C254" t="s">
        <v>66</v>
      </c>
      <c r="D254" t="s">
        <v>2307</v>
      </c>
      <c r="E254">
        <v>98122</v>
      </c>
      <c r="F254" t="s">
        <v>1658</v>
      </c>
      <c r="G254" t="s">
        <v>2033</v>
      </c>
      <c r="H254" t="s">
        <v>5062</v>
      </c>
      <c r="I254">
        <v>47.611761000000001</v>
      </c>
      <c r="J254">
        <v>-122.28948200000001</v>
      </c>
      <c r="K254" t="s">
        <v>3936</v>
      </c>
      <c r="L254" t="s">
        <v>3946</v>
      </c>
      <c r="M254" t="s">
        <v>4888</v>
      </c>
      <c r="P254" t="s">
        <v>2403</v>
      </c>
    </row>
    <row r="255" spans="1:16" x14ac:dyDescent="0.2">
      <c r="A255" t="s">
        <v>2061</v>
      </c>
      <c r="B255" t="s">
        <v>2405</v>
      </c>
      <c r="C255" t="s">
        <v>66</v>
      </c>
      <c r="D255" t="s">
        <v>2307</v>
      </c>
      <c r="E255">
        <v>98105</v>
      </c>
      <c r="F255" t="s">
        <v>1716</v>
      </c>
      <c r="G255" t="s">
        <v>1981</v>
      </c>
      <c r="H255" t="s">
        <v>4945</v>
      </c>
      <c r="I255">
        <v>47.665615000000003</v>
      </c>
      <c r="J255">
        <v>-122.31723</v>
      </c>
      <c r="K255" t="s">
        <v>3936</v>
      </c>
      <c r="L255" t="s">
        <v>3946</v>
      </c>
      <c r="M255" t="s">
        <v>4888</v>
      </c>
      <c r="P255" t="s">
        <v>2405</v>
      </c>
    </row>
    <row r="256" spans="1:16" x14ac:dyDescent="0.2">
      <c r="A256" t="s">
        <v>2062</v>
      </c>
      <c r="B256" t="s">
        <v>2406</v>
      </c>
      <c r="C256" t="s">
        <v>66</v>
      </c>
      <c r="D256" t="s">
        <v>2307</v>
      </c>
      <c r="E256">
        <v>98105</v>
      </c>
      <c r="F256" t="s">
        <v>1602</v>
      </c>
      <c r="G256" t="s">
        <v>1995</v>
      </c>
      <c r="H256" t="s">
        <v>4308</v>
      </c>
      <c r="I256">
        <v>47.664802999999999</v>
      </c>
      <c r="J256">
        <v>-122.312911</v>
      </c>
      <c r="K256" t="s">
        <v>3936</v>
      </c>
      <c r="L256" t="s">
        <v>3946</v>
      </c>
      <c r="M256" t="s">
        <v>4888</v>
      </c>
      <c r="P256" t="s">
        <v>2406</v>
      </c>
    </row>
    <row r="257" spans="1:16" x14ac:dyDescent="0.2">
      <c r="A257" t="s">
        <v>2030</v>
      </c>
      <c r="B257" t="s">
        <v>2408</v>
      </c>
      <c r="C257" t="s">
        <v>66</v>
      </c>
      <c r="D257" t="s">
        <v>2307</v>
      </c>
      <c r="E257">
        <v>98105</v>
      </c>
      <c r="F257" t="s">
        <v>1600</v>
      </c>
      <c r="G257" t="s">
        <v>1984</v>
      </c>
      <c r="H257" t="s">
        <v>5361</v>
      </c>
      <c r="I257">
        <v>47.666521000000003</v>
      </c>
      <c r="J257">
        <v>-122.317331</v>
      </c>
      <c r="K257" t="s">
        <v>3936</v>
      </c>
      <c r="L257" t="s">
        <v>3946</v>
      </c>
      <c r="M257" t="s">
        <v>4888</v>
      </c>
      <c r="P257" t="s">
        <v>2408</v>
      </c>
    </row>
    <row r="258" spans="1:16" x14ac:dyDescent="0.2">
      <c r="A258" t="s">
        <v>2116</v>
      </c>
      <c r="B258" t="s">
        <v>5063</v>
      </c>
      <c r="C258" t="s">
        <v>66</v>
      </c>
      <c r="D258" t="s">
        <v>2307</v>
      </c>
      <c r="E258">
        <v>98134</v>
      </c>
      <c r="F258" t="s">
        <v>1716</v>
      </c>
      <c r="G258" t="s">
        <v>2000</v>
      </c>
      <c r="H258" t="s">
        <v>5064</v>
      </c>
      <c r="I258">
        <v>47.591178999999997</v>
      </c>
      <c r="J258">
        <v>-122.331017</v>
      </c>
      <c r="K258" t="s">
        <v>3936</v>
      </c>
      <c r="L258" t="s">
        <v>3946</v>
      </c>
      <c r="M258" t="s">
        <v>4888</v>
      </c>
      <c r="P258" t="s">
        <v>5063</v>
      </c>
    </row>
    <row r="259" spans="1:16" x14ac:dyDescent="0.2">
      <c r="A259" t="s">
        <v>2064</v>
      </c>
      <c r="B259" t="s">
        <v>2410</v>
      </c>
      <c r="C259" t="s">
        <v>66</v>
      </c>
      <c r="D259" t="s">
        <v>2307</v>
      </c>
      <c r="E259">
        <v>98199</v>
      </c>
      <c r="F259" t="s">
        <v>1716</v>
      </c>
      <c r="G259" t="s">
        <v>1990</v>
      </c>
      <c r="H259" t="s">
        <v>5065</v>
      </c>
      <c r="I259">
        <v>47.639411000000003</v>
      </c>
      <c r="J259">
        <v>-122.39724699999999</v>
      </c>
      <c r="K259" t="s">
        <v>3936</v>
      </c>
      <c r="L259" t="s">
        <v>3946</v>
      </c>
      <c r="M259" t="s">
        <v>4888</v>
      </c>
      <c r="P259" t="s">
        <v>2410</v>
      </c>
    </row>
    <row r="260" spans="1:16" x14ac:dyDescent="0.2">
      <c r="A260" t="s">
        <v>1612</v>
      </c>
      <c r="B260" t="s">
        <v>3559</v>
      </c>
      <c r="C260" t="s">
        <v>66</v>
      </c>
      <c r="D260" t="s">
        <v>2307</v>
      </c>
      <c r="E260">
        <v>98105</v>
      </c>
      <c r="F260" t="s">
        <v>1575</v>
      </c>
      <c r="G260" t="s">
        <v>1982</v>
      </c>
      <c r="H260" t="s">
        <v>4048</v>
      </c>
      <c r="I260">
        <v>47.667274999999997</v>
      </c>
      <c r="J260">
        <v>-122.317213</v>
      </c>
      <c r="K260" t="s">
        <v>3936</v>
      </c>
      <c r="L260" t="s">
        <v>3946</v>
      </c>
      <c r="M260" t="s">
        <v>4888</v>
      </c>
      <c r="P260" t="s">
        <v>3559</v>
      </c>
    </row>
    <row r="261" spans="1:16" x14ac:dyDescent="0.2">
      <c r="A261" t="s">
        <v>2065</v>
      </c>
      <c r="B261" t="s">
        <v>2414</v>
      </c>
      <c r="C261" t="s">
        <v>66</v>
      </c>
      <c r="D261" t="s">
        <v>2307</v>
      </c>
      <c r="E261">
        <v>98105</v>
      </c>
      <c r="F261" t="s">
        <v>1583</v>
      </c>
      <c r="G261" t="s">
        <v>1980</v>
      </c>
      <c r="H261" t="s">
        <v>5362</v>
      </c>
      <c r="I261">
        <v>47.667625000000001</v>
      </c>
      <c r="J261">
        <v>-122.313242</v>
      </c>
      <c r="K261" t="s">
        <v>3936</v>
      </c>
      <c r="L261" t="s">
        <v>3946</v>
      </c>
      <c r="M261" t="s">
        <v>4888</v>
      </c>
      <c r="P261" t="s">
        <v>2414</v>
      </c>
    </row>
    <row r="262" spans="1:16" x14ac:dyDescent="0.2">
      <c r="A262" t="s">
        <v>2068</v>
      </c>
      <c r="B262" t="s">
        <v>2419</v>
      </c>
      <c r="C262" t="s">
        <v>66</v>
      </c>
      <c r="D262" t="s">
        <v>2307</v>
      </c>
      <c r="E262">
        <v>98107</v>
      </c>
      <c r="F262" t="s">
        <v>1716</v>
      </c>
      <c r="G262" t="s">
        <v>1974</v>
      </c>
      <c r="H262" t="s">
        <v>5066</v>
      </c>
      <c r="I262">
        <v>47.667271999999997</v>
      </c>
      <c r="J262">
        <v>-122.376304</v>
      </c>
      <c r="K262" t="s">
        <v>3936</v>
      </c>
      <c r="L262" t="s">
        <v>3946</v>
      </c>
      <c r="M262" t="s">
        <v>4888</v>
      </c>
      <c r="P262" t="s">
        <v>2419</v>
      </c>
    </row>
    <row r="263" spans="1:16" x14ac:dyDescent="0.2">
      <c r="A263" t="s">
        <v>2069</v>
      </c>
      <c r="B263" t="s">
        <v>2421</v>
      </c>
      <c r="C263" t="s">
        <v>66</v>
      </c>
      <c r="D263" t="s">
        <v>2307</v>
      </c>
      <c r="E263">
        <v>98115</v>
      </c>
      <c r="F263" t="s">
        <v>2044</v>
      </c>
      <c r="G263" t="s">
        <v>1990</v>
      </c>
      <c r="H263" t="s">
        <v>4313</v>
      </c>
      <c r="I263">
        <v>47.675314999999998</v>
      </c>
      <c r="J263">
        <v>-122.325632</v>
      </c>
      <c r="K263" t="s">
        <v>3936</v>
      </c>
      <c r="L263" t="s">
        <v>3946</v>
      </c>
      <c r="M263" t="s">
        <v>4888</v>
      </c>
      <c r="P263" t="s">
        <v>2421</v>
      </c>
    </row>
    <row r="264" spans="1:16" x14ac:dyDescent="0.2">
      <c r="A264" t="s">
        <v>2070</v>
      </c>
      <c r="B264" t="s">
        <v>2422</v>
      </c>
      <c r="C264" t="s">
        <v>66</v>
      </c>
      <c r="D264" t="s">
        <v>2307</v>
      </c>
      <c r="E264">
        <v>98144</v>
      </c>
      <c r="F264" t="s">
        <v>2197</v>
      </c>
      <c r="G264" t="s">
        <v>1969</v>
      </c>
      <c r="H264" t="s">
        <v>4946</v>
      </c>
      <c r="I264">
        <v>47.592095</v>
      </c>
      <c r="J264">
        <v>-122.29858</v>
      </c>
      <c r="K264" t="s">
        <v>3936</v>
      </c>
      <c r="L264" t="s">
        <v>3946</v>
      </c>
      <c r="M264" t="s">
        <v>4888</v>
      </c>
      <c r="P264" t="s">
        <v>2422</v>
      </c>
    </row>
    <row r="265" spans="1:16" x14ac:dyDescent="0.2">
      <c r="A265" t="s">
        <v>2013</v>
      </c>
      <c r="B265" t="s">
        <v>2423</v>
      </c>
      <c r="C265" t="s">
        <v>66</v>
      </c>
      <c r="D265" t="s">
        <v>2307</v>
      </c>
      <c r="E265">
        <v>98105</v>
      </c>
      <c r="F265" t="s">
        <v>1716</v>
      </c>
      <c r="G265" t="s">
        <v>2000</v>
      </c>
      <c r="H265" t="s">
        <v>4315</v>
      </c>
      <c r="I265">
        <v>47.668711000000002</v>
      </c>
      <c r="J265">
        <v>-122.300494</v>
      </c>
      <c r="K265" t="s">
        <v>3936</v>
      </c>
      <c r="L265" t="s">
        <v>3946</v>
      </c>
      <c r="M265" t="s">
        <v>4888</v>
      </c>
      <c r="P265" t="s">
        <v>2423</v>
      </c>
    </row>
    <row r="266" spans="1:16" x14ac:dyDescent="0.2">
      <c r="A266" t="s">
        <v>1615</v>
      </c>
      <c r="B266" t="s">
        <v>3562</v>
      </c>
      <c r="C266" t="s">
        <v>66</v>
      </c>
      <c r="D266" t="s">
        <v>2307</v>
      </c>
      <c r="E266">
        <v>98107</v>
      </c>
      <c r="F266" t="s">
        <v>1573</v>
      </c>
      <c r="G266" t="s">
        <v>1974</v>
      </c>
      <c r="H266" t="s">
        <v>5363</v>
      </c>
      <c r="I266">
        <v>47.667003000000001</v>
      </c>
      <c r="J266">
        <v>-122.38282599999999</v>
      </c>
      <c r="K266" t="s">
        <v>3936</v>
      </c>
      <c r="L266" t="s">
        <v>3946</v>
      </c>
      <c r="M266" t="s">
        <v>4888</v>
      </c>
      <c r="P266" t="s">
        <v>3562</v>
      </c>
    </row>
    <row r="267" spans="1:16" x14ac:dyDescent="0.2">
      <c r="A267" t="s">
        <v>2072</v>
      </c>
      <c r="B267" t="s">
        <v>2425</v>
      </c>
      <c r="C267" t="s">
        <v>66</v>
      </c>
      <c r="D267" t="s">
        <v>2307</v>
      </c>
      <c r="E267">
        <v>98144</v>
      </c>
      <c r="F267" t="s">
        <v>1716</v>
      </c>
      <c r="G267" t="s">
        <v>2000</v>
      </c>
      <c r="H267" t="s">
        <v>5364</v>
      </c>
      <c r="I267">
        <v>47.588121000000001</v>
      </c>
      <c r="J267">
        <v>-122.305863</v>
      </c>
      <c r="K267" t="s">
        <v>3936</v>
      </c>
      <c r="L267" t="s">
        <v>3946</v>
      </c>
      <c r="M267" t="s">
        <v>4888</v>
      </c>
      <c r="P267" t="s">
        <v>2425</v>
      </c>
    </row>
    <row r="268" spans="1:16" x14ac:dyDescent="0.2">
      <c r="A268" t="s">
        <v>5067</v>
      </c>
      <c r="B268" t="s">
        <v>5068</v>
      </c>
      <c r="C268" t="s">
        <v>66</v>
      </c>
      <c r="D268" t="s">
        <v>2307</v>
      </c>
      <c r="E268">
        <v>98105</v>
      </c>
      <c r="F268" t="s">
        <v>2044</v>
      </c>
      <c r="G268" t="s">
        <v>2005</v>
      </c>
      <c r="H268" t="s">
        <v>5069</v>
      </c>
      <c r="I268">
        <v>47.676006000000001</v>
      </c>
      <c r="J268">
        <v>-122.319844</v>
      </c>
      <c r="K268" t="s">
        <v>3936</v>
      </c>
      <c r="L268" t="s">
        <v>3946</v>
      </c>
      <c r="M268" t="s">
        <v>4888</v>
      </c>
      <c r="P268" t="s">
        <v>5068</v>
      </c>
    </row>
    <row r="269" spans="1:16" x14ac:dyDescent="0.2">
      <c r="A269" t="s">
        <v>5070</v>
      </c>
      <c r="B269" t="s">
        <v>6220</v>
      </c>
      <c r="C269" t="s">
        <v>66</v>
      </c>
      <c r="D269" t="s">
        <v>2307</v>
      </c>
      <c r="E269">
        <v>98115</v>
      </c>
      <c r="F269" t="s">
        <v>1573</v>
      </c>
      <c r="G269" t="s">
        <v>5071</v>
      </c>
      <c r="H269" t="s">
        <v>5072</v>
      </c>
      <c r="I269">
        <v>47.675958000000001</v>
      </c>
      <c r="J269">
        <v>-122.3171</v>
      </c>
      <c r="K269" t="s">
        <v>3936</v>
      </c>
      <c r="L269" t="s">
        <v>3946</v>
      </c>
      <c r="M269" t="s">
        <v>4888</v>
      </c>
      <c r="P269" t="s">
        <v>6022</v>
      </c>
    </row>
    <row r="270" spans="1:16" x14ac:dyDescent="0.2">
      <c r="A270" t="s">
        <v>1619</v>
      </c>
      <c r="B270" t="s">
        <v>3566</v>
      </c>
      <c r="C270" t="s">
        <v>66</v>
      </c>
      <c r="D270" t="s">
        <v>2307</v>
      </c>
      <c r="E270">
        <v>98107</v>
      </c>
      <c r="F270" t="s">
        <v>1620</v>
      </c>
      <c r="G270" t="s">
        <v>1973</v>
      </c>
      <c r="H270" t="s">
        <v>4947</v>
      </c>
      <c r="I270">
        <v>47.671764000000003</v>
      </c>
      <c r="J270">
        <v>-122.376361</v>
      </c>
      <c r="K270" t="s">
        <v>3936</v>
      </c>
      <c r="L270" t="s">
        <v>3946</v>
      </c>
      <c r="M270" t="s">
        <v>4888</v>
      </c>
      <c r="P270" t="s">
        <v>3566</v>
      </c>
    </row>
    <row r="271" spans="1:16" x14ac:dyDescent="0.2">
      <c r="A271" t="s">
        <v>2032</v>
      </c>
      <c r="B271" t="s">
        <v>2427</v>
      </c>
      <c r="C271" t="s">
        <v>66</v>
      </c>
      <c r="D271" t="s">
        <v>2307</v>
      </c>
      <c r="E271">
        <v>98107</v>
      </c>
      <c r="F271" t="s">
        <v>1658</v>
      </c>
      <c r="G271" t="s">
        <v>2033</v>
      </c>
      <c r="H271" t="s">
        <v>5073</v>
      </c>
      <c r="I271">
        <v>47.668829000000002</v>
      </c>
      <c r="J271">
        <v>-122.383572</v>
      </c>
      <c r="K271" t="s">
        <v>3936</v>
      </c>
      <c r="L271" t="s">
        <v>3946</v>
      </c>
      <c r="M271" t="s">
        <v>4888</v>
      </c>
      <c r="P271" t="s">
        <v>2427</v>
      </c>
    </row>
    <row r="272" spans="1:16" x14ac:dyDescent="0.2">
      <c r="A272" t="s">
        <v>1595</v>
      </c>
      <c r="B272" t="s">
        <v>3567</v>
      </c>
      <c r="C272" t="s">
        <v>66</v>
      </c>
      <c r="D272" t="s">
        <v>2307</v>
      </c>
      <c r="E272">
        <v>98107</v>
      </c>
      <c r="F272" t="s">
        <v>1573</v>
      </c>
      <c r="G272" t="s">
        <v>1990</v>
      </c>
      <c r="H272" t="s">
        <v>5345</v>
      </c>
      <c r="I272">
        <v>47.67248</v>
      </c>
      <c r="J272">
        <v>-122.376165</v>
      </c>
      <c r="K272" t="s">
        <v>3936</v>
      </c>
      <c r="L272" t="s">
        <v>3946</v>
      </c>
      <c r="M272" t="s">
        <v>4888</v>
      </c>
      <c r="P272" t="s">
        <v>3567</v>
      </c>
    </row>
    <row r="273" spans="1:16" x14ac:dyDescent="0.2">
      <c r="A273" t="s">
        <v>2073</v>
      </c>
      <c r="B273" t="s">
        <v>2429</v>
      </c>
      <c r="C273" t="s">
        <v>66</v>
      </c>
      <c r="D273" t="s">
        <v>2307</v>
      </c>
      <c r="E273">
        <v>98107</v>
      </c>
      <c r="F273" t="s">
        <v>1658</v>
      </c>
      <c r="G273" t="s">
        <v>2074</v>
      </c>
      <c r="H273" t="s">
        <v>5365</v>
      </c>
      <c r="I273">
        <v>47.668889999999998</v>
      </c>
      <c r="J273">
        <v>-122.385124</v>
      </c>
      <c r="K273" t="s">
        <v>3936</v>
      </c>
      <c r="L273" t="s">
        <v>3946</v>
      </c>
      <c r="M273" t="s">
        <v>4888</v>
      </c>
      <c r="P273" t="s">
        <v>2429</v>
      </c>
    </row>
    <row r="274" spans="1:16" x14ac:dyDescent="0.2">
      <c r="A274" t="s">
        <v>2075</v>
      </c>
      <c r="B274" t="s">
        <v>2430</v>
      </c>
      <c r="C274" t="s">
        <v>66</v>
      </c>
      <c r="D274" t="s">
        <v>2307</v>
      </c>
      <c r="E274">
        <v>98107</v>
      </c>
      <c r="F274" t="s">
        <v>2039</v>
      </c>
      <c r="G274" t="s">
        <v>1973</v>
      </c>
      <c r="H274" t="s">
        <v>4319</v>
      </c>
      <c r="I274">
        <v>47.668889999999998</v>
      </c>
      <c r="J274">
        <v>-122.385411</v>
      </c>
      <c r="K274" t="s">
        <v>3936</v>
      </c>
      <c r="L274" t="s">
        <v>3946</v>
      </c>
      <c r="M274" t="s">
        <v>4888</v>
      </c>
      <c r="P274" t="s">
        <v>2430</v>
      </c>
    </row>
    <row r="275" spans="1:16" x14ac:dyDescent="0.2">
      <c r="A275" t="s">
        <v>2076</v>
      </c>
      <c r="B275" t="s">
        <v>2432</v>
      </c>
      <c r="C275" t="s">
        <v>66</v>
      </c>
      <c r="D275" t="s">
        <v>2307</v>
      </c>
      <c r="E275">
        <v>98144</v>
      </c>
      <c r="F275" t="s">
        <v>2050</v>
      </c>
      <c r="G275" t="s">
        <v>1981</v>
      </c>
      <c r="H275" t="s">
        <v>5074</v>
      </c>
      <c r="I275">
        <v>47.581470000000003</v>
      </c>
      <c r="J275">
        <v>-122.314189</v>
      </c>
      <c r="K275" t="s">
        <v>3936</v>
      </c>
      <c r="L275" t="s">
        <v>3946</v>
      </c>
      <c r="M275" t="s">
        <v>4888</v>
      </c>
      <c r="P275" t="s">
        <v>2432</v>
      </c>
    </row>
    <row r="276" spans="1:16" x14ac:dyDescent="0.2">
      <c r="A276" t="s">
        <v>1622</v>
      </c>
      <c r="B276" t="s">
        <v>3569</v>
      </c>
      <c r="C276" t="s">
        <v>66</v>
      </c>
      <c r="D276" t="s">
        <v>2307</v>
      </c>
      <c r="E276">
        <v>98115</v>
      </c>
      <c r="F276" t="s">
        <v>1575</v>
      </c>
      <c r="G276" t="s">
        <v>1968</v>
      </c>
      <c r="H276" t="s">
        <v>4052</v>
      </c>
      <c r="I276">
        <v>47.680321999999997</v>
      </c>
      <c r="J276">
        <v>-122.32579800000001</v>
      </c>
      <c r="K276" t="s">
        <v>3936</v>
      </c>
      <c r="L276" t="s">
        <v>3946</v>
      </c>
      <c r="M276" t="s">
        <v>4888</v>
      </c>
      <c r="P276" t="s">
        <v>3569</v>
      </c>
    </row>
    <row r="277" spans="1:16" x14ac:dyDescent="0.2">
      <c r="A277" t="s">
        <v>2077</v>
      </c>
      <c r="B277" t="s">
        <v>2434</v>
      </c>
      <c r="C277" t="s">
        <v>66</v>
      </c>
      <c r="D277" t="s">
        <v>2307</v>
      </c>
      <c r="E277">
        <v>98107</v>
      </c>
      <c r="F277" t="s">
        <v>2050</v>
      </c>
      <c r="G277" t="s">
        <v>1987</v>
      </c>
      <c r="H277" t="s">
        <v>4322</v>
      </c>
      <c r="I277">
        <v>47.675348</v>
      </c>
      <c r="J277">
        <v>-122.37629200000001</v>
      </c>
      <c r="K277" t="s">
        <v>3936</v>
      </c>
      <c r="L277" t="s">
        <v>3946</v>
      </c>
      <c r="M277" t="s">
        <v>4888</v>
      </c>
      <c r="P277" t="s">
        <v>2434</v>
      </c>
    </row>
    <row r="278" spans="1:16" x14ac:dyDescent="0.2">
      <c r="A278" t="s">
        <v>2078</v>
      </c>
      <c r="B278" t="s">
        <v>2435</v>
      </c>
      <c r="C278" t="s">
        <v>66</v>
      </c>
      <c r="D278" t="s">
        <v>2307</v>
      </c>
      <c r="E278">
        <v>98115</v>
      </c>
      <c r="F278" t="s">
        <v>1716</v>
      </c>
      <c r="G278" t="s">
        <v>1990</v>
      </c>
      <c r="H278" t="s">
        <v>4323</v>
      </c>
      <c r="I278">
        <v>47.680740999999998</v>
      </c>
      <c r="J278">
        <v>-122.324636</v>
      </c>
      <c r="K278" t="s">
        <v>3936</v>
      </c>
      <c r="L278" t="s">
        <v>3946</v>
      </c>
      <c r="M278" t="s">
        <v>4888</v>
      </c>
      <c r="P278" t="s">
        <v>2435</v>
      </c>
    </row>
    <row r="279" spans="1:16" x14ac:dyDescent="0.2">
      <c r="A279" t="s">
        <v>2079</v>
      </c>
      <c r="B279" t="s">
        <v>2436</v>
      </c>
      <c r="C279" t="s">
        <v>66</v>
      </c>
      <c r="D279" t="s">
        <v>2307</v>
      </c>
      <c r="E279">
        <v>98115</v>
      </c>
      <c r="F279" t="s">
        <v>1716</v>
      </c>
      <c r="G279" t="s">
        <v>1973</v>
      </c>
      <c r="H279" t="s">
        <v>4324</v>
      </c>
      <c r="I279">
        <v>47.675916000000001</v>
      </c>
      <c r="J279">
        <v>-122.30319299999999</v>
      </c>
      <c r="K279" t="s">
        <v>3936</v>
      </c>
      <c r="L279" t="s">
        <v>3946</v>
      </c>
      <c r="M279" t="s">
        <v>4888</v>
      </c>
      <c r="P279" t="s">
        <v>2436</v>
      </c>
    </row>
    <row r="280" spans="1:16" x14ac:dyDescent="0.2">
      <c r="A280" t="s">
        <v>2080</v>
      </c>
      <c r="B280" t="s">
        <v>2437</v>
      </c>
      <c r="C280" t="s">
        <v>66</v>
      </c>
      <c r="D280" t="s">
        <v>2307</v>
      </c>
      <c r="E280">
        <v>98107</v>
      </c>
      <c r="F280" t="s">
        <v>1716</v>
      </c>
      <c r="G280" t="s">
        <v>1981</v>
      </c>
      <c r="H280" t="s">
        <v>5366</v>
      </c>
      <c r="I280">
        <v>47.671019000000001</v>
      </c>
      <c r="J280">
        <v>-122.387508</v>
      </c>
      <c r="K280" t="s">
        <v>3936</v>
      </c>
      <c r="L280" t="s">
        <v>3946</v>
      </c>
      <c r="M280" t="s">
        <v>4888</v>
      </c>
      <c r="P280" t="s">
        <v>2437</v>
      </c>
    </row>
    <row r="281" spans="1:16" x14ac:dyDescent="0.2">
      <c r="A281" t="s">
        <v>1624</v>
      </c>
      <c r="B281" t="s">
        <v>3571</v>
      </c>
      <c r="C281" t="s">
        <v>66</v>
      </c>
      <c r="D281" t="s">
        <v>2307</v>
      </c>
      <c r="E281">
        <v>98103</v>
      </c>
      <c r="F281" t="s">
        <v>1602</v>
      </c>
      <c r="G281" t="s">
        <v>1981</v>
      </c>
      <c r="H281" t="s">
        <v>4053</v>
      </c>
      <c r="I281">
        <v>47.682003999999999</v>
      </c>
      <c r="J281">
        <v>-122.344685</v>
      </c>
      <c r="K281" t="s">
        <v>3936</v>
      </c>
      <c r="L281" t="s">
        <v>3946</v>
      </c>
      <c r="M281" t="s">
        <v>4888</v>
      </c>
      <c r="P281" t="s">
        <v>3571</v>
      </c>
    </row>
    <row r="282" spans="1:16" x14ac:dyDescent="0.2">
      <c r="A282" t="s">
        <v>2082</v>
      </c>
      <c r="B282" t="s">
        <v>2439</v>
      </c>
      <c r="C282" t="s">
        <v>66</v>
      </c>
      <c r="D282" t="s">
        <v>2307</v>
      </c>
      <c r="E282">
        <v>98107</v>
      </c>
      <c r="F282" t="s">
        <v>1716</v>
      </c>
      <c r="G282" t="s">
        <v>1981</v>
      </c>
      <c r="H282" t="s">
        <v>4326</v>
      </c>
      <c r="I282">
        <v>47.667755999999997</v>
      </c>
      <c r="J282">
        <v>-122.39748899999999</v>
      </c>
      <c r="K282" t="s">
        <v>3936</v>
      </c>
      <c r="L282" t="s">
        <v>3946</v>
      </c>
      <c r="M282" t="s">
        <v>4888</v>
      </c>
      <c r="P282" t="s">
        <v>2439</v>
      </c>
    </row>
    <row r="283" spans="1:16" x14ac:dyDescent="0.2">
      <c r="A283" t="s">
        <v>2073</v>
      </c>
      <c r="B283" t="s">
        <v>2443</v>
      </c>
      <c r="C283" t="s">
        <v>66</v>
      </c>
      <c r="D283" t="s">
        <v>2307</v>
      </c>
      <c r="E283">
        <v>98105</v>
      </c>
      <c r="F283" t="s">
        <v>1658</v>
      </c>
      <c r="G283" t="s">
        <v>2074</v>
      </c>
      <c r="H283" t="s">
        <v>5367</v>
      </c>
      <c r="I283">
        <v>47.668218000000003</v>
      </c>
      <c r="J283">
        <v>-122.276912</v>
      </c>
      <c r="K283" t="s">
        <v>3936</v>
      </c>
      <c r="L283" t="s">
        <v>3946</v>
      </c>
      <c r="M283" t="s">
        <v>4888</v>
      </c>
      <c r="P283" t="s">
        <v>2443</v>
      </c>
    </row>
    <row r="284" spans="1:16" x14ac:dyDescent="0.2">
      <c r="A284" t="s">
        <v>1626</v>
      </c>
      <c r="B284" t="s">
        <v>3573</v>
      </c>
      <c r="C284" t="s">
        <v>66</v>
      </c>
      <c r="D284" t="s">
        <v>2307</v>
      </c>
      <c r="E284">
        <v>98103</v>
      </c>
      <c r="F284" t="s">
        <v>1587</v>
      </c>
      <c r="G284" t="s">
        <v>1973</v>
      </c>
      <c r="H284" t="s">
        <v>5075</v>
      </c>
      <c r="I284">
        <v>47.685704000000001</v>
      </c>
      <c r="J284">
        <v>-122.355164</v>
      </c>
      <c r="K284" t="s">
        <v>3936</v>
      </c>
      <c r="L284" t="s">
        <v>3946</v>
      </c>
      <c r="M284" t="s">
        <v>4888</v>
      </c>
      <c r="P284" t="s">
        <v>3573</v>
      </c>
    </row>
    <row r="285" spans="1:16" x14ac:dyDescent="0.2">
      <c r="A285" t="s">
        <v>1628</v>
      </c>
      <c r="B285" t="s">
        <v>3575</v>
      </c>
      <c r="C285" t="s">
        <v>66</v>
      </c>
      <c r="D285" t="s">
        <v>2307</v>
      </c>
      <c r="E285">
        <v>98115</v>
      </c>
      <c r="F285" t="s">
        <v>1602</v>
      </c>
      <c r="G285" t="s">
        <v>1989</v>
      </c>
      <c r="H285" t="s">
        <v>4055</v>
      </c>
      <c r="I285">
        <v>47.687047</v>
      </c>
      <c r="J285">
        <v>-122.313149</v>
      </c>
      <c r="K285" t="s">
        <v>3936</v>
      </c>
      <c r="L285" t="s">
        <v>3946</v>
      </c>
      <c r="M285" t="s">
        <v>4888</v>
      </c>
      <c r="P285" t="s">
        <v>3575</v>
      </c>
    </row>
    <row r="286" spans="1:16" x14ac:dyDescent="0.2">
      <c r="A286" t="s">
        <v>2083</v>
      </c>
      <c r="B286" t="s">
        <v>2448</v>
      </c>
      <c r="C286" t="s">
        <v>66</v>
      </c>
      <c r="D286" t="s">
        <v>2307</v>
      </c>
      <c r="E286">
        <v>98103</v>
      </c>
      <c r="F286" t="s">
        <v>1583</v>
      </c>
      <c r="G286" t="s">
        <v>1980</v>
      </c>
      <c r="H286" t="s">
        <v>5368</v>
      </c>
      <c r="I286">
        <v>47.689267000000001</v>
      </c>
      <c r="J286">
        <v>-122.355209</v>
      </c>
      <c r="K286" t="s">
        <v>3936</v>
      </c>
      <c r="L286" t="s">
        <v>3946</v>
      </c>
      <c r="M286" t="s">
        <v>4888</v>
      </c>
      <c r="P286" t="s">
        <v>2448</v>
      </c>
    </row>
    <row r="287" spans="1:16" x14ac:dyDescent="0.2">
      <c r="A287" t="s">
        <v>2084</v>
      </c>
      <c r="B287" t="s">
        <v>2449</v>
      </c>
      <c r="C287" t="s">
        <v>66</v>
      </c>
      <c r="D287" t="s">
        <v>2307</v>
      </c>
      <c r="E287">
        <v>98115</v>
      </c>
      <c r="F287" t="s">
        <v>1716</v>
      </c>
      <c r="G287" t="s">
        <v>2085</v>
      </c>
      <c r="H287" t="s">
        <v>5369</v>
      </c>
      <c r="I287">
        <v>47.687586000000003</v>
      </c>
      <c r="J287">
        <v>-122.311808</v>
      </c>
      <c r="K287" t="s">
        <v>3936</v>
      </c>
      <c r="L287" t="s">
        <v>3946</v>
      </c>
      <c r="M287" t="s">
        <v>4888</v>
      </c>
      <c r="P287" t="s">
        <v>2449</v>
      </c>
    </row>
    <row r="288" spans="1:16" x14ac:dyDescent="0.2">
      <c r="A288" t="s">
        <v>4948</v>
      </c>
      <c r="B288" t="s">
        <v>4949</v>
      </c>
      <c r="C288" t="s">
        <v>66</v>
      </c>
      <c r="D288" t="s">
        <v>2307</v>
      </c>
      <c r="E288">
        <v>98144</v>
      </c>
      <c r="F288" t="s">
        <v>1716</v>
      </c>
      <c r="G288" t="s">
        <v>1981</v>
      </c>
      <c r="H288" t="s">
        <v>5076</v>
      </c>
      <c r="I288">
        <v>47.576228999999998</v>
      </c>
      <c r="J288">
        <v>-122.29676499999999</v>
      </c>
      <c r="K288" t="s">
        <v>3936</v>
      </c>
      <c r="L288" t="s">
        <v>3946</v>
      </c>
      <c r="M288" t="s">
        <v>4888</v>
      </c>
      <c r="P288" t="s">
        <v>4949</v>
      </c>
    </row>
    <row r="289" spans="1:16" x14ac:dyDescent="0.2">
      <c r="A289" t="s">
        <v>2087</v>
      </c>
      <c r="B289" t="s">
        <v>2453</v>
      </c>
      <c r="C289" t="s">
        <v>66</v>
      </c>
      <c r="D289" t="s">
        <v>2307</v>
      </c>
      <c r="E289">
        <v>98103</v>
      </c>
      <c r="F289" t="s">
        <v>2050</v>
      </c>
      <c r="G289" t="s">
        <v>1990</v>
      </c>
      <c r="H289" t="s">
        <v>5370</v>
      </c>
      <c r="I289">
        <v>47.690016</v>
      </c>
      <c r="J289">
        <v>-122.355119</v>
      </c>
      <c r="K289" t="s">
        <v>3936</v>
      </c>
      <c r="L289" t="s">
        <v>3946</v>
      </c>
      <c r="M289" t="s">
        <v>4888</v>
      </c>
      <c r="P289" t="s">
        <v>2453</v>
      </c>
    </row>
    <row r="290" spans="1:16" x14ac:dyDescent="0.2">
      <c r="A290" t="s">
        <v>2091</v>
      </c>
      <c r="B290" t="s">
        <v>2457</v>
      </c>
      <c r="C290" t="s">
        <v>66</v>
      </c>
      <c r="D290" t="s">
        <v>2307</v>
      </c>
      <c r="E290">
        <v>98117</v>
      </c>
      <c r="F290" t="s">
        <v>2044</v>
      </c>
      <c r="G290" t="s">
        <v>1990</v>
      </c>
      <c r="H290" t="s">
        <v>4336</v>
      </c>
      <c r="I290">
        <v>47.690475999999997</v>
      </c>
      <c r="J290">
        <v>-122.36162400000001</v>
      </c>
      <c r="K290" t="s">
        <v>3936</v>
      </c>
      <c r="L290" t="s">
        <v>3946</v>
      </c>
      <c r="M290" t="s">
        <v>4888</v>
      </c>
      <c r="P290" t="s">
        <v>2457</v>
      </c>
    </row>
    <row r="291" spans="1:16" x14ac:dyDescent="0.2">
      <c r="A291" t="s">
        <v>2089</v>
      </c>
      <c r="B291" t="s">
        <v>2457</v>
      </c>
      <c r="C291" t="s">
        <v>66</v>
      </c>
      <c r="D291" t="s">
        <v>2307</v>
      </c>
      <c r="E291">
        <v>98133</v>
      </c>
      <c r="F291" t="s">
        <v>2090</v>
      </c>
      <c r="G291" t="s">
        <v>1969</v>
      </c>
      <c r="H291" t="s">
        <v>5371</v>
      </c>
      <c r="I291">
        <v>47.690475999999997</v>
      </c>
      <c r="J291">
        <v>-122.36162400000001</v>
      </c>
      <c r="K291" t="s">
        <v>3936</v>
      </c>
      <c r="L291" t="s">
        <v>3946</v>
      </c>
      <c r="M291" t="s">
        <v>4888</v>
      </c>
      <c r="P291" t="s">
        <v>2457</v>
      </c>
    </row>
    <row r="292" spans="1:16" x14ac:dyDescent="0.2">
      <c r="A292" t="s">
        <v>2092</v>
      </c>
      <c r="B292" t="s">
        <v>2458</v>
      </c>
      <c r="C292" t="s">
        <v>66</v>
      </c>
      <c r="D292" t="s">
        <v>2307</v>
      </c>
      <c r="E292">
        <v>98134</v>
      </c>
      <c r="F292" t="s">
        <v>1600</v>
      </c>
      <c r="G292" t="s">
        <v>2107</v>
      </c>
      <c r="H292" t="s">
        <v>5077</v>
      </c>
      <c r="I292">
        <v>47.566819000000002</v>
      </c>
      <c r="J292">
        <v>-122.329554</v>
      </c>
      <c r="K292" t="s">
        <v>3936</v>
      </c>
      <c r="L292" t="s">
        <v>3946</v>
      </c>
      <c r="M292" t="s">
        <v>4888</v>
      </c>
      <c r="P292" t="s">
        <v>2458</v>
      </c>
    </row>
    <row r="293" spans="1:16" x14ac:dyDescent="0.2">
      <c r="A293" t="s">
        <v>2093</v>
      </c>
      <c r="B293" t="s">
        <v>2459</v>
      </c>
      <c r="C293" t="s">
        <v>66</v>
      </c>
      <c r="D293" t="s">
        <v>2307</v>
      </c>
      <c r="E293">
        <v>98177</v>
      </c>
      <c r="F293" t="s">
        <v>2019</v>
      </c>
      <c r="G293" t="s">
        <v>2005</v>
      </c>
      <c r="H293" t="s">
        <v>5078</v>
      </c>
      <c r="I293">
        <v>47.690776</v>
      </c>
      <c r="J293">
        <v>-122.364829</v>
      </c>
      <c r="K293" t="s">
        <v>3936</v>
      </c>
      <c r="L293" t="s">
        <v>3946</v>
      </c>
      <c r="M293" t="s">
        <v>4888</v>
      </c>
      <c r="P293" t="s">
        <v>2459</v>
      </c>
    </row>
    <row r="294" spans="1:16" x14ac:dyDescent="0.2">
      <c r="A294" t="s">
        <v>1632</v>
      </c>
      <c r="B294" t="s">
        <v>3579</v>
      </c>
      <c r="C294" t="s">
        <v>66</v>
      </c>
      <c r="D294" t="s">
        <v>2307</v>
      </c>
      <c r="E294">
        <v>98144</v>
      </c>
      <c r="F294" t="s">
        <v>1577</v>
      </c>
      <c r="G294" t="s">
        <v>1981</v>
      </c>
      <c r="H294" t="s">
        <v>4939</v>
      </c>
      <c r="I294">
        <v>47.572533</v>
      </c>
      <c r="J294">
        <v>-122.29399100000001</v>
      </c>
      <c r="K294" t="s">
        <v>3936</v>
      </c>
      <c r="L294" t="s">
        <v>3946</v>
      </c>
      <c r="M294" t="s">
        <v>4888</v>
      </c>
      <c r="P294" t="s">
        <v>3579</v>
      </c>
    </row>
    <row r="295" spans="1:16" x14ac:dyDescent="0.2">
      <c r="A295" t="s">
        <v>2095</v>
      </c>
      <c r="B295" t="s">
        <v>2463</v>
      </c>
      <c r="C295" t="s">
        <v>66</v>
      </c>
      <c r="D295" t="s">
        <v>2307</v>
      </c>
      <c r="E295">
        <v>98144</v>
      </c>
      <c r="F295" t="s">
        <v>1583</v>
      </c>
      <c r="G295" t="s">
        <v>1980</v>
      </c>
      <c r="H295" t="s">
        <v>5798</v>
      </c>
      <c r="I295">
        <v>47.569904999999999</v>
      </c>
      <c r="J295">
        <v>-122.290909</v>
      </c>
      <c r="K295" t="s">
        <v>3936</v>
      </c>
      <c r="L295" t="s">
        <v>3946</v>
      </c>
      <c r="M295" t="s">
        <v>4888</v>
      </c>
      <c r="P295" t="s">
        <v>5668</v>
      </c>
    </row>
    <row r="296" spans="1:16" x14ac:dyDescent="0.2">
      <c r="A296" t="s">
        <v>1634</v>
      </c>
      <c r="B296" t="s">
        <v>3581</v>
      </c>
      <c r="C296" t="s">
        <v>66</v>
      </c>
      <c r="D296" t="s">
        <v>2307</v>
      </c>
      <c r="E296">
        <v>98116</v>
      </c>
      <c r="F296" t="s">
        <v>1575</v>
      </c>
      <c r="G296" t="s">
        <v>1971</v>
      </c>
      <c r="H296" t="s">
        <v>5372</v>
      </c>
      <c r="I296">
        <v>47.578533999999998</v>
      </c>
      <c r="J296">
        <v>-122.412132</v>
      </c>
      <c r="K296" t="s">
        <v>3936</v>
      </c>
      <c r="L296" t="s">
        <v>3946</v>
      </c>
      <c r="M296" t="s">
        <v>4888</v>
      </c>
      <c r="P296" t="s">
        <v>3581</v>
      </c>
    </row>
    <row r="297" spans="1:16" x14ac:dyDescent="0.2">
      <c r="A297" t="s">
        <v>2096</v>
      </c>
      <c r="B297" t="s">
        <v>2465</v>
      </c>
      <c r="C297" t="s">
        <v>66</v>
      </c>
      <c r="D297" t="s">
        <v>2307</v>
      </c>
      <c r="E297">
        <v>98133</v>
      </c>
      <c r="F297" t="s">
        <v>1716</v>
      </c>
      <c r="G297" t="s">
        <v>2005</v>
      </c>
      <c r="H297" t="s">
        <v>5373</v>
      </c>
      <c r="I297">
        <v>47.701549999999997</v>
      </c>
      <c r="J297">
        <v>-122.355518</v>
      </c>
      <c r="K297" t="s">
        <v>3936</v>
      </c>
      <c r="L297" t="s">
        <v>3946</v>
      </c>
      <c r="M297" t="s">
        <v>4888</v>
      </c>
      <c r="P297" t="s">
        <v>2465</v>
      </c>
    </row>
    <row r="298" spans="1:16" x14ac:dyDescent="0.2">
      <c r="A298" t="s">
        <v>1626</v>
      </c>
      <c r="B298" t="s">
        <v>5079</v>
      </c>
      <c r="C298" t="s">
        <v>66</v>
      </c>
      <c r="D298" t="s">
        <v>2307</v>
      </c>
      <c r="E298">
        <v>98116</v>
      </c>
      <c r="F298" t="s">
        <v>1587</v>
      </c>
      <c r="G298" t="s">
        <v>1973</v>
      </c>
      <c r="H298" t="s">
        <v>5080</v>
      </c>
      <c r="I298">
        <v>47.562581000000002</v>
      </c>
      <c r="J298">
        <v>-122.38692399999999</v>
      </c>
      <c r="K298" t="s">
        <v>3936</v>
      </c>
      <c r="L298" t="s">
        <v>3946</v>
      </c>
      <c r="M298" t="s">
        <v>4888</v>
      </c>
      <c r="P298" t="s">
        <v>5079</v>
      </c>
    </row>
    <row r="299" spans="1:16" x14ac:dyDescent="0.2">
      <c r="A299" t="s">
        <v>2032</v>
      </c>
      <c r="B299" t="s">
        <v>2469</v>
      </c>
      <c r="C299" t="s">
        <v>66</v>
      </c>
      <c r="D299" t="s">
        <v>2307</v>
      </c>
      <c r="E299">
        <v>98116</v>
      </c>
      <c r="F299" t="s">
        <v>1658</v>
      </c>
      <c r="G299" t="s">
        <v>2033</v>
      </c>
      <c r="H299" t="s">
        <v>5081</v>
      </c>
      <c r="I299">
        <v>47.562333000000002</v>
      </c>
      <c r="J299">
        <v>-122.38665399999999</v>
      </c>
      <c r="K299" t="s">
        <v>3936</v>
      </c>
      <c r="L299" t="s">
        <v>3946</v>
      </c>
      <c r="M299" t="s">
        <v>4888</v>
      </c>
      <c r="P299" t="s">
        <v>2469</v>
      </c>
    </row>
    <row r="300" spans="1:16" x14ac:dyDescent="0.2">
      <c r="A300" t="s">
        <v>1635</v>
      </c>
      <c r="B300" t="s">
        <v>3583</v>
      </c>
      <c r="C300" t="s">
        <v>66</v>
      </c>
      <c r="D300" t="s">
        <v>2307</v>
      </c>
      <c r="E300">
        <v>98116</v>
      </c>
      <c r="F300" t="s">
        <v>1587</v>
      </c>
      <c r="G300" t="s">
        <v>1973</v>
      </c>
      <c r="H300" t="s">
        <v>5374</v>
      </c>
      <c r="I300">
        <v>47.560963000000001</v>
      </c>
      <c r="J300">
        <v>-122.38561199999999</v>
      </c>
      <c r="K300" t="s">
        <v>3936</v>
      </c>
      <c r="L300" t="s">
        <v>3946</v>
      </c>
      <c r="M300" t="s">
        <v>4888</v>
      </c>
      <c r="P300" t="s">
        <v>3583</v>
      </c>
    </row>
    <row r="301" spans="1:16" x14ac:dyDescent="0.2">
      <c r="A301" t="s">
        <v>2099</v>
      </c>
      <c r="B301" t="s">
        <v>2471</v>
      </c>
      <c r="C301" t="s">
        <v>66</v>
      </c>
      <c r="D301" t="s">
        <v>2307</v>
      </c>
      <c r="E301">
        <v>98126</v>
      </c>
      <c r="F301" t="s">
        <v>2044</v>
      </c>
      <c r="G301" t="s">
        <v>2005</v>
      </c>
      <c r="H301" t="s">
        <v>5082</v>
      </c>
      <c r="I301">
        <v>47.558366999999997</v>
      </c>
      <c r="J301">
        <v>-122.376397</v>
      </c>
      <c r="K301" t="s">
        <v>3936</v>
      </c>
      <c r="L301" t="s">
        <v>3946</v>
      </c>
      <c r="M301" t="s">
        <v>4888</v>
      </c>
      <c r="P301" t="s">
        <v>2471</v>
      </c>
    </row>
    <row r="302" spans="1:16" x14ac:dyDescent="0.2">
      <c r="A302" t="s">
        <v>2073</v>
      </c>
      <c r="B302" t="s">
        <v>2472</v>
      </c>
      <c r="C302" t="s">
        <v>66</v>
      </c>
      <c r="D302" t="s">
        <v>2307</v>
      </c>
      <c r="E302">
        <v>98116</v>
      </c>
      <c r="F302" t="s">
        <v>1658</v>
      </c>
      <c r="G302" t="s">
        <v>2074</v>
      </c>
      <c r="H302" t="s">
        <v>5083</v>
      </c>
      <c r="I302">
        <v>47.560805999999999</v>
      </c>
      <c r="J302">
        <v>-122.387002</v>
      </c>
      <c r="K302" t="s">
        <v>3936</v>
      </c>
      <c r="L302" t="s">
        <v>3946</v>
      </c>
      <c r="M302" t="s">
        <v>4888</v>
      </c>
      <c r="P302" t="s">
        <v>2472</v>
      </c>
    </row>
    <row r="303" spans="1:16" x14ac:dyDescent="0.2">
      <c r="A303" t="s">
        <v>1640</v>
      </c>
      <c r="B303" t="s">
        <v>2475</v>
      </c>
      <c r="C303" t="s">
        <v>66</v>
      </c>
      <c r="D303" t="s">
        <v>2307</v>
      </c>
      <c r="E303">
        <v>98108</v>
      </c>
      <c r="F303" t="s">
        <v>1583</v>
      </c>
      <c r="G303" t="s">
        <v>1980</v>
      </c>
      <c r="H303" t="s">
        <v>4059</v>
      </c>
      <c r="I303">
        <v>47.552525000000003</v>
      </c>
      <c r="J303">
        <v>-122.329701</v>
      </c>
      <c r="K303" t="s">
        <v>3936</v>
      </c>
      <c r="L303" t="s">
        <v>3946</v>
      </c>
      <c r="M303" t="s">
        <v>4888</v>
      </c>
      <c r="P303" t="s">
        <v>2475</v>
      </c>
    </row>
    <row r="304" spans="1:16" x14ac:dyDescent="0.2">
      <c r="A304" t="s">
        <v>2101</v>
      </c>
      <c r="B304" t="s">
        <v>2476</v>
      </c>
      <c r="C304" t="s">
        <v>66</v>
      </c>
      <c r="D304" t="s">
        <v>2307</v>
      </c>
      <c r="E304">
        <v>98133</v>
      </c>
      <c r="F304" t="s">
        <v>1600</v>
      </c>
      <c r="G304" t="s">
        <v>2102</v>
      </c>
      <c r="H304" t="s">
        <v>5375</v>
      </c>
      <c r="I304">
        <v>47.707495999999999</v>
      </c>
      <c r="J304">
        <v>-122.334191</v>
      </c>
      <c r="K304" t="s">
        <v>3936</v>
      </c>
      <c r="L304" t="s">
        <v>3946</v>
      </c>
      <c r="M304" t="s">
        <v>4888</v>
      </c>
      <c r="P304" t="s">
        <v>2476</v>
      </c>
    </row>
    <row r="305" spans="1:16" x14ac:dyDescent="0.2">
      <c r="A305" t="s">
        <v>1597</v>
      </c>
      <c r="B305" t="s">
        <v>3588</v>
      </c>
      <c r="C305" t="s">
        <v>66</v>
      </c>
      <c r="D305" t="s">
        <v>2307</v>
      </c>
      <c r="E305">
        <v>98125</v>
      </c>
      <c r="F305" t="s">
        <v>1573</v>
      </c>
      <c r="G305" t="s">
        <v>1990</v>
      </c>
      <c r="H305" t="s">
        <v>5346</v>
      </c>
      <c r="I305">
        <v>47.708742999999998</v>
      </c>
      <c r="J305">
        <v>-122.3244</v>
      </c>
      <c r="K305" t="s">
        <v>3936</v>
      </c>
      <c r="L305" t="s">
        <v>3946</v>
      </c>
      <c r="M305" t="s">
        <v>4888</v>
      </c>
      <c r="P305" t="s">
        <v>3588</v>
      </c>
    </row>
    <row r="306" spans="1:16" x14ac:dyDescent="0.2">
      <c r="A306" t="s">
        <v>1646</v>
      </c>
      <c r="B306" t="s">
        <v>3591</v>
      </c>
      <c r="C306" t="s">
        <v>66</v>
      </c>
      <c r="D306" t="s">
        <v>2307</v>
      </c>
      <c r="E306">
        <v>98118</v>
      </c>
      <c r="F306" t="s">
        <v>1604</v>
      </c>
      <c r="G306" t="s">
        <v>1989</v>
      </c>
      <c r="H306" t="s">
        <v>4062</v>
      </c>
      <c r="I306">
        <v>47.557993000000003</v>
      </c>
      <c r="J306">
        <v>-122.284758</v>
      </c>
      <c r="K306" t="s">
        <v>3936</v>
      </c>
      <c r="L306" t="s">
        <v>3946</v>
      </c>
      <c r="M306" t="s">
        <v>4888</v>
      </c>
      <c r="P306" t="s">
        <v>3591</v>
      </c>
    </row>
    <row r="307" spans="1:16" x14ac:dyDescent="0.2">
      <c r="A307" t="s">
        <v>2106</v>
      </c>
      <c r="B307" t="s">
        <v>2490</v>
      </c>
      <c r="C307" t="s">
        <v>66</v>
      </c>
      <c r="D307" t="s">
        <v>2307</v>
      </c>
      <c r="E307">
        <v>98108</v>
      </c>
      <c r="F307" t="s">
        <v>2019</v>
      </c>
      <c r="G307" t="s">
        <v>1991</v>
      </c>
      <c r="H307" t="s">
        <v>5376</v>
      </c>
      <c r="I307">
        <v>47.546377</v>
      </c>
      <c r="J307">
        <v>-122.326054</v>
      </c>
      <c r="K307" t="s">
        <v>3936</v>
      </c>
      <c r="L307" t="s">
        <v>3946</v>
      </c>
      <c r="M307" t="s">
        <v>4888</v>
      </c>
      <c r="P307" t="s">
        <v>2490</v>
      </c>
    </row>
    <row r="308" spans="1:16" x14ac:dyDescent="0.2">
      <c r="A308" t="s">
        <v>2108</v>
      </c>
      <c r="B308" t="s">
        <v>2492</v>
      </c>
      <c r="C308" t="s">
        <v>66</v>
      </c>
      <c r="D308" t="s">
        <v>2307</v>
      </c>
      <c r="E308">
        <v>98125</v>
      </c>
      <c r="F308" t="s">
        <v>1600</v>
      </c>
      <c r="G308" t="s">
        <v>2005</v>
      </c>
      <c r="H308" t="s">
        <v>5377</v>
      </c>
      <c r="I308">
        <v>47.708587000000001</v>
      </c>
      <c r="J308">
        <v>-122.29095100000001</v>
      </c>
      <c r="K308" t="s">
        <v>3936</v>
      </c>
      <c r="L308" t="s">
        <v>3946</v>
      </c>
      <c r="M308" t="s">
        <v>4888</v>
      </c>
      <c r="P308" t="s">
        <v>2492</v>
      </c>
    </row>
    <row r="309" spans="1:16" x14ac:dyDescent="0.2">
      <c r="A309" t="s">
        <v>1653</v>
      </c>
      <c r="B309" t="s">
        <v>3598</v>
      </c>
      <c r="C309" t="s">
        <v>2502</v>
      </c>
      <c r="D309" t="s">
        <v>2307</v>
      </c>
      <c r="E309">
        <v>98004</v>
      </c>
      <c r="F309" t="s">
        <v>1620</v>
      </c>
      <c r="G309" t="s">
        <v>1984</v>
      </c>
      <c r="H309" t="s">
        <v>5378</v>
      </c>
      <c r="I309">
        <v>47.633951000000003</v>
      </c>
      <c r="J309">
        <v>-122.20145599999999</v>
      </c>
      <c r="K309" t="s">
        <v>3936</v>
      </c>
      <c r="L309" t="s">
        <v>3946</v>
      </c>
      <c r="M309" t="s">
        <v>4888</v>
      </c>
      <c r="P309" t="s">
        <v>3598</v>
      </c>
    </row>
    <row r="310" spans="1:16" x14ac:dyDescent="0.2">
      <c r="A310" t="s">
        <v>6221</v>
      </c>
      <c r="B310" t="s">
        <v>2505</v>
      </c>
      <c r="C310" t="s">
        <v>2506</v>
      </c>
      <c r="D310" t="s">
        <v>2307</v>
      </c>
      <c r="E310">
        <v>98033</v>
      </c>
      <c r="F310" t="s">
        <v>1716</v>
      </c>
      <c r="G310" t="s">
        <v>2000</v>
      </c>
      <c r="H310" t="s">
        <v>4356</v>
      </c>
      <c r="I310">
        <v>47.656998000000002</v>
      </c>
      <c r="J310">
        <v>-122.206829</v>
      </c>
      <c r="K310" t="s">
        <v>3936</v>
      </c>
      <c r="L310" t="s">
        <v>3946</v>
      </c>
      <c r="M310" t="s">
        <v>4888</v>
      </c>
      <c r="P310" t="s">
        <v>2505</v>
      </c>
    </row>
    <row r="311" spans="1:16" x14ac:dyDescent="0.2">
      <c r="A311" t="s">
        <v>2111</v>
      </c>
      <c r="B311" t="s">
        <v>2515</v>
      </c>
      <c r="C311" t="s">
        <v>2502</v>
      </c>
      <c r="D311" t="s">
        <v>2307</v>
      </c>
      <c r="E311">
        <v>98004</v>
      </c>
      <c r="F311" t="s">
        <v>1600</v>
      </c>
      <c r="G311" t="s">
        <v>2186</v>
      </c>
      <c r="H311" t="s">
        <v>5379</v>
      </c>
      <c r="I311">
        <v>47.611406000000002</v>
      </c>
      <c r="J311">
        <v>-122.201358</v>
      </c>
      <c r="K311" t="s">
        <v>3936</v>
      </c>
      <c r="L311" t="s">
        <v>3946</v>
      </c>
      <c r="M311" t="s">
        <v>4888</v>
      </c>
      <c r="P311" t="s">
        <v>2515</v>
      </c>
    </row>
    <row r="312" spans="1:16" x14ac:dyDescent="0.2">
      <c r="A312" t="s">
        <v>3953</v>
      </c>
      <c r="B312" t="s">
        <v>2516</v>
      </c>
      <c r="C312" t="s">
        <v>386</v>
      </c>
      <c r="D312" t="s">
        <v>2307</v>
      </c>
      <c r="E312">
        <v>98133</v>
      </c>
      <c r="F312" t="s">
        <v>1600</v>
      </c>
      <c r="G312" t="s">
        <v>2112</v>
      </c>
      <c r="H312" t="s">
        <v>5380</v>
      </c>
      <c r="I312">
        <v>47.724732000000003</v>
      </c>
      <c r="J312">
        <v>-122.34523299999999</v>
      </c>
      <c r="K312" t="s">
        <v>3936</v>
      </c>
      <c r="L312" t="s">
        <v>3946</v>
      </c>
      <c r="M312" t="s">
        <v>4888</v>
      </c>
      <c r="P312" t="s">
        <v>2516</v>
      </c>
    </row>
    <row r="313" spans="1:16" x14ac:dyDescent="0.2">
      <c r="A313" t="s">
        <v>2113</v>
      </c>
      <c r="B313" t="s">
        <v>2517</v>
      </c>
      <c r="C313" t="s">
        <v>66</v>
      </c>
      <c r="D313" t="s">
        <v>2307</v>
      </c>
      <c r="E313">
        <v>98133</v>
      </c>
      <c r="F313" t="s">
        <v>1583</v>
      </c>
      <c r="G313" t="s">
        <v>1980</v>
      </c>
      <c r="H313" t="s">
        <v>5381</v>
      </c>
      <c r="I313">
        <v>47.724732000000003</v>
      </c>
      <c r="J313">
        <v>-122.34523299999999</v>
      </c>
      <c r="K313" t="s">
        <v>3936</v>
      </c>
      <c r="L313" t="s">
        <v>3946</v>
      </c>
      <c r="M313" t="s">
        <v>4888</v>
      </c>
      <c r="P313" t="s">
        <v>2517</v>
      </c>
    </row>
    <row r="314" spans="1:16" x14ac:dyDescent="0.2">
      <c r="A314" t="s">
        <v>2013</v>
      </c>
      <c r="B314" t="s">
        <v>2519</v>
      </c>
      <c r="C314" t="s">
        <v>2506</v>
      </c>
      <c r="D314" t="s">
        <v>2307</v>
      </c>
      <c r="E314">
        <v>98033</v>
      </c>
      <c r="F314" t="s">
        <v>1716</v>
      </c>
      <c r="G314" t="s">
        <v>2000</v>
      </c>
      <c r="H314" t="s">
        <v>4361</v>
      </c>
      <c r="I314">
        <v>47.660449999999997</v>
      </c>
      <c r="J314">
        <v>-122.20639199999999</v>
      </c>
      <c r="K314" t="s">
        <v>3936</v>
      </c>
      <c r="L314" t="s">
        <v>3946</v>
      </c>
      <c r="M314" t="s">
        <v>4888</v>
      </c>
      <c r="P314" t="s">
        <v>2519</v>
      </c>
    </row>
    <row r="315" spans="1:16" x14ac:dyDescent="0.2">
      <c r="A315" t="s">
        <v>1597</v>
      </c>
      <c r="B315" t="s">
        <v>3603</v>
      </c>
      <c r="C315" t="s">
        <v>66</v>
      </c>
      <c r="D315" t="s">
        <v>2307</v>
      </c>
      <c r="E315">
        <v>98133</v>
      </c>
      <c r="F315" t="s">
        <v>1573</v>
      </c>
      <c r="G315" t="s">
        <v>1990</v>
      </c>
      <c r="H315" t="s">
        <v>5347</v>
      </c>
      <c r="I315">
        <v>47.726464</v>
      </c>
      <c r="J315">
        <v>-122.344843</v>
      </c>
      <c r="K315" t="s">
        <v>3936</v>
      </c>
      <c r="L315" t="s">
        <v>3946</v>
      </c>
      <c r="M315" t="s">
        <v>4888</v>
      </c>
      <c r="P315" t="s">
        <v>3603</v>
      </c>
    </row>
    <row r="316" spans="1:16" x14ac:dyDescent="0.2">
      <c r="A316" t="s">
        <v>2116</v>
      </c>
      <c r="B316" t="s">
        <v>2523</v>
      </c>
      <c r="C316" t="s">
        <v>2502</v>
      </c>
      <c r="D316" t="s">
        <v>2307</v>
      </c>
      <c r="E316">
        <v>98004</v>
      </c>
      <c r="F316" t="s">
        <v>1716</v>
      </c>
      <c r="G316" t="s">
        <v>2000</v>
      </c>
      <c r="H316" t="s">
        <v>5084</v>
      </c>
      <c r="I316">
        <v>47.615031999999999</v>
      </c>
      <c r="J316">
        <v>-122.196482</v>
      </c>
      <c r="K316" t="s">
        <v>3936</v>
      </c>
      <c r="L316" t="s">
        <v>3946</v>
      </c>
      <c r="M316" t="s">
        <v>4888</v>
      </c>
      <c r="P316" t="s">
        <v>2523</v>
      </c>
    </row>
    <row r="317" spans="1:16" x14ac:dyDescent="0.2">
      <c r="A317" t="s">
        <v>6221</v>
      </c>
      <c r="B317" t="s">
        <v>2524</v>
      </c>
      <c r="C317" t="s">
        <v>2502</v>
      </c>
      <c r="D317" t="s">
        <v>2307</v>
      </c>
      <c r="E317">
        <v>98004</v>
      </c>
      <c r="F317" t="s">
        <v>1716</v>
      </c>
      <c r="G317" t="s">
        <v>2000</v>
      </c>
      <c r="H317" t="s">
        <v>4365</v>
      </c>
      <c r="I317">
        <v>47.637501</v>
      </c>
      <c r="J317">
        <v>-122.194343</v>
      </c>
      <c r="K317" t="s">
        <v>3936</v>
      </c>
      <c r="L317" t="s">
        <v>3946</v>
      </c>
      <c r="M317" t="s">
        <v>4888</v>
      </c>
      <c r="P317" t="s">
        <v>2524</v>
      </c>
    </row>
    <row r="318" spans="1:16" x14ac:dyDescent="0.2">
      <c r="A318" t="s">
        <v>1929</v>
      </c>
      <c r="B318" t="s">
        <v>3485</v>
      </c>
      <c r="C318" t="s">
        <v>2502</v>
      </c>
      <c r="D318" t="s">
        <v>2307</v>
      </c>
      <c r="E318">
        <v>98004</v>
      </c>
      <c r="F318" t="s">
        <v>1587</v>
      </c>
      <c r="G318" t="s">
        <v>1979</v>
      </c>
      <c r="H318" t="s">
        <v>5085</v>
      </c>
      <c r="I318">
        <v>47.609932000000001</v>
      </c>
      <c r="J318">
        <v>-122.190647</v>
      </c>
      <c r="K318" t="s">
        <v>3936</v>
      </c>
      <c r="L318" t="s">
        <v>3946</v>
      </c>
      <c r="M318" t="s">
        <v>4888</v>
      </c>
      <c r="P318" t="s">
        <v>3485</v>
      </c>
    </row>
    <row r="319" spans="1:16" x14ac:dyDescent="0.2">
      <c r="A319" t="s">
        <v>1626</v>
      </c>
      <c r="B319" t="s">
        <v>3606</v>
      </c>
      <c r="C319" t="s">
        <v>2506</v>
      </c>
      <c r="D319" t="s">
        <v>2307</v>
      </c>
      <c r="E319">
        <v>98033</v>
      </c>
      <c r="F319" t="s">
        <v>1587</v>
      </c>
      <c r="G319" t="s">
        <v>1973</v>
      </c>
      <c r="H319" t="s">
        <v>5086</v>
      </c>
      <c r="I319">
        <v>47.677261999999999</v>
      </c>
      <c r="J319">
        <v>-122.20474</v>
      </c>
      <c r="K319" t="s">
        <v>3936</v>
      </c>
      <c r="L319" t="s">
        <v>3946</v>
      </c>
      <c r="M319" t="s">
        <v>4888</v>
      </c>
      <c r="P319" t="s">
        <v>3606</v>
      </c>
    </row>
    <row r="320" spans="1:16" x14ac:dyDescent="0.2">
      <c r="A320" t="s">
        <v>2013</v>
      </c>
      <c r="B320" t="s">
        <v>2532</v>
      </c>
      <c r="C320" t="s">
        <v>66</v>
      </c>
      <c r="D320" t="s">
        <v>2307</v>
      </c>
      <c r="E320">
        <v>98133</v>
      </c>
      <c r="F320" t="s">
        <v>1716</v>
      </c>
      <c r="G320" t="s">
        <v>2000</v>
      </c>
      <c r="H320" t="s">
        <v>4371</v>
      </c>
      <c r="I320">
        <v>47.732492000000001</v>
      </c>
      <c r="J320">
        <v>-122.345241</v>
      </c>
      <c r="K320" t="s">
        <v>3936</v>
      </c>
      <c r="L320" t="s">
        <v>3946</v>
      </c>
      <c r="M320" t="s">
        <v>4888</v>
      </c>
      <c r="P320" t="s">
        <v>2532</v>
      </c>
    </row>
    <row r="321" spans="1:16" x14ac:dyDescent="0.2">
      <c r="A321" t="s">
        <v>1664</v>
      </c>
      <c r="B321" t="s">
        <v>3611</v>
      </c>
      <c r="C321" t="s">
        <v>2502</v>
      </c>
      <c r="D321" t="s">
        <v>2307</v>
      </c>
      <c r="E321">
        <v>98005</v>
      </c>
      <c r="F321" t="s">
        <v>1573</v>
      </c>
      <c r="G321" t="s">
        <v>1995</v>
      </c>
      <c r="H321" t="s">
        <v>4950</v>
      </c>
      <c r="I321">
        <v>47.620601000000001</v>
      </c>
      <c r="J321">
        <v>-122.179581</v>
      </c>
      <c r="K321" t="s">
        <v>3936</v>
      </c>
      <c r="L321" t="s">
        <v>3946</v>
      </c>
      <c r="M321" t="s">
        <v>4888</v>
      </c>
      <c r="P321" t="s">
        <v>3611</v>
      </c>
    </row>
    <row r="322" spans="1:16" x14ac:dyDescent="0.2">
      <c r="A322" t="s">
        <v>1665</v>
      </c>
      <c r="B322" t="s">
        <v>3612</v>
      </c>
      <c r="C322" t="s">
        <v>386</v>
      </c>
      <c r="D322" t="s">
        <v>2307</v>
      </c>
      <c r="E322">
        <v>98133</v>
      </c>
      <c r="F322" t="s">
        <v>1575</v>
      </c>
      <c r="G322" t="s">
        <v>1982</v>
      </c>
      <c r="H322" t="s">
        <v>5049</v>
      </c>
      <c r="I322">
        <v>47.739297999999998</v>
      </c>
      <c r="J322">
        <v>-122.345039</v>
      </c>
      <c r="K322" t="s">
        <v>3936</v>
      </c>
      <c r="L322" t="s">
        <v>3946</v>
      </c>
      <c r="M322" t="s">
        <v>4888</v>
      </c>
      <c r="P322" t="s">
        <v>3612</v>
      </c>
    </row>
    <row r="323" spans="1:16" x14ac:dyDescent="0.2">
      <c r="A323" t="s">
        <v>1667</v>
      </c>
      <c r="B323" t="s">
        <v>3614</v>
      </c>
      <c r="C323" t="s">
        <v>386</v>
      </c>
      <c r="D323" t="s">
        <v>2307</v>
      </c>
      <c r="E323">
        <v>98133</v>
      </c>
      <c r="F323" t="s">
        <v>1658</v>
      </c>
      <c r="G323" t="s">
        <v>1994</v>
      </c>
      <c r="H323" t="s">
        <v>4070</v>
      </c>
      <c r="I323">
        <v>47.739640999999999</v>
      </c>
      <c r="J323">
        <v>-122.345202</v>
      </c>
      <c r="K323" t="s">
        <v>3936</v>
      </c>
      <c r="L323" t="s">
        <v>3946</v>
      </c>
      <c r="M323" t="s">
        <v>4888</v>
      </c>
      <c r="P323" t="s">
        <v>3614</v>
      </c>
    </row>
    <row r="324" spans="1:16" x14ac:dyDescent="0.2">
      <c r="A324" t="s">
        <v>1669</v>
      </c>
      <c r="B324" t="s">
        <v>3616</v>
      </c>
      <c r="C324" t="s">
        <v>2506</v>
      </c>
      <c r="D324" t="s">
        <v>2307</v>
      </c>
      <c r="E324">
        <v>98034</v>
      </c>
      <c r="F324" t="s">
        <v>1591</v>
      </c>
      <c r="G324" t="s">
        <v>1969</v>
      </c>
      <c r="H324" t="s">
        <v>5382</v>
      </c>
      <c r="I324">
        <v>47.705083999999999</v>
      </c>
      <c r="J324">
        <v>-122.21259999999999</v>
      </c>
      <c r="K324" t="s">
        <v>3936</v>
      </c>
      <c r="L324" t="s">
        <v>3946</v>
      </c>
      <c r="M324" t="s">
        <v>4888</v>
      </c>
      <c r="P324" t="s">
        <v>3616</v>
      </c>
    </row>
    <row r="325" spans="1:16" x14ac:dyDescent="0.2">
      <c r="A325" t="s">
        <v>2123</v>
      </c>
      <c r="B325" t="s">
        <v>2543</v>
      </c>
      <c r="C325" t="s">
        <v>66</v>
      </c>
      <c r="D325" t="s">
        <v>2307</v>
      </c>
      <c r="E325">
        <v>98106</v>
      </c>
      <c r="F325" t="s">
        <v>2044</v>
      </c>
      <c r="G325" t="s">
        <v>2005</v>
      </c>
      <c r="H325" t="s">
        <v>4380</v>
      </c>
      <c r="I325">
        <v>47.514404999999996</v>
      </c>
      <c r="J325">
        <v>-122.34503100000001</v>
      </c>
      <c r="K325" t="s">
        <v>3936</v>
      </c>
      <c r="L325" t="s">
        <v>3946</v>
      </c>
      <c r="M325" t="s">
        <v>4888</v>
      </c>
      <c r="P325" t="s">
        <v>2543</v>
      </c>
    </row>
    <row r="326" spans="1:16" x14ac:dyDescent="0.2">
      <c r="A326" t="s">
        <v>2124</v>
      </c>
      <c r="B326" t="s">
        <v>2545</v>
      </c>
      <c r="C326" t="s">
        <v>2502</v>
      </c>
      <c r="D326" t="s">
        <v>2307</v>
      </c>
      <c r="E326">
        <v>98005</v>
      </c>
      <c r="F326" t="s">
        <v>2019</v>
      </c>
      <c r="G326" t="s">
        <v>2005</v>
      </c>
      <c r="H326" t="s">
        <v>5800</v>
      </c>
      <c r="I326">
        <v>47.616816999999998</v>
      </c>
      <c r="J326">
        <v>-122.18051</v>
      </c>
      <c r="K326" t="s">
        <v>3936</v>
      </c>
      <c r="L326" t="s">
        <v>3946</v>
      </c>
      <c r="M326" t="s">
        <v>4888</v>
      </c>
      <c r="P326" t="s">
        <v>5745</v>
      </c>
    </row>
    <row r="327" spans="1:16" x14ac:dyDescent="0.2">
      <c r="A327" t="s">
        <v>1932</v>
      </c>
      <c r="B327" t="s">
        <v>3488</v>
      </c>
      <c r="C327" t="s">
        <v>2555</v>
      </c>
      <c r="D327" t="s">
        <v>2307</v>
      </c>
      <c r="E327">
        <v>98110</v>
      </c>
      <c r="F327" t="s">
        <v>1583</v>
      </c>
      <c r="G327" t="s">
        <v>1980</v>
      </c>
      <c r="H327" t="s">
        <v>5348</v>
      </c>
      <c r="I327">
        <v>47.635652999999998</v>
      </c>
      <c r="J327">
        <v>-122.518192</v>
      </c>
      <c r="K327" t="s">
        <v>3936</v>
      </c>
      <c r="L327" t="s">
        <v>3946</v>
      </c>
      <c r="M327" t="s">
        <v>4888</v>
      </c>
      <c r="P327" t="s">
        <v>3488</v>
      </c>
    </row>
    <row r="328" spans="1:16" x14ac:dyDescent="0.2">
      <c r="A328" t="s">
        <v>1676</v>
      </c>
      <c r="B328" t="s">
        <v>3624</v>
      </c>
      <c r="C328" t="s">
        <v>2506</v>
      </c>
      <c r="D328" t="s">
        <v>2307</v>
      </c>
      <c r="E328">
        <v>98033</v>
      </c>
      <c r="F328" t="s">
        <v>1575</v>
      </c>
      <c r="G328" t="s">
        <v>1973</v>
      </c>
      <c r="H328" t="s">
        <v>5383</v>
      </c>
      <c r="I328">
        <v>47.669260000000001</v>
      </c>
      <c r="J328">
        <v>-122.185149</v>
      </c>
      <c r="K328" t="s">
        <v>3936</v>
      </c>
      <c r="L328" t="s">
        <v>3946</v>
      </c>
      <c r="M328" t="s">
        <v>4888</v>
      </c>
      <c r="P328" t="s">
        <v>3624</v>
      </c>
    </row>
    <row r="329" spans="1:16" x14ac:dyDescent="0.2">
      <c r="A329" t="s">
        <v>1678</v>
      </c>
      <c r="B329" t="s">
        <v>3626</v>
      </c>
      <c r="C329" t="s">
        <v>2506</v>
      </c>
      <c r="D329" t="s">
        <v>2307</v>
      </c>
      <c r="E329">
        <v>98033</v>
      </c>
      <c r="F329" t="s">
        <v>1591</v>
      </c>
      <c r="G329" t="s">
        <v>1969</v>
      </c>
      <c r="H329" t="s">
        <v>5087</v>
      </c>
      <c r="I329">
        <v>47.679288</v>
      </c>
      <c r="J329">
        <v>-122.168446</v>
      </c>
      <c r="K329" t="s">
        <v>3936</v>
      </c>
      <c r="L329" t="s">
        <v>3946</v>
      </c>
      <c r="M329" t="s">
        <v>4888</v>
      </c>
      <c r="P329" t="s">
        <v>3626</v>
      </c>
    </row>
    <row r="330" spans="1:16" x14ac:dyDescent="0.2">
      <c r="A330" t="s">
        <v>2073</v>
      </c>
      <c r="B330" t="s">
        <v>2562</v>
      </c>
      <c r="C330" t="s">
        <v>2502</v>
      </c>
      <c r="D330" t="s">
        <v>2307</v>
      </c>
      <c r="E330">
        <v>98006</v>
      </c>
      <c r="F330" t="s">
        <v>1658</v>
      </c>
      <c r="G330" t="s">
        <v>2074</v>
      </c>
      <c r="H330" t="s">
        <v>5088</v>
      </c>
      <c r="I330">
        <v>47.578408000000003</v>
      </c>
      <c r="J330">
        <v>-122.169296</v>
      </c>
      <c r="K330" t="s">
        <v>3936</v>
      </c>
      <c r="L330" t="s">
        <v>3946</v>
      </c>
      <c r="M330" t="s">
        <v>4888</v>
      </c>
      <c r="P330" t="s">
        <v>5687</v>
      </c>
    </row>
    <row r="331" spans="1:16" x14ac:dyDescent="0.2">
      <c r="A331" t="s">
        <v>1679</v>
      </c>
      <c r="B331" t="s">
        <v>3628</v>
      </c>
      <c r="C331" t="s">
        <v>386</v>
      </c>
      <c r="D331" t="s">
        <v>2307</v>
      </c>
      <c r="E331">
        <v>98133</v>
      </c>
      <c r="F331" t="s">
        <v>1575</v>
      </c>
      <c r="G331" t="s">
        <v>1973</v>
      </c>
      <c r="H331" t="s">
        <v>4074</v>
      </c>
      <c r="I331">
        <v>47.756124999999997</v>
      </c>
      <c r="J331">
        <v>-122.34170899999999</v>
      </c>
      <c r="K331" t="s">
        <v>3936</v>
      </c>
      <c r="L331" t="s">
        <v>3946</v>
      </c>
      <c r="M331" t="s">
        <v>4888</v>
      </c>
      <c r="P331" t="s">
        <v>3628</v>
      </c>
    </row>
    <row r="332" spans="1:16" x14ac:dyDescent="0.2">
      <c r="A332" t="s">
        <v>2130</v>
      </c>
      <c r="B332" t="s">
        <v>2566</v>
      </c>
      <c r="C332" t="s">
        <v>386</v>
      </c>
      <c r="D332" t="s">
        <v>2307</v>
      </c>
      <c r="E332">
        <v>98133</v>
      </c>
      <c r="F332" t="s">
        <v>2050</v>
      </c>
      <c r="G332" t="s">
        <v>1981</v>
      </c>
      <c r="H332" t="s">
        <v>4390</v>
      </c>
      <c r="I332">
        <v>47.756101000000001</v>
      </c>
      <c r="J332">
        <v>-122.345944</v>
      </c>
      <c r="K332" t="s">
        <v>3936</v>
      </c>
      <c r="L332" t="s">
        <v>3946</v>
      </c>
      <c r="M332" t="s">
        <v>4888</v>
      </c>
      <c r="P332" t="s">
        <v>2566</v>
      </c>
    </row>
    <row r="333" spans="1:16" x14ac:dyDescent="0.2">
      <c r="A333" t="s">
        <v>1680</v>
      </c>
      <c r="B333" t="s">
        <v>3629</v>
      </c>
      <c r="C333" t="s">
        <v>2502</v>
      </c>
      <c r="D333" t="s">
        <v>2307</v>
      </c>
      <c r="E333">
        <v>98006</v>
      </c>
      <c r="F333" t="s">
        <v>1583</v>
      </c>
      <c r="G333" t="s">
        <v>1980</v>
      </c>
      <c r="H333" t="s">
        <v>5089</v>
      </c>
      <c r="I333">
        <v>47.574948999999997</v>
      </c>
      <c r="J333">
        <v>-122.16933400000001</v>
      </c>
      <c r="K333" t="s">
        <v>3936</v>
      </c>
      <c r="L333" t="s">
        <v>3946</v>
      </c>
      <c r="M333" t="s">
        <v>4888</v>
      </c>
      <c r="P333" t="s">
        <v>3629</v>
      </c>
    </row>
    <row r="334" spans="1:16" x14ac:dyDescent="0.2">
      <c r="A334" t="s">
        <v>1682</v>
      </c>
      <c r="B334" t="s">
        <v>6222</v>
      </c>
      <c r="C334" t="s">
        <v>2502</v>
      </c>
      <c r="D334" t="s">
        <v>2307</v>
      </c>
      <c r="E334">
        <v>98007</v>
      </c>
      <c r="F334" t="s">
        <v>1587</v>
      </c>
      <c r="G334" t="s">
        <v>1973</v>
      </c>
      <c r="H334" t="s">
        <v>5384</v>
      </c>
      <c r="I334">
        <v>47.628084999999999</v>
      </c>
      <c r="J334">
        <v>-122.150184</v>
      </c>
      <c r="K334" t="s">
        <v>3936</v>
      </c>
      <c r="L334" t="s">
        <v>3946</v>
      </c>
      <c r="M334" t="s">
        <v>4888</v>
      </c>
      <c r="P334" t="s">
        <v>6023</v>
      </c>
    </row>
    <row r="335" spans="1:16" x14ac:dyDescent="0.2">
      <c r="A335" t="s">
        <v>2132</v>
      </c>
      <c r="B335" t="s">
        <v>2575</v>
      </c>
      <c r="C335" t="s">
        <v>2574</v>
      </c>
      <c r="D335" t="s">
        <v>2307</v>
      </c>
      <c r="E335">
        <v>98155</v>
      </c>
      <c r="F335" t="s">
        <v>1658</v>
      </c>
      <c r="G335" t="s">
        <v>1990</v>
      </c>
      <c r="H335" t="s">
        <v>5385</v>
      </c>
      <c r="I335">
        <v>47.752889000000003</v>
      </c>
      <c r="J335">
        <v>-122.27849399999999</v>
      </c>
      <c r="K335" t="s">
        <v>3936</v>
      </c>
      <c r="L335" t="s">
        <v>3946</v>
      </c>
      <c r="M335" t="s">
        <v>4888</v>
      </c>
      <c r="P335" t="s">
        <v>2575</v>
      </c>
    </row>
    <row r="336" spans="1:16" x14ac:dyDescent="0.2">
      <c r="A336" t="s">
        <v>2073</v>
      </c>
      <c r="B336" t="s">
        <v>2573</v>
      </c>
      <c r="C336" t="s">
        <v>2574</v>
      </c>
      <c r="D336" t="s">
        <v>2307</v>
      </c>
      <c r="E336">
        <v>98155</v>
      </c>
      <c r="F336" t="s">
        <v>1658</v>
      </c>
      <c r="G336" t="s">
        <v>2074</v>
      </c>
      <c r="H336" t="s">
        <v>5386</v>
      </c>
      <c r="I336">
        <v>47.752889000000003</v>
      </c>
      <c r="J336">
        <v>-122.27849399999999</v>
      </c>
      <c r="K336" t="s">
        <v>3936</v>
      </c>
      <c r="L336" t="s">
        <v>3946</v>
      </c>
      <c r="M336" t="s">
        <v>4888</v>
      </c>
      <c r="P336" t="s">
        <v>2573</v>
      </c>
    </row>
    <row r="337" spans="1:16" x14ac:dyDescent="0.2">
      <c r="A337" t="s">
        <v>2134</v>
      </c>
      <c r="B337" t="s">
        <v>2580</v>
      </c>
      <c r="C337" t="s">
        <v>2581</v>
      </c>
      <c r="D337" t="s">
        <v>2307</v>
      </c>
      <c r="E337">
        <v>98146</v>
      </c>
      <c r="F337" t="s">
        <v>1716</v>
      </c>
      <c r="G337" t="s">
        <v>2005</v>
      </c>
      <c r="H337" t="s">
        <v>4399</v>
      </c>
      <c r="I337">
        <v>47.499026000000001</v>
      </c>
      <c r="J337">
        <v>-122.354792</v>
      </c>
      <c r="K337" t="s">
        <v>3936</v>
      </c>
      <c r="L337" t="s">
        <v>3946</v>
      </c>
      <c r="M337" t="s">
        <v>4888</v>
      </c>
      <c r="P337" t="s">
        <v>2580</v>
      </c>
    </row>
    <row r="338" spans="1:16" x14ac:dyDescent="0.2">
      <c r="A338" t="s">
        <v>1667</v>
      </c>
      <c r="B338" t="s">
        <v>3632</v>
      </c>
      <c r="C338" t="s">
        <v>2506</v>
      </c>
      <c r="D338" t="s">
        <v>2307</v>
      </c>
      <c r="E338">
        <v>98034</v>
      </c>
      <c r="F338" t="s">
        <v>1658</v>
      </c>
      <c r="G338" t="s">
        <v>1994</v>
      </c>
      <c r="H338" t="s">
        <v>4076</v>
      </c>
      <c r="I338">
        <v>47.703896</v>
      </c>
      <c r="J338">
        <v>-122.178162</v>
      </c>
      <c r="K338" t="s">
        <v>3936</v>
      </c>
      <c r="L338" t="s">
        <v>3946</v>
      </c>
      <c r="M338" t="s">
        <v>4888</v>
      </c>
      <c r="P338" t="s">
        <v>3632</v>
      </c>
    </row>
    <row r="339" spans="1:16" x14ac:dyDescent="0.2">
      <c r="A339" t="s">
        <v>1684</v>
      </c>
      <c r="B339" t="s">
        <v>3633</v>
      </c>
      <c r="C339" t="s">
        <v>2574</v>
      </c>
      <c r="D339" t="s">
        <v>2307</v>
      </c>
      <c r="E339">
        <v>98155</v>
      </c>
      <c r="F339" t="s">
        <v>1575</v>
      </c>
      <c r="G339" t="s">
        <v>1968</v>
      </c>
      <c r="H339" t="s">
        <v>4078</v>
      </c>
      <c r="I339">
        <v>47.755564</v>
      </c>
      <c r="J339">
        <v>-122.27951</v>
      </c>
      <c r="K339" t="s">
        <v>3936</v>
      </c>
      <c r="L339" t="s">
        <v>3946</v>
      </c>
      <c r="M339" t="s">
        <v>4888</v>
      </c>
      <c r="P339" t="s">
        <v>3633</v>
      </c>
    </row>
    <row r="340" spans="1:16" x14ac:dyDescent="0.2">
      <c r="A340" t="s">
        <v>1685</v>
      </c>
      <c r="B340" t="s">
        <v>3634</v>
      </c>
      <c r="C340" t="s">
        <v>2506</v>
      </c>
      <c r="D340" t="s">
        <v>2307</v>
      </c>
      <c r="E340">
        <v>98033</v>
      </c>
      <c r="F340" t="s">
        <v>1587</v>
      </c>
      <c r="G340" t="s">
        <v>1989</v>
      </c>
      <c r="H340" t="s">
        <v>5090</v>
      </c>
      <c r="I340">
        <v>47.703048000000003</v>
      </c>
      <c r="J340">
        <v>-122.175664</v>
      </c>
      <c r="K340" t="s">
        <v>3936</v>
      </c>
      <c r="L340" t="s">
        <v>3946</v>
      </c>
      <c r="M340" t="s">
        <v>4888</v>
      </c>
      <c r="P340" t="s">
        <v>5688</v>
      </c>
    </row>
    <row r="341" spans="1:16" x14ac:dyDescent="0.2">
      <c r="A341" t="s">
        <v>1597</v>
      </c>
      <c r="B341" t="s">
        <v>3635</v>
      </c>
      <c r="C341" t="s">
        <v>2502</v>
      </c>
      <c r="D341" t="s">
        <v>2307</v>
      </c>
      <c r="E341">
        <v>98007</v>
      </c>
      <c r="F341" t="s">
        <v>1573</v>
      </c>
      <c r="G341" t="s">
        <v>1990</v>
      </c>
      <c r="H341" t="s">
        <v>5795</v>
      </c>
      <c r="I341">
        <v>47.623421</v>
      </c>
      <c r="J341">
        <v>-122.132492</v>
      </c>
      <c r="K341" t="s">
        <v>3936</v>
      </c>
      <c r="L341" t="s">
        <v>3946</v>
      </c>
      <c r="M341" t="s">
        <v>4888</v>
      </c>
      <c r="P341" t="s">
        <v>5571</v>
      </c>
    </row>
    <row r="342" spans="1:16" x14ac:dyDescent="0.2">
      <c r="A342" t="s">
        <v>2101</v>
      </c>
      <c r="B342" t="s">
        <v>2593</v>
      </c>
      <c r="C342" t="s">
        <v>2586</v>
      </c>
      <c r="D342" t="s">
        <v>2307</v>
      </c>
      <c r="E342">
        <v>98052</v>
      </c>
      <c r="F342" t="s">
        <v>1600</v>
      </c>
      <c r="G342" t="s">
        <v>2056</v>
      </c>
      <c r="H342" t="s">
        <v>5387</v>
      </c>
      <c r="I342">
        <v>47.631399999999999</v>
      </c>
      <c r="J342">
        <v>-122.13896200000001</v>
      </c>
      <c r="K342" t="s">
        <v>3936</v>
      </c>
      <c r="L342" t="s">
        <v>3946</v>
      </c>
      <c r="M342" t="s">
        <v>4888</v>
      </c>
      <c r="P342" t="s">
        <v>2593</v>
      </c>
    </row>
    <row r="343" spans="1:16" x14ac:dyDescent="0.2">
      <c r="A343" t="s">
        <v>2137</v>
      </c>
      <c r="B343" t="s">
        <v>2595</v>
      </c>
      <c r="C343" t="s">
        <v>2506</v>
      </c>
      <c r="D343" t="s">
        <v>2307</v>
      </c>
      <c r="E343">
        <v>98034</v>
      </c>
      <c r="F343" t="s">
        <v>1583</v>
      </c>
      <c r="G343" t="s">
        <v>1980</v>
      </c>
      <c r="H343" t="s">
        <v>5388</v>
      </c>
      <c r="I343">
        <v>47.714765999999997</v>
      </c>
      <c r="J343">
        <v>-122.180012</v>
      </c>
      <c r="K343" t="s">
        <v>3936</v>
      </c>
      <c r="L343" t="s">
        <v>3946</v>
      </c>
      <c r="M343" t="s">
        <v>4888</v>
      </c>
      <c r="P343" t="s">
        <v>2595</v>
      </c>
    </row>
    <row r="344" spans="1:16" x14ac:dyDescent="0.2">
      <c r="A344" t="s">
        <v>2013</v>
      </c>
      <c r="B344" t="s">
        <v>2596</v>
      </c>
      <c r="C344" t="s">
        <v>2502</v>
      </c>
      <c r="D344" t="s">
        <v>2307</v>
      </c>
      <c r="E344">
        <v>98007</v>
      </c>
      <c r="F344" t="s">
        <v>1716</v>
      </c>
      <c r="G344" t="s">
        <v>2000</v>
      </c>
      <c r="H344" t="s">
        <v>4410</v>
      </c>
      <c r="I344">
        <v>47.628199000000002</v>
      </c>
      <c r="J344">
        <v>-122.13591</v>
      </c>
      <c r="K344" t="s">
        <v>3936</v>
      </c>
      <c r="L344" t="s">
        <v>3946</v>
      </c>
      <c r="M344" t="s">
        <v>4888</v>
      </c>
      <c r="P344" t="s">
        <v>5689</v>
      </c>
    </row>
    <row r="345" spans="1:16" x14ac:dyDescent="0.2">
      <c r="A345" t="s">
        <v>2010</v>
      </c>
      <c r="B345" t="s">
        <v>2601</v>
      </c>
      <c r="C345" t="s">
        <v>2502</v>
      </c>
      <c r="D345" t="s">
        <v>2307</v>
      </c>
      <c r="E345">
        <v>98008</v>
      </c>
      <c r="F345" t="s">
        <v>1716</v>
      </c>
      <c r="G345" t="s">
        <v>2000</v>
      </c>
      <c r="H345" t="s">
        <v>4413</v>
      </c>
      <c r="I345">
        <v>47.617179999999998</v>
      </c>
      <c r="J345">
        <v>-122.13212799999999</v>
      </c>
      <c r="K345" t="s">
        <v>3936</v>
      </c>
      <c r="L345" t="s">
        <v>3946</v>
      </c>
      <c r="M345" t="s">
        <v>4888</v>
      </c>
      <c r="P345" t="s">
        <v>2601</v>
      </c>
    </row>
    <row r="346" spans="1:16" x14ac:dyDescent="0.2">
      <c r="A346" t="s">
        <v>1689</v>
      </c>
      <c r="B346" t="s">
        <v>3638</v>
      </c>
      <c r="C346" t="s">
        <v>2502</v>
      </c>
      <c r="D346" t="s">
        <v>2307</v>
      </c>
      <c r="E346">
        <v>98008</v>
      </c>
      <c r="F346" t="s">
        <v>1575</v>
      </c>
      <c r="G346" t="s">
        <v>1968</v>
      </c>
      <c r="H346" t="s">
        <v>5091</v>
      </c>
      <c r="I346">
        <v>47.617179999999998</v>
      </c>
      <c r="J346">
        <v>-122.13212799999999</v>
      </c>
      <c r="K346" t="s">
        <v>3936</v>
      </c>
      <c r="L346" t="s">
        <v>3946</v>
      </c>
      <c r="M346" t="s">
        <v>4888</v>
      </c>
      <c r="P346" t="s">
        <v>3638</v>
      </c>
    </row>
    <row r="347" spans="1:16" x14ac:dyDescent="0.2">
      <c r="A347" t="s">
        <v>2013</v>
      </c>
      <c r="B347" t="s">
        <v>2603</v>
      </c>
      <c r="C347" t="s">
        <v>2599</v>
      </c>
      <c r="D347" t="s">
        <v>2307</v>
      </c>
      <c r="E347">
        <v>98028</v>
      </c>
      <c r="F347" t="s">
        <v>1716</v>
      </c>
      <c r="G347" t="s">
        <v>2000</v>
      </c>
      <c r="H347" t="s">
        <v>4414</v>
      </c>
      <c r="I347">
        <v>47.758774000000003</v>
      </c>
      <c r="J347">
        <v>-122.255197</v>
      </c>
      <c r="K347" t="s">
        <v>3936</v>
      </c>
      <c r="L347" t="s">
        <v>3946</v>
      </c>
      <c r="M347" t="s">
        <v>4888</v>
      </c>
      <c r="P347" t="s">
        <v>2603</v>
      </c>
    </row>
    <row r="348" spans="1:16" x14ac:dyDescent="0.2">
      <c r="A348" t="s">
        <v>2141</v>
      </c>
      <c r="B348" t="s">
        <v>2619</v>
      </c>
      <c r="C348" t="s">
        <v>2620</v>
      </c>
      <c r="D348" t="s">
        <v>2307</v>
      </c>
      <c r="E348">
        <v>98056</v>
      </c>
      <c r="F348" t="s">
        <v>2035</v>
      </c>
      <c r="G348" t="s">
        <v>2005</v>
      </c>
      <c r="H348" t="s">
        <v>4422</v>
      </c>
      <c r="I348">
        <v>47.539338999999998</v>
      </c>
      <c r="J348">
        <v>-122.169394</v>
      </c>
      <c r="K348" t="s">
        <v>3936</v>
      </c>
      <c r="L348" t="s">
        <v>3946</v>
      </c>
      <c r="M348" t="s">
        <v>4888</v>
      </c>
      <c r="P348" t="s">
        <v>2619</v>
      </c>
    </row>
    <row r="349" spans="1:16" x14ac:dyDescent="0.2">
      <c r="A349" t="s">
        <v>1692</v>
      </c>
      <c r="B349" t="s">
        <v>3641</v>
      </c>
      <c r="C349" t="s">
        <v>66</v>
      </c>
      <c r="D349" t="s">
        <v>2307</v>
      </c>
      <c r="E349">
        <v>98178</v>
      </c>
      <c r="F349" t="s">
        <v>1587</v>
      </c>
      <c r="G349" t="s">
        <v>1979</v>
      </c>
      <c r="H349" t="s">
        <v>4080</v>
      </c>
      <c r="I349">
        <v>47.496788000000002</v>
      </c>
      <c r="J349">
        <v>-122.24478999999999</v>
      </c>
      <c r="K349" t="s">
        <v>3936</v>
      </c>
      <c r="L349" t="s">
        <v>3946</v>
      </c>
      <c r="M349" t="s">
        <v>4888</v>
      </c>
      <c r="P349" t="s">
        <v>3641</v>
      </c>
    </row>
    <row r="350" spans="1:16" x14ac:dyDescent="0.2">
      <c r="A350" t="s">
        <v>2101</v>
      </c>
      <c r="B350" t="s">
        <v>2626</v>
      </c>
      <c r="C350" t="s">
        <v>2627</v>
      </c>
      <c r="D350" t="s">
        <v>2307</v>
      </c>
      <c r="E350">
        <v>98026</v>
      </c>
      <c r="F350" t="s">
        <v>1600</v>
      </c>
      <c r="G350" t="s">
        <v>2142</v>
      </c>
      <c r="H350" t="s">
        <v>5092</v>
      </c>
      <c r="I350">
        <v>47.777940999999998</v>
      </c>
      <c r="J350">
        <v>-122.346543</v>
      </c>
      <c r="K350" t="s">
        <v>3936</v>
      </c>
      <c r="L350" t="s">
        <v>3946</v>
      </c>
      <c r="M350" t="s">
        <v>4888</v>
      </c>
      <c r="P350" t="s">
        <v>2626</v>
      </c>
    </row>
    <row r="351" spans="1:16" x14ac:dyDescent="0.2">
      <c r="A351" t="s">
        <v>1693</v>
      </c>
      <c r="B351" t="s">
        <v>3642</v>
      </c>
      <c r="C351" t="s">
        <v>2627</v>
      </c>
      <c r="D351" t="s">
        <v>2307</v>
      </c>
      <c r="E351">
        <v>98026</v>
      </c>
      <c r="F351" t="s">
        <v>1587</v>
      </c>
      <c r="G351" t="s">
        <v>1989</v>
      </c>
      <c r="H351" t="s">
        <v>4081</v>
      </c>
      <c r="I351">
        <v>47.777940000000001</v>
      </c>
      <c r="J351">
        <v>-122.346598</v>
      </c>
      <c r="K351" t="s">
        <v>3936</v>
      </c>
      <c r="L351" t="s">
        <v>3946</v>
      </c>
      <c r="M351" t="s">
        <v>4888</v>
      </c>
      <c r="P351" t="s">
        <v>5690</v>
      </c>
    </row>
    <row r="352" spans="1:16" x14ac:dyDescent="0.2">
      <c r="A352" t="s">
        <v>2144</v>
      </c>
      <c r="B352" t="s">
        <v>2631</v>
      </c>
      <c r="C352" t="s">
        <v>2627</v>
      </c>
      <c r="D352" t="s">
        <v>2307</v>
      </c>
      <c r="E352">
        <v>98023</v>
      </c>
      <c r="F352" t="s">
        <v>1583</v>
      </c>
      <c r="G352" t="s">
        <v>1980</v>
      </c>
      <c r="H352" t="s">
        <v>4430</v>
      </c>
      <c r="I352">
        <v>47.778371999999997</v>
      </c>
      <c r="J352">
        <v>-122.36253000000001</v>
      </c>
      <c r="K352" t="s">
        <v>3936</v>
      </c>
      <c r="L352" t="s">
        <v>3946</v>
      </c>
      <c r="M352" t="s">
        <v>4888</v>
      </c>
      <c r="P352" t="s">
        <v>2631</v>
      </c>
    </row>
    <row r="353" spans="1:16" x14ac:dyDescent="0.2">
      <c r="A353" t="s">
        <v>1695</v>
      </c>
      <c r="B353" t="s">
        <v>3643</v>
      </c>
      <c r="C353" t="s">
        <v>2627</v>
      </c>
      <c r="D353" t="s">
        <v>2307</v>
      </c>
      <c r="E353">
        <v>98026</v>
      </c>
      <c r="F353" t="s">
        <v>1591</v>
      </c>
      <c r="G353" t="s">
        <v>1969</v>
      </c>
      <c r="H353" t="s">
        <v>5093</v>
      </c>
      <c r="I353">
        <v>47.781305000000003</v>
      </c>
      <c r="J353">
        <v>-122.344893</v>
      </c>
      <c r="K353" t="s">
        <v>3936</v>
      </c>
      <c r="L353" t="s">
        <v>3946</v>
      </c>
      <c r="M353" t="s">
        <v>4888</v>
      </c>
      <c r="P353" t="s">
        <v>3643</v>
      </c>
    </row>
    <row r="354" spans="1:16" x14ac:dyDescent="0.2">
      <c r="A354" t="s">
        <v>2145</v>
      </c>
      <c r="B354" t="s">
        <v>6223</v>
      </c>
      <c r="C354" t="s">
        <v>2586</v>
      </c>
      <c r="D354" t="s">
        <v>2307</v>
      </c>
      <c r="E354">
        <v>98052</v>
      </c>
      <c r="F354" t="s">
        <v>1591</v>
      </c>
      <c r="G354" t="s">
        <v>1969</v>
      </c>
      <c r="H354" t="s">
        <v>4951</v>
      </c>
      <c r="I354">
        <v>47.678710000000002</v>
      </c>
      <c r="J354">
        <v>-122.12465</v>
      </c>
      <c r="K354" t="s">
        <v>3936</v>
      </c>
      <c r="L354" t="s">
        <v>3946</v>
      </c>
      <c r="M354" t="s">
        <v>4888</v>
      </c>
      <c r="P354" t="s">
        <v>6024</v>
      </c>
    </row>
    <row r="355" spans="1:16" x14ac:dyDescent="0.2">
      <c r="A355" t="s">
        <v>1696</v>
      </c>
      <c r="B355" t="s">
        <v>3644</v>
      </c>
      <c r="C355" t="s">
        <v>2586</v>
      </c>
      <c r="D355" t="s">
        <v>2307</v>
      </c>
      <c r="E355">
        <v>98052</v>
      </c>
      <c r="F355" t="s">
        <v>1575</v>
      </c>
      <c r="G355" t="s">
        <v>1973</v>
      </c>
      <c r="H355" t="s">
        <v>5389</v>
      </c>
      <c r="I355">
        <v>47.674734000000001</v>
      </c>
      <c r="J355">
        <v>-122.12262</v>
      </c>
      <c r="K355" t="s">
        <v>3936</v>
      </c>
      <c r="L355" t="s">
        <v>3946</v>
      </c>
      <c r="M355" t="s">
        <v>4888</v>
      </c>
      <c r="P355" t="s">
        <v>3644</v>
      </c>
    </row>
    <row r="356" spans="1:16" x14ac:dyDescent="0.2">
      <c r="A356" t="s">
        <v>2013</v>
      </c>
      <c r="B356" t="s">
        <v>2650</v>
      </c>
      <c r="C356" t="s">
        <v>2597</v>
      </c>
      <c r="D356" t="s">
        <v>2307</v>
      </c>
      <c r="E356">
        <v>98056</v>
      </c>
      <c r="F356" t="s">
        <v>1716</v>
      </c>
      <c r="G356" t="s">
        <v>2000</v>
      </c>
      <c r="H356" t="s">
        <v>4439</v>
      </c>
      <c r="I356">
        <v>47.503585000000001</v>
      </c>
      <c r="J356">
        <v>-122.199714</v>
      </c>
      <c r="K356" t="s">
        <v>3936</v>
      </c>
      <c r="L356" t="s">
        <v>3946</v>
      </c>
      <c r="M356" t="s">
        <v>4888</v>
      </c>
      <c r="P356" t="s">
        <v>2650</v>
      </c>
    </row>
    <row r="357" spans="1:16" x14ac:dyDescent="0.2">
      <c r="A357" t="s">
        <v>1597</v>
      </c>
      <c r="B357" t="s">
        <v>2650</v>
      </c>
      <c r="C357" t="s">
        <v>2597</v>
      </c>
      <c r="D357" t="s">
        <v>2307</v>
      </c>
      <c r="E357">
        <v>98055</v>
      </c>
      <c r="F357" t="s">
        <v>1573</v>
      </c>
      <c r="G357" t="s">
        <v>1990</v>
      </c>
      <c r="H357" t="s">
        <v>4086</v>
      </c>
      <c r="I357">
        <v>47.503585000000001</v>
      </c>
      <c r="J357">
        <v>-122.199714</v>
      </c>
      <c r="K357" t="s">
        <v>3936</v>
      </c>
      <c r="L357" t="s">
        <v>3946</v>
      </c>
      <c r="M357" t="s">
        <v>4888</v>
      </c>
      <c r="P357" t="s">
        <v>2650</v>
      </c>
    </row>
    <row r="358" spans="1:16" x14ac:dyDescent="0.2">
      <c r="A358" t="s">
        <v>1702</v>
      </c>
      <c r="B358" t="s">
        <v>3648</v>
      </c>
      <c r="C358" t="s">
        <v>2548</v>
      </c>
      <c r="D358" t="s">
        <v>2307</v>
      </c>
      <c r="E358">
        <v>98011</v>
      </c>
      <c r="F358" t="s">
        <v>1587</v>
      </c>
      <c r="G358" t="s">
        <v>1997</v>
      </c>
      <c r="H358" t="s">
        <v>4087</v>
      </c>
      <c r="I358">
        <v>47.76</v>
      </c>
      <c r="J358">
        <v>-122.205044</v>
      </c>
      <c r="K358" t="s">
        <v>3936</v>
      </c>
      <c r="L358" t="s">
        <v>3946</v>
      </c>
      <c r="M358" t="s">
        <v>4888</v>
      </c>
      <c r="P358" t="s">
        <v>3648</v>
      </c>
    </row>
    <row r="359" spans="1:16" x14ac:dyDescent="0.2">
      <c r="A359" t="s">
        <v>2111</v>
      </c>
      <c r="B359" t="s">
        <v>6224</v>
      </c>
      <c r="C359" t="s">
        <v>2586</v>
      </c>
      <c r="D359" t="s">
        <v>2307</v>
      </c>
      <c r="E359">
        <v>98052</v>
      </c>
      <c r="F359" t="s">
        <v>1600</v>
      </c>
      <c r="G359" t="s">
        <v>2186</v>
      </c>
      <c r="H359" t="s">
        <v>5801</v>
      </c>
      <c r="I359">
        <v>47.670851999999996</v>
      </c>
      <c r="J359">
        <v>-122.111698</v>
      </c>
      <c r="K359" t="s">
        <v>3936</v>
      </c>
      <c r="L359" t="s">
        <v>3946</v>
      </c>
      <c r="M359" t="s">
        <v>4888</v>
      </c>
      <c r="P359" t="s">
        <v>6025</v>
      </c>
    </row>
    <row r="360" spans="1:16" x14ac:dyDescent="0.2">
      <c r="A360" t="s">
        <v>2073</v>
      </c>
      <c r="B360" t="s">
        <v>2651</v>
      </c>
      <c r="C360" t="s">
        <v>2586</v>
      </c>
      <c r="D360" t="s">
        <v>2307</v>
      </c>
      <c r="E360">
        <v>98052</v>
      </c>
      <c r="F360" t="s">
        <v>1658</v>
      </c>
      <c r="G360" t="s">
        <v>2074</v>
      </c>
      <c r="H360" t="s">
        <v>4440</v>
      </c>
      <c r="I360">
        <v>47.671064000000001</v>
      </c>
      <c r="J360">
        <v>-122.11141600000001</v>
      </c>
      <c r="K360" t="s">
        <v>3936</v>
      </c>
      <c r="L360" t="s">
        <v>3946</v>
      </c>
      <c r="M360" t="s">
        <v>4888</v>
      </c>
      <c r="P360" t="s">
        <v>2651</v>
      </c>
    </row>
    <row r="361" spans="1:16" x14ac:dyDescent="0.2">
      <c r="A361" t="s">
        <v>1597</v>
      </c>
      <c r="B361" t="s">
        <v>3650</v>
      </c>
      <c r="C361" t="s">
        <v>2581</v>
      </c>
      <c r="D361" t="s">
        <v>2307</v>
      </c>
      <c r="E361">
        <v>98166</v>
      </c>
      <c r="F361" t="s">
        <v>1573</v>
      </c>
      <c r="G361" t="s">
        <v>1990</v>
      </c>
      <c r="H361" t="s">
        <v>5025</v>
      </c>
      <c r="I361">
        <v>47.470291000000003</v>
      </c>
      <c r="J361">
        <v>-122.334281</v>
      </c>
      <c r="K361" t="s">
        <v>3936</v>
      </c>
      <c r="L361" t="s">
        <v>3946</v>
      </c>
      <c r="M361" t="s">
        <v>4888</v>
      </c>
      <c r="P361" t="s">
        <v>3650</v>
      </c>
    </row>
    <row r="362" spans="1:16" x14ac:dyDescent="0.2">
      <c r="A362" t="s">
        <v>1704</v>
      </c>
      <c r="B362" t="s">
        <v>3651</v>
      </c>
      <c r="C362" t="s">
        <v>2581</v>
      </c>
      <c r="D362" t="s">
        <v>2307</v>
      </c>
      <c r="E362">
        <v>98166</v>
      </c>
      <c r="F362" t="s">
        <v>1600</v>
      </c>
      <c r="G362" t="s">
        <v>1998</v>
      </c>
      <c r="H362" t="s">
        <v>5349</v>
      </c>
      <c r="I362">
        <v>47.470342000000002</v>
      </c>
      <c r="J362">
        <v>-122.345888</v>
      </c>
      <c r="K362" t="s">
        <v>3936</v>
      </c>
      <c r="L362" t="s">
        <v>3946</v>
      </c>
      <c r="M362" t="s">
        <v>4888</v>
      </c>
      <c r="P362" t="s">
        <v>3651</v>
      </c>
    </row>
    <row r="363" spans="1:16" x14ac:dyDescent="0.2">
      <c r="A363" t="s">
        <v>1597</v>
      </c>
      <c r="B363" t="s">
        <v>3653</v>
      </c>
      <c r="C363" t="s">
        <v>2627</v>
      </c>
      <c r="D363" t="s">
        <v>2307</v>
      </c>
      <c r="E363">
        <v>98020</v>
      </c>
      <c r="F363" t="s">
        <v>1573</v>
      </c>
      <c r="G363" t="s">
        <v>1990</v>
      </c>
      <c r="H363" t="s">
        <v>5026</v>
      </c>
      <c r="I363">
        <v>47.790391</v>
      </c>
      <c r="J363">
        <v>-122.365657</v>
      </c>
      <c r="K363" t="s">
        <v>3936</v>
      </c>
      <c r="L363" t="s">
        <v>3946</v>
      </c>
      <c r="M363" t="s">
        <v>4888</v>
      </c>
      <c r="P363" t="s">
        <v>3653</v>
      </c>
    </row>
    <row r="364" spans="1:16" x14ac:dyDescent="0.2">
      <c r="A364" t="s">
        <v>2116</v>
      </c>
      <c r="B364" t="s">
        <v>2659</v>
      </c>
      <c r="C364" t="s">
        <v>2586</v>
      </c>
      <c r="D364" t="s">
        <v>2307</v>
      </c>
      <c r="E364">
        <v>98052</v>
      </c>
      <c r="F364" t="s">
        <v>1716</v>
      </c>
      <c r="G364" t="s">
        <v>2000</v>
      </c>
      <c r="H364" t="s">
        <v>5094</v>
      </c>
      <c r="I364">
        <v>47.667107999999999</v>
      </c>
      <c r="J364">
        <v>-122.105796</v>
      </c>
      <c r="K364" t="s">
        <v>3936</v>
      </c>
      <c r="L364" t="s">
        <v>3946</v>
      </c>
      <c r="M364" t="s">
        <v>4888</v>
      </c>
      <c r="P364" t="s">
        <v>2659</v>
      </c>
    </row>
    <row r="365" spans="1:16" x14ac:dyDescent="0.2">
      <c r="A365" t="s">
        <v>2151</v>
      </c>
      <c r="B365" t="s">
        <v>2661</v>
      </c>
      <c r="C365" t="s">
        <v>66</v>
      </c>
      <c r="D365" t="s">
        <v>2307</v>
      </c>
      <c r="E365">
        <v>98166</v>
      </c>
      <c r="F365" t="s">
        <v>2146</v>
      </c>
      <c r="G365" t="s">
        <v>2005</v>
      </c>
      <c r="H365" t="s">
        <v>4445</v>
      </c>
      <c r="I365">
        <v>47.466695999999999</v>
      </c>
      <c r="J365">
        <v>-122.339963</v>
      </c>
      <c r="K365" t="s">
        <v>3936</v>
      </c>
      <c r="L365" t="s">
        <v>3946</v>
      </c>
      <c r="M365" t="s">
        <v>4888</v>
      </c>
      <c r="P365" t="s">
        <v>2661</v>
      </c>
    </row>
    <row r="366" spans="1:16" x14ac:dyDescent="0.2">
      <c r="A366" t="s">
        <v>1708</v>
      </c>
      <c r="B366" t="s">
        <v>3656</v>
      </c>
      <c r="C366" t="s">
        <v>2581</v>
      </c>
      <c r="D366" t="s">
        <v>2307</v>
      </c>
      <c r="E366">
        <v>98166</v>
      </c>
      <c r="F366" t="s">
        <v>1587</v>
      </c>
      <c r="G366" t="s">
        <v>1973</v>
      </c>
      <c r="H366" t="s">
        <v>4089</v>
      </c>
      <c r="I366">
        <v>47.466625999999998</v>
      </c>
      <c r="J366">
        <v>-122.341714</v>
      </c>
      <c r="K366" t="s">
        <v>3936</v>
      </c>
      <c r="L366" t="s">
        <v>3946</v>
      </c>
      <c r="M366" t="s">
        <v>4888</v>
      </c>
      <c r="P366" t="s">
        <v>3656</v>
      </c>
    </row>
    <row r="367" spans="1:16" x14ac:dyDescent="0.2">
      <c r="A367" t="s">
        <v>2152</v>
      </c>
      <c r="B367" t="s">
        <v>2662</v>
      </c>
      <c r="C367" t="s">
        <v>2581</v>
      </c>
      <c r="D367" t="s">
        <v>2307</v>
      </c>
      <c r="E367">
        <v>98166</v>
      </c>
      <c r="F367" t="s">
        <v>1583</v>
      </c>
      <c r="G367" t="s">
        <v>1980</v>
      </c>
      <c r="H367" t="s">
        <v>5095</v>
      </c>
      <c r="I367">
        <v>47.466847999999999</v>
      </c>
      <c r="J367">
        <v>-122.34512599999999</v>
      </c>
      <c r="K367" t="s">
        <v>3936</v>
      </c>
      <c r="L367" t="s">
        <v>3946</v>
      </c>
      <c r="M367" t="s">
        <v>4888</v>
      </c>
      <c r="P367" t="s">
        <v>2662</v>
      </c>
    </row>
    <row r="368" spans="1:16" x14ac:dyDescent="0.2">
      <c r="A368" t="s">
        <v>1709</v>
      </c>
      <c r="B368" t="s">
        <v>3657</v>
      </c>
      <c r="C368" t="s">
        <v>2581</v>
      </c>
      <c r="D368" t="s">
        <v>2307</v>
      </c>
      <c r="E368">
        <v>98166</v>
      </c>
      <c r="F368" t="s">
        <v>1587</v>
      </c>
      <c r="G368" t="s">
        <v>5390</v>
      </c>
      <c r="H368" t="s">
        <v>5391</v>
      </c>
      <c r="I368">
        <v>47.466901999999997</v>
      </c>
      <c r="J368">
        <v>-122.34624100000001</v>
      </c>
      <c r="K368" t="s">
        <v>3936</v>
      </c>
      <c r="L368" t="s">
        <v>3946</v>
      </c>
      <c r="M368" t="s">
        <v>4888</v>
      </c>
      <c r="P368" t="s">
        <v>3657</v>
      </c>
    </row>
    <row r="369" spans="1:16" x14ac:dyDescent="0.2">
      <c r="A369" t="s">
        <v>1710</v>
      </c>
      <c r="B369" t="s">
        <v>3659</v>
      </c>
      <c r="C369" t="s">
        <v>2672</v>
      </c>
      <c r="D369" t="s">
        <v>2307</v>
      </c>
      <c r="E369">
        <v>98072</v>
      </c>
      <c r="F369" t="s">
        <v>1587</v>
      </c>
      <c r="G369" t="s">
        <v>1982</v>
      </c>
      <c r="H369" t="s">
        <v>5392</v>
      </c>
      <c r="I369">
        <v>47.732996</v>
      </c>
      <c r="J369">
        <v>-122.14894099999999</v>
      </c>
      <c r="K369" t="s">
        <v>3936</v>
      </c>
      <c r="L369" t="s">
        <v>3946</v>
      </c>
      <c r="M369" t="s">
        <v>4888</v>
      </c>
      <c r="P369" t="s">
        <v>3659</v>
      </c>
    </row>
    <row r="370" spans="1:16" x14ac:dyDescent="0.2">
      <c r="A370" t="s">
        <v>1711</v>
      </c>
      <c r="B370" t="s">
        <v>2664</v>
      </c>
      <c r="C370" t="s">
        <v>2597</v>
      </c>
      <c r="D370" t="s">
        <v>2307</v>
      </c>
      <c r="E370">
        <v>98056</v>
      </c>
      <c r="F370" t="s">
        <v>1591</v>
      </c>
      <c r="G370" t="s">
        <v>1969</v>
      </c>
      <c r="H370" t="s">
        <v>4448</v>
      </c>
      <c r="I370">
        <v>47.501044</v>
      </c>
      <c r="J370">
        <v>-122.18602</v>
      </c>
      <c r="K370" t="s">
        <v>3936</v>
      </c>
      <c r="L370" t="s">
        <v>3946</v>
      </c>
      <c r="M370" t="s">
        <v>4888</v>
      </c>
      <c r="P370" t="s">
        <v>2664</v>
      </c>
    </row>
    <row r="371" spans="1:16" x14ac:dyDescent="0.2">
      <c r="A371" t="s">
        <v>1712</v>
      </c>
      <c r="B371" t="s">
        <v>3660</v>
      </c>
      <c r="C371" t="s">
        <v>2597</v>
      </c>
      <c r="D371" t="s">
        <v>2307</v>
      </c>
      <c r="E371">
        <v>98056</v>
      </c>
      <c r="F371" t="s">
        <v>1587</v>
      </c>
      <c r="G371" t="s">
        <v>1982</v>
      </c>
      <c r="H371" t="s">
        <v>5393</v>
      </c>
      <c r="I371">
        <v>47.504738000000003</v>
      </c>
      <c r="J371">
        <v>-122.176059</v>
      </c>
      <c r="K371" t="s">
        <v>3936</v>
      </c>
      <c r="L371" t="s">
        <v>3946</v>
      </c>
      <c r="M371" t="s">
        <v>4888</v>
      </c>
      <c r="P371" t="s">
        <v>3660</v>
      </c>
    </row>
    <row r="372" spans="1:16" x14ac:dyDescent="0.2">
      <c r="A372" t="s">
        <v>1595</v>
      </c>
      <c r="B372" t="s">
        <v>3666</v>
      </c>
      <c r="C372" t="s">
        <v>2636</v>
      </c>
      <c r="D372" t="s">
        <v>2307</v>
      </c>
      <c r="E372">
        <v>98188</v>
      </c>
      <c r="F372" t="s">
        <v>1573</v>
      </c>
      <c r="G372" t="s">
        <v>1990</v>
      </c>
      <c r="H372" t="s">
        <v>5027</v>
      </c>
      <c r="I372">
        <v>47.458240000000004</v>
      </c>
      <c r="J372">
        <v>-122.255289</v>
      </c>
      <c r="K372" t="s">
        <v>3936</v>
      </c>
      <c r="L372" t="s">
        <v>3946</v>
      </c>
      <c r="M372" t="s">
        <v>4888</v>
      </c>
      <c r="P372" t="s">
        <v>3666</v>
      </c>
    </row>
    <row r="373" spans="1:16" x14ac:dyDescent="0.2">
      <c r="A373" t="s">
        <v>1715</v>
      </c>
      <c r="B373" t="s">
        <v>3667</v>
      </c>
      <c r="C373" t="s">
        <v>2581</v>
      </c>
      <c r="D373" t="s">
        <v>2307</v>
      </c>
      <c r="E373">
        <v>98166</v>
      </c>
      <c r="F373" t="s">
        <v>1716</v>
      </c>
      <c r="G373" t="s">
        <v>2000</v>
      </c>
      <c r="H373" t="s">
        <v>4093</v>
      </c>
      <c r="I373">
        <v>47.461978999999999</v>
      </c>
      <c r="J373">
        <v>-122.33669399999999</v>
      </c>
      <c r="K373" t="s">
        <v>3936</v>
      </c>
      <c r="L373" t="s">
        <v>3946</v>
      </c>
      <c r="M373" t="s">
        <v>4888</v>
      </c>
      <c r="P373" t="s">
        <v>3667</v>
      </c>
    </row>
    <row r="374" spans="1:16" x14ac:dyDescent="0.2">
      <c r="A374" t="s">
        <v>1717</v>
      </c>
      <c r="B374" t="s">
        <v>3668</v>
      </c>
      <c r="C374" t="s">
        <v>2672</v>
      </c>
      <c r="D374" t="s">
        <v>2307</v>
      </c>
      <c r="E374">
        <v>98072</v>
      </c>
      <c r="F374" t="s">
        <v>1604</v>
      </c>
      <c r="G374" t="s">
        <v>1989</v>
      </c>
      <c r="H374" t="s">
        <v>4094</v>
      </c>
      <c r="I374">
        <v>47.731879999999997</v>
      </c>
      <c r="J374">
        <v>-122.141268</v>
      </c>
      <c r="K374" t="s">
        <v>3936</v>
      </c>
      <c r="L374" t="s">
        <v>3946</v>
      </c>
      <c r="M374" t="s">
        <v>4888</v>
      </c>
      <c r="P374" t="s">
        <v>5686</v>
      </c>
    </row>
    <row r="375" spans="1:16" x14ac:dyDescent="0.2">
      <c r="A375" t="s">
        <v>2101</v>
      </c>
      <c r="B375" t="s">
        <v>2675</v>
      </c>
      <c r="C375" t="s">
        <v>2581</v>
      </c>
      <c r="D375" t="s">
        <v>2307</v>
      </c>
      <c r="E375">
        <v>98148</v>
      </c>
      <c r="F375" t="s">
        <v>1600</v>
      </c>
      <c r="G375" t="s">
        <v>2102</v>
      </c>
      <c r="H375" t="s">
        <v>4952</v>
      </c>
      <c r="I375">
        <v>47.461132999999997</v>
      </c>
      <c r="J375">
        <v>-122.33377400000001</v>
      </c>
      <c r="K375" t="s">
        <v>3936</v>
      </c>
      <c r="L375" t="s">
        <v>3946</v>
      </c>
      <c r="M375" t="s">
        <v>4888</v>
      </c>
      <c r="P375" t="s">
        <v>2675</v>
      </c>
    </row>
    <row r="376" spans="1:16" x14ac:dyDescent="0.2">
      <c r="A376" t="s">
        <v>1719</v>
      </c>
      <c r="B376" t="s">
        <v>3670</v>
      </c>
      <c r="C376" t="s">
        <v>2597</v>
      </c>
      <c r="D376" t="s">
        <v>2307</v>
      </c>
      <c r="E376">
        <v>98055</v>
      </c>
      <c r="F376" t="s">
        <v>1587</v>
      </c>
      <c r="G376" t="s">
        <v>1982</v>
      </c>
      <c r="H376" t="s">
        <v>4095</v>
      </c>
      <c r="I376">
        <v>47.487586</v>
      </c>
      <c r="J376">
        <v>-122.202403</v>
      </c>
      <c r="K376" t="s">
        <v>3936</v>
      </c>
      <c r="L376" t="s">
        <v>3946</v>
      </c>
      <c r="M376" t="s">
        <v>4888</v>
      </c>
      <c r="P376" t="s">
        <v>3670</v>
      </c>
    </row>
    <row r="377" spans="1:16" x14ac:dyDescent="0.2">
      <c r="A377" t="s">
        <v>2154</v>
      </c>
      <c r="B377" t="s">
        <v>2676</v>
      </c>
      <c r="C377" t="s">
        <v>2668</v>
      </c>
      <c r="D377" t="s">
        <v>2307</v>
      </c>
      <c r="E377">
        <v>98043</v>
      </c>
      <c r="F377" t="s">
        <v>1583</v>
      </c>
      <c r="G377" t="s">
        <v>1980</v>
      </c>
      <c r="H377" t="s">
        <v>5394</v>
      </c>
      <c r="I377">
        <v>47.799444000000001</v>
      </c>
      <c r="J377">
        <v>-122.328193</v>
      </c>
      <c r="K377" t="s">
        <v>3936</v>
      </c>
      <c r="L377" t="s">
        <v>3946</v>
      </c>
      <c r="M377" t="s">
        <v>4888</v>
      </c>
      <c r="P377" t="s">
        <v>2676</v>
      </c>
    </row>
    <row r="378" spans="1:16" x14ac:dyDescent="0.2">
      <c r="A378" t="s">
        <v>1724</v>
      </c>
      <c r="B378" t="s">
        <v>3675</v>
      </c>
      <c r="C378" t="s">
        <v>2597</v>
      </c>
      <c r="D378" t="s">
        <v>2307</v>
      </c>
      <c r="E378">
        <v>98057</v>
      </c>
      <c r="F378" t="s">
        <v>1591</v>
      </c>
      <c r="G378" t="s">
        <v>1969</v>
      </c>
      <c r="H378" t="s">
        <v>5395</v>
      </c>
      <c r="I378">
        <v>47.479847999999997</v>
      </c>
      <c r="J378">
        <v>-122.206439</v>
      </c>
      <c r="K378" t="s">
        <v>3936</v>
      </c>
      <c r="L378" t="s">
        <v>3946</v>
      </c>
      <c r="M378" t="s">
        <v>4888</v>
      </c>
      <c r="P378" t="s">
        <v>3675</v>
      </c>
    </row>
    <row r="379" spans="1:16" x14ac:dyDescent="0.2">
      <c r="A379" t="s">
        <v>1725</v>
      </c>
      <c r="B379" t="s">
        <v>3676</v>
      </c>
      <c r="C379" t="s">
        <v>2597</v>
      </c>
      <c r="D379" t="s">
        <v>2307</v>
      </c>
      <c r="E379">
        <v>98057</v>
      </c>
      <c r="F379" t="s">
        <v>1587</v>
      </c>
      <c r="G379" t="s">
        <v>1984</v>
      </c>
      <c r="H379" t="s">
        <v>4100</v>
      </c>
      <c r="I379">
        <v>47.479517999999999</v>
      </c>
      <c r="J379">
        <v>-122.205299</v>
      </c>
      <c r="K379" t="s">
        <v>3936</v>
      </c>
      <c r="L379" t="s">
        <v>3946</v>
      </c>
      <c r="M379" t="s">
        <v>4888</v>
      </c>
      <c r="P379" t="s">
        <v>3676</v>
      </c>
    </row>
    <row r="380" spans="1:16" x14ac:dyDescent="0.2">
      <c r="A380" t="s">
        <v>1726</v>
      </c>
      <c r="B380" t="s">
        <v>3677</v>
      </c>
      <c r="C380" t="s">
        <v>2597</v>
      </c>
      <c r="D380" t="s">
        <v>2307</v>
      </c>
      <c r="E380">
        <v>98057</v>
      </c>
      <c r="F380" t="s">
        <v>1575</v>
      </c>
      <c r="G380" t="s">
        <v>1973</v>
      </c>
      <c r="H380" t="s">
        <v>4101</v>
      </c>
      <c r="I380">
        <v>47.477981</v>
      </c>
      <c r="J380">
        <v>-122.206457</v>
      </c>
      <c r="K380" t="s">
        <v>3936</v>
      </c>
      <c r="L380" t="s">
        <v>3946</v>
      </c>
      <c r="M380" t="s">
        <v>4888</v>
      </c>
      <c r="P380" t="s">
        <v>3677</v>
      </c>
    </row>
    <row r="381" spans="1:16" x14ac:dyDescent="0.2">
      <c r="A381" t="s">
        <v>2157</v>
      </c>
      <c r="B381" t="s">
        <v>6225</v>
      </c>
      <c r="C381" t="s">
        <v>2672</v>
      </c>
      <c r="D381" t="s">
        <v>2307</v>
      </c>
      <c r="E381">
        <v>98072</v>
      </c>
      <c r="F381" t="s">
        <v>1716</v>
      </c>
      <c r="G381" t="s">
        <v>1992</v>
      </c>
      <c r="H381" t="s">
        <v>4466</v>
      </c>
      <c r="I381">
        <v>47.758254000000001</v>
      </c>
      <c r="J381">
        <v>-122.160583</v>
      </c>
      <c r="K381" t="s">
        <v>3936</v>
      </c>
      <c r="L381" t="s">
        <v>3946</v>
      </c>
      <c r="M381" t="s">
        <v>4888</v>
      </c>
      <c r="P381" t="s">
        <v>6026</v>
      </c>
    </row>
    <row r="382" spans="1:16" x14ac:dyDescent="0.2">
      <c r="A382" t="s">
        <v>2158</v>
      </c>
      <c r="B382" t="s">
        <v>2692</v>
      </c>
      <c r="C382" t="s">
        <v>2597</v>
      </c>
      <c r="D382" t="s">
        <v>2307</v>
      </c>
      <c r="E382">
        <v>98055</v>
      </c>
      <c r="F382" t="s">
        <v>1716</v>
      </c>
      <c r="G382" t="s">
        <v>2000</v>
      </c>
      <c r="H382" t="s">
        <v>4467</v>
      </c>
      <c r="I382">
        <v>47.473613999999998</v>
      </c>
      <c r="J382">
        <v>-122.218468</v>
      </c>
      <c r="K382" t="s">
        <v>3936</v>
      </c>
      <c r="L382" t="s">
        <v>3946</v>
      </c>
      <c r="M382" t="s">
        <v>4888</v>
      </c>
      <c r="P382" t="s">
        <v>2692</v>
      </c>
    </row>
    <row r="383" spans="1:16" x14ac:dyDescent="0.2">
      <c r="A383" t="s">
        <v>1667</v>
      </c>
      <c r="B383" t="s">
        <v>3678</v>
      </c>
      <c r="C383" t="s">
        <v>2597</v>
      </c>
      <c r="D383" t="s">
        <v>2307</v>
      </c>
      <c r="E383">
        <v>98057</v>
      </c>
      <c r="F383" t="s">
        <v>1658</v>
      </c>
      <c r="G383" t="s">
        <v>1994</v>
      </c>
      <c r="H383" t="s">
        <v>4102</v>
      </c>
      <c r="I383">
        <v>47.482984999999999</v>
      </c>
      <c r="J383">
        <v>-122.194902</v>
      </c>
      <c r="K383" t="s">
        <v>3936</v>
      </c>
      <c r="L383" t="s">
        <v>3946</v>
      </c>
      <c r="M383" t="s">
        <v>4888</v>
      </c>
      <c r="P383" t="s">
        <v>3678</v>
      </c>
    </row>
    <row r="384" spans="1:16" x14ac:dyDescent="0.2">
      <c r="A384" t="s">
        <v>2160</v>
      </c>
      <c r="B384" t="s">
        <v>2695</v>
      </c>
      <c r="C384" t="s">
        <v>2636</v>
      </c>
      <c r="D384" t="s">
        <v>2307</v>
      </c>
      <c r="E384">
        <v>98188</v>
      </c>
      <c r="F384" t="s">
        <v>1600</v>
      </c>
      <c r="G384" t="s">
        <v>5396</v>
      </c>
      <c r="H384" t="s">
        <v>5397</v>
      </c>
      <c r="I384">
        <v>47.464998999999999</v>
      </c>
      <c r="J384">
        <v>-122.24538800000001</v>
      </c>
      <c r="K384" t="s">
        <v>3936</v>
      </c>
      <c r="L384" t="s">
        <v>3946</v>
      </c>
      <c r="M384" t="s">
        <v>4888</v>
      </c>
      <c r="P384" t="s">
        <v>2695</v>
      </c>
    </row>
    <row r="385" spans="1:16" x14ac:dyDescent="0.2">
      <c r="A385" t="s">
        <v>2163</v>
      </c>
      <c r="B385" t="s">
        <v>2706</v>
      </c>
      <c r="C385" t="s">
        <v>2548</v>
      </c>
      <c r="D385" t="s">
        <v>2307</v>
      </c>
      <c r="E385">
        <v>98021</v>
      </c>
      <c r="F385" t="s">
        <v>1591</v>
      </c>
      <c r="G385" t="s">
        <v>1969</v>
      </c>
      <c r="H385" t="s">
        <v>4473</v>
      </c>
      <c r="I385">
        <v>47.792963</v>
      </c>
      <c r="J385">
        <v>-122.233204</v>
      </c>
      <c r="K385" t="s">
        <v>3936</v>
      </c>
      <c r="L385" t="s">
        <v>3946</v>
      </c>
      <c r="M385" t="s">
        <v>4888</v>
      </c>
      <c r="P385" t="s">
        <v>2706</v>
      </c>
    </row>
    <row r="386" spans="1:16" x14ac:dyDescent="0.2">
      <c r="A386" t="s">
        <v>2164</v>
      </c>
      <c r="B386" t="s">
        <v>2709</v>
      </c>
      <c r="C386" t="s">
        <v>2627</v>
      </c>
      <c r="D386" t="s">
        <v>2307</v>
      </c>
      <c r="E386">
        <v>98020</v>
      </c>
      <c r="F386" t="s">
        <v>1600</v>
      </c>
      <c r="G386" t="s">
        <v>2165</v>
      </c>
      <c r="H386" t="s">
        <v>4475</v>
      </c>
      <c r="I386">
        <v>47.807144999999998</v>
      </c>
      <c r="J386">
        <v>-122.37863299999999</v>
      </c>
      <c r="K386" t="s">
        <v>3936</v>
      </c>
      <c r="L386" t="s">
        <v>3946</v>
      </c>
      <c r="M386" t="s">
        <v>4888</v>
      </c>
      <c r="P386" t="s">
        <v>2709</v>
      </c>
    </row>
    <row r="387" spans="1:16" x14ac:dyDescent="0.2">
      <c r="A387" t="s">
        <v>5050</v>
      </c>
      <c r="B387" t="s">
        <v>5051</v>
      </c>
      <c r="C387" t="s">
        <v>2597</v>
      </c>
      <c r="D387" t="s">
        <v>2307</v>
      </c>
      <c r="E387">
        <v>98059</v>
      </c>
      <c r="F387" t="s">
        <v>1600</v>
      </c>
      <c r="G387" t="s">
        <v>1973</v>
      </c>
      <c r="H387" t="s">
        <v>5350</v>
      </c>
      <c r="I387">
        <v>47.488689999999998</v>
      </c>
      <c r="J387">
        <v>-122.171837</v>
      </c>
      <c r="K387" t="s">
        <v>3936</v>
      </c>
      <c r="L387" t="s">
        <v>3946</v>
      </c>
      <c r="M387" t="s">
        <v>4888</v>
      </c>
      <c r="P387" t="s">
        <v>5051</v>
      </c>
    </row>
    <row r="388" spans="1:16" x14ac:dyDescent="0.2">
      <c r="A388" t="s">
        <v>2171</v>
      </c>
      <c r="B388" t="s">
        <v>2725</v>
      </c>
      <c r="C388" t="s">
        <v>2548</v>
      </c>
      <c r="D388" t="s">
        <v>2307</v>
      </c>
      <c r="E388">
        <v>98021</v>
      </c>
      <c r="F388" t="s">
        <v>1716</v>
      </c>
      <c r="G388" t="s">
        <v>2000</v>
      </c>
      <c r="H388" t="s">
        <v>4487</v>
      </c>
      <c r="I388">
        <v>47.781889999999997</v>
      </c>
      <c r="J388">
        <v>-122.22175799999999</v>
      </c>
      <c r="K388" t="s">
        <v>3936</v>
      </c>
      <c r="L388" t="s">
        <v>3946</v>
      </c>
      <c r="M388" t="s">
        <v>4888</v>
      </c>
      <c r="P388" t="s">
        <v>5746</v>
      </c>
    </row>
    <row r="389" spans="1:16" x14ac:dyDescent="0.2">
      <c r="A389" t="s">
        <v>1939</v>
      </c>
      <c r="B389" t="s">
        <v>3500</v>
      </c>
      <c r="C389" t="s">
        <v>2636</v>
      </c>
      <c r="D389" t="s">
        <v>2307</v>
      </c>
      <c r="E389">
        <v>98188</v>
      </c>
      <c r="F389" t="s">
        <v>1575</v>
      </c>
      <c r="G389" t="s">
        <v>1975</v>
      </c>
      <c r="H389" t="s">
        <v>4021</v>
      </c>
      <c r="I389">
        <v>47.454813000000001</v>
      </c>
      <c r="J389">
        <v>-122.262275</v>
      </c>
      <c r="K389" t="s">
        <v>3936</v>
      </c>
      <c r="L389" t="s">
        <v>3946</v>
      </c>
      <c r="M389" t="s">
        <v>4888</v>
      </c>
      <c r="P389" t="s">
        <v>3500</v>
      </c>
    </row>
    <row r="390" spans="1:16" x14ac:dyDescent="0.2">
      <c r="A390" t="s">
        <v>2172</v>
      </c>
      <c r="B390" t="s">
        <v>2726</v>
      </c>
      <c r="C390" t="s">
        <v>2627</v>
      </c>
      <c r="D390" t="s">
        <v>2307</v>
      </c>
      <c r="E390">
        <v>98020</v>
      </c>
      <c r="F390" t="s">
        <v>1716</v>
      </c>
      <c r="G390" t="s">
        <v>1981</v>
      </c>
      <c r="H390" t="s">
        <v>4488</v>
      </c>
      <c r="I390">
        <v>47.810389000000001</v>
      </c>
      <c r="J390">
        <v>-122.37734</v>
      </c>
      <c r="K390" t="s">
        <v>3936</v>
      </c>
      <c r="L390" t="s">
        <v>3946</v>
      </c>
      <c r="M390" t="s">
        <v>4888</v>
      </c>
      <c r="P390" t="s">
        <v>5691</v>
      </c>
    </row>
    <row r="391" spans="1:16" x14ac:dyDescent="0.2">
      <c r="A391" t="s">
        <v>1730</v>
      </c>
      <c r="B391" t="s">
        <v>3684</v>
      </c>
      <c r="C391" t="s">
        <v>2627</v>
      </c>
      <c r="D391" t="s">
        <v>2307</v>
      </c>
      <c r="E391">
        <v>98020</v>
      </c>
      <c r="F391" t="s">
        <v>1575</v>
      </c>
      <c r="G391" t="s">
        <v>1989</v>
      </c>
      <c r="H391" t="s">
        <v>4103</v>
      </c>
      <c r="I391">
        <v>47.810439000000002</v>
      </c>
      <c r="J391">
        <v>-122.38337900000001</v>
      </c>
      <c r="K391" t="s">
        <v>3936</v>
      </c>
      <c r="L391" t="s">
        <v>3946</v>
      </c>
      <c r="M391" t="s">
        <v>4888</v>
      </c>
      <c r="P391" t="s">
        <v>3684</v>
      </c>
    </row>
    <row r="392" spans="1:16" x14ac:dyDescent="0.2">
      <c r="A392" t="s">
        <v>2175</v>
      </c>
      <c r="B392" t="s">
        <v>2731</v>
      </c>
      <c r="C392" t="s">
        <v>66</v>
      </c>
      <c r="D392" t="s">
        <v>2307</v>
      </c>
      <c r="E392">
        <v>98188</v>
      </c>
      <c r="F392" t="s">
        <v>1600</v>
      </c>
      <c r="G392" t="s">
        <v>2207</v>
      </c>
      <c r="H392" t="s">
        <v>5398</v>
      </c>
      <c r="I392">
        <v>47.460656</v>
      </c>
      <c r="J392">
        <v>-122.257769</v>
      </c>
      <c r="K392" t="s">
        <v>3936</v>
      </c>
      <c r="L392" t="s">
        <v>3946</v>
      </c>
      <c r="M392" t="s">
        <v>4888</v>
      </c>
      <c r="P392" t="s">
        <v>2731</v>
      </c>
    </row>
    <row r="393" spans="1:16" x14ac:dyDescent="0.2">
      <c r="A393" t="s">
        <v>1731</v>
      </c>
      <c r="B393" t="s">
        <v>3688</v>
      </c>
      <c r="C393" t="s">
        <v>2627</v>
      </c>
      <c r="D393" t="s">
        <v>2307</v>
      </c>
      <c r="E393">
        <v>98020</v>
      </c>
      <c r="F393" t="s">
        <v>1591</v>
      </c>
      <c r="G393" t="s">
        <v>1969</v>
      </c>
      <c r="H393" t="s">
        <v>5399</v>
      </c>
      <c r="I393">
        <v>47.812553999999999</v>
      </c>
      <c r="J393">
        <v>-122.382351</v>
      </c>
      <c r="K393" t="s">
        <v>3936</v>
      </c>
      <c r="L393" t="s">
        <v>3946</v>
      </c>
      <c r="M393" t="s">
        <v>4888</v>
      </c>
      <c r="P393" t="s">
        <v>3688</v>
      </c>
    </row>
    <row r="394" spans="1:16" x14ac:dyDescent="0.2">
      <c r="A394" t="s">
        <v>1943</v>
      </c>
      <c r="B394" t="s">
        <v>3504</v>
      </c>
      <c r="C394" t="s">
        <v>2717</v>
      </c>
      <c r="D394" t="s">
        <v>2307</v>
      </c>
      <c r="E394">
        <v>98036</v>
      </c>
      <c r="F394" t="s">
        <v>1591</v>
      </c>
      <c r="G394" t="s">
        <v>1969</v>
      </c>
      <c r="H394" t="s">
        <v>5400</v>
      </c>
      <c r="I394">
        <v>47.811999</v>
      </c>
      <c r="J394">
        <v>-122.292492</v>
      </c>
      <c r="K394" t="s">
        <v>3936</v>
      </c>
      <c r="L394" t="s">
        <v>3946</v>
      </c>
      <c r="M394" t="s">
        <v>4888</v>
      </c>
      <c r="P394" t="s">
        <v>3504</v>
      </c>
    </row>
    <row r="395" spans="1:16" x14ac:dyDescent="0.2">
      <c r="A395" t="s">
        <v>2177</v>
      </c>
      <c r="B395" t="s">
        <v>2736</v>
      </c>
      <c r="C395" t="s">
        <v>2737</v>
      </c>
      <c r="D395" t="s">
        <v>2307</v>
      </c>
      <c r="E395">
        <v>98148</v>
      </c>
      <c r="F395" t="s">
        <v>1716</v>
      </c>
      <c r="G395" t="s">
        <v>1973</v>
      </c>
      <c r="H395" t="s">
        <v>5401</v>
      </c>
      <c r="I395">
        <v>47.443052000000002</v>
      </c>
      <c r="J395">
        <v>-122.334419</v>
      </c>
      <c r="K395" t="s">
        <v>3936</v>
      </c>
      <c r="L395" t="s">
        <v>3946</v>
      </c>
      <c r="M395" t="s">
        <v>4888</v>
      </c>
      <c r="P395" t="s">
        <v>2736</v>
      </c>
    </row>
    <row r="396" spans="1:16" x14ac:dyDescent="0.2">
      <c r="A396" t="s">
        <v>2178</v>
      </c>
      <c r="B396" t="s">
        <v>2738</v>
      </c>
      <c r="C396" t="s">
        <v>2737</v>
      </c>
      <c r="D396" t="s">
        <v>2307</v>
      </c>
      <c r="E396">
        <v>98148</v>
      </c>
      <c r="F396" t="s">
        <v>1716</v>
      </c>
      <c r="G396" t="s">
        <v>1981</v>
      </c>
      <c r="H396" t="s">
        <v>4491</v>
      </c>
      <c r="I396">
        <v>47.442526000000001</v>
      </c>
      <c r="J396">
        <v>-122.334397</v>
      </c>
      <c r="K396" t="s">
        <v>3936</v>
      </c>
      <c r="L396" t="s">
        <v>3946</v>
      </c>
      <c r="M396" t="s">
        <v>4888</v>
      </c>
      <c r="P396" t="s">
        <v>2738</v>
      </c>
    </row>
    <row r="397" spans="1:16" x14ac:dyDescent="0.2">
      <c r="A397" t="s">
        <v>1733</v>
      </c>
      <c r="B397" t="s">
        <v>3691</v>
      </c>
      <c r="C397" t="s">
        <v>2717</v>
      </c>
      <c r="D397" t="s">
        <v>2307</v>
      </c>
      <c r="E397">
        <v>98036</v>
      </c>
      <c r="F397" t="s">
        <v>1587</v>
      </c>
      <c r="G397" t="s">
        <v>1973</v>
      </c>
      <c r="H397" t="s">
        <v>4105</v>
      </c>
      <c r="I397">
        <v>47.817416999999999</v>
      </c>
      <c r="J397">
        <v>-122.317272</v>
      </c>
      <c r="K397" t="s">
        <v>3936</v>
      </c>
      <c r="L397" t="s">
        <v>3946</v>
      </c>
      <c r="M397" t="s">
        <v>4888</v>
      </c>
      <c r="P397" t="s">
        <v>3691</v>
      </c>
    </row>
    <row r="398" spans="1:16" x14ac:dyDescent="0.2">
      <c r="A398" t="s">
        <v>2179</v>
      </c>
      <c r="B398" t="s">
        <v>6226</v>
      </c>
      <c r="C398" t="s">
        <v>2548</v>
      </c>
      <c r="D398" t="s">
        <v>2307</v>
      </c>
      <c r="E398">
        <v>98021</v>
      </c>
      <c r="F398" t="s">
        <v>1716</v>
      </c>
      <c r="G398" t="s">
        <v>1973</v>
      </c>
      <c r="H398" t="s">
        <v>4494</v>
      </c>
      <c r="I398">
        <v>47.797553999999998</v>
      </c>
      <c r="J398">
        <v>-122.205439</v>
      </c>
      <c r="K398" t="s">
        <v>3936</v>
      </c>
      <c r="L398" t="s">
        <v>3946</v>
      </c>
      <c r="M398" t="s">
        <v>4888</v>
      </c>
      <c r="P398" t="s">
        <v>6027</v>
      </c>
    </row>
    <row r="399" spans="1:16" x14ac:dyDescent="0.2">
      <c r="A399" t="s">
        <v>1737</v>
      </c>
      <c r="B399" t="s">
        <v>3696</v>
      </c>
      <c r="C399" t="s">
        <v>2717</v>
      </c>
      <c r="D399" t="s">
        <v>2307</v>
      </c>
      <c r="E399">
        <v>98036</v>
      </c>
      <c r="F399" t="s">
        <v>1575</v>
      </c>
      <c r="G399" t="s">
        <v>1992</v>
      </c>
      <c r="H399" t="s">
        <v>4109</v>
      </c>
      <c r="I399">
        <v>47.819248000000002</v>
      </c>
      <c r="J399">
        <v>-122.29089399999999</v>
      </c>
      <c r="K399" t="s">
        <v>3936</v>
      </c>
      <c r="L399" t="s">
        <v>3946</v>
      </c>
      <c r="M399" t="s">
        <v>4888</v>
      </c>
      <c r="P399" t="s">
        <v>3696</v>
      </c>
    </row>
    <row r="400" spans="1:16" x14ac:dyDescent="0.2">
      <c r="A400" t="s">
        <v>2181</v>
      </c>
      <c r="B400" t="s">
        <v>2749</v>
      </c>
      <c r="C400" t="s">
        <v>2717</v>
      </c>
      <c r="D400" t="s">
        <v>2307</v>
      </c>
      <c r="E400">
        <v>98036</v>
      </c>
      <c r="F400" t="s">
        <v>2035</v>
      </c>
      <c r="G400" t="s">
        <v>2005</v>
      </c>
      <c r="H400" t="s">
        <v>4954</v>
      </c>
      <c r="I400">
        <v>47.820996999999998</v>
      </c>
      <c r="J400">
        <v>-122.301925</v>
      </c>
      <c r="K400" t="s">
        <v>3936</v>
      </c>
      <c r="L400" t="s">
        <v>3946</v>
      </c>
      <c r="M400" t="s">
        <v>4888</v>
      </c>
      <c r="P400" t="s">
        <v>2749</v>
      </c>
    </row>
    <row r="401" spans="1:16" x14ac:dyDescent="0.2">
      <c r="A401" t="s">
        <v>2101</v>
      </c>
      <c r="B401" t="s">
        <v>2750</v>
      </c>
      <c r="C401" t="s">
        <v>2717</v>
      </c>
      <c r="D401" t="s">
        <v>2307</v>
      </c>
      <c r="E401">
        <v>98036</v>
      </c>
      <c r="F401" t="s">
        <v>1600</v>
      </c>
      <c r="G401" t="s">
        <v>2056</v>
      </c>
      <c r="H401" t="s">
        <v>5402</v>
      </c>
      <c r="I401">
        <v>47.820953000000003</v>
      </c>
      <c r="J401">
        <v>-122.299262</v>
      </c>
      <c r="K401" t="s">
        <v>3936</v>
      </c>
      <c r="L401" t="s">
        <v>3946</v>
      </c>
      <c r="M401" t="s">
        <v>4888</v>
      </c>
      <c r="P401" t="s">
        <v>2750</v>
      </c>
    </row>
    <row r="402" spans="1:16" x14ac:dyDescent="0.2">
      <c r="A402" t="s">
        <v>1667</v>
      </c>
      <c r="B402" t="s">
        <v>3697</v>
      </c>
      <c r="C402" t="s">
        <v>2717</v>
      </c>
      <c r="D402" t="s">
        <v>2307</v>
      </c>
      <c r="E402">
        <v>98036</v>
      </c>
      <c r="F402" t="s">
        <v>1658</v>
      </c>
      <c r="G402" t="s">
        <v>1994</v>
      </c>
      <c r="H402" t="s">
        <v>4110</v>
      </c>
      <c r="I402">
        <v>47.822145999999996</v>
      </c>
      <c r="J402">
        <v>-122.314502</v>
      </c>
      <c r="K402" t="s">
        <v>3936</v>
      </c>
      <c r="L402" t="s">
        <v>3946</v>
      </c>
      <c r="M402" t="s">
        <v>4888</v>
      </c>
      <c r="P402" t="s">
        <v>3697</v>
      </c>
    </row>
    <row r="403" spans="1:16" x14ac:dyDescent="0.2">
      <c r="A403" t="s">
        <v>2182</v>
      </c>
      <c r="B403" t="s">
        <v>2755</v>
      </c>
      <c r="C403" t="s">
        <v>2717</v>
      </c>
      <c r="D403" t="s">
        <v>2307</v>
      </c>
      <c r="E403">
        <v>98036</v>
      </c>
      <c r="F403" t="s">
        <v>1716</v>
      </c>
      <c r="G403" t="s">
        <v>2005</v>
      </c>
      <c r="H403" t="s">
        <v>5096</v>
      </c>
      <c r="I403">
        <v>47.821815000000001</v>
      </c>
      <c r="J403">
        <v>-122.292208</v>
      </c>
      <c r="K403" t="s">
        <v>3936</v>
      </c>
      <c r="L403" t="s">
        <v>3946</v>
      </c>
      <c r="M403" t="s">
        <v>4888</v>
      </c>
      <c r="P403" t="s">
        <v>2755</v>
      </c>
    </row>
    <row r="404" spans="1:16" x14ac:dyDescent="0.2">
      <c r="A404" t="s">
        <v>1739</v>
      </c>
      <c r="B404" t="s">
        <v>3700</v>
      </c>
      <c r="C404" t="s">
        <v>2754</v>
      </c>
      <c r="D404" t="s">
        <v>2307</v>
      </c>
      <c r="E404">
        <v>98310</v>
      </c>
      <c r="F404" t="s">
        <v>1575</v>
      </c>
      <c r="G404" t="s">
        <v>1995</v>
      </c>
      <c r="H404" t="s">
        <v>4112</v>
      </c>
      <c r="I404">
        <v>47.602705999999998</v>
      </c>
      <c r="J404">
        <v>-122.627984</v>
      </c>
      <c r="K404" t="s">
        <v>3936</v>
      </c>
      <c r="L404" t="s">
        <v>3946</v>
      </c>
      <c r="M404" t="s">
        <v>4888</v>
      </c>
      <c r="P404" t="s">
        <v>3700</v>
      </c>
    </row>
    <row r="405" spans="1:16" x14ac:dyDescent="0.2">
      <c r="A405" t="s">
        <v>1667</v>
      </c>
      <c r="B405" t="s">
        <v>3701</v>
      </c>
      <c r="C405" t="s">
        <v>2754</v>
      </c>
      <c r="D405" t="s">
        <v>2307</v>
      </c>
      <c r="E405">
        <v>98310</v>
      </c>
      <c r="F405" t="s">
        <v>1658</v>
      </c>
      <c r="G405" t="s">
        <v>1994</v>
      </c>
      <c r="H405" t="s">
        <v>4113</v>
      </c>
      <c r="I405">
        <v>47.603710999999997</v>
      </c>
      <c r="J405">
        <v>-122.62888700000001</v>
      </c>
      <c r="K405" t="s">
        <v>3936</v>
      </c>
      <c r="L405" t="s">
        <v>3946</v>
      </c>
      <c r="M405" t="s">
        <v>4888</v>
      </c>
      <c r="P405" t="s">
        <v>3701</v>
      </c>
    </row>
    <row r="406" spans="1:16" x14ac:dyDescent="0.2">
      <c r="A406" t="s">
        <v>1742</v>
      </c>
      <c r="B406" t="s">
        <v>3703</v>
      </c>
      <c r="C406" t="s">
        <v>3686</v>
      </c>
      <c r="D406" t="s">
        <v>2307</v>
      </c>
      <c r="E406">
        <v>98188</v>
      </c>
      <c r="F406" t="s">
        <v>1604</v>
      </c>
      <c r="G406" t="s">
        <v>1984</v>
      </c>
      <c r="H406" t="s">
        <v>4115</v>
      </c>
      <c r="I406">
        <v>47.434429000000002</v>
      </c>
      <c r="J406">
        <v>-122.2974</v>
      </c>
      <c r="K406" t="s">
        <v>3936</v>
      </c>
      <c r="L406" t="s">
        <v>3946</v>
      </c>
      <c r="M406" t="s">
        <v>4888</v>
      </c>
      <c r="P406" t="s">
        <v>3703</v>
      </c>
    </row>
    <row r="407" spans="1:16" x14ac:dyDescent="0.2">
      <c r="A407" t="s">
        <v>2183</v>
      </c>
      <c r="B407" t="s">
        <v>2767</v>
      </c>
      <c r="C407" t="s">
        <v>2754</v>
      </c>
      <c r="D407" t="s">
        <v>2307</v>
      </c>
      <c r="E407">
        <v>98310</v>
      </c>
      <c r="F407" t="s">
        <v>1716</v>
      </c>
      <c r="G407" t="s">
        <v>2000</v>
      </c>
      <c r="H407" t="s">
        <v>4508</v>
      </c>
      <c r="I407">
        <v>47.597299</v>
      </c>
      <c r="J407">
        <v>-122.629234</v>
      </c>
      <c r="K407" t="s">
        <v>3936</v>
      </c>
      <c r="L407" t="s">
        <v>3946</v>
      </c>
      <c r="M407" t="s">
        <v>4888</v>
      </c>
      <c r="P407" t="s">
        <v>2767</v>
      </c>
    </row>
    <row r="408" spans="1:16" x14ac:dyDescent="0.2">
      <c r="A408" t="s">
        <v>2184</v>
      </c>
      <c r="B408" t="s">
        <v>2771</v>
      </c>
      <c r="C408" t="s">
        <v>2597</v>
      </c>
      <c r="D408" t="s">
        <v>2307</v>
      </c>
      <c r="E408">
        <v>98057</v>
      </c>
      <c r="F408" t="s">
        <v>1583</v>
      </c>
      <c r="G408" t="s">
        <v>1980</v>
      </c>
      <c r="H408" t="s">
        <v>5097</v>
      </c>
      <c r="I408">
        <v>47.441378999999998</v>
      </c>
      <c r="J408">
        <v>-122.235164</v>
      </c>
      <c r="K408" t="s">
        <v>3936</v>
      </c>
      <c r="L408" t="s">
        <v>3946</v>
      </c>
      <c r="M408" t="s">
        <v>4888</v>
      </c>
      <c r="P408" t="s">
        <v>2771</v>
      </c>
    </row>
    <row r="409" spans="1:16" x14ac:dyDescent="0.2">
      <c r="A409" t="s">
        <v>2185</v>
      </c>
      <c r="B409" t="s">
        <v>6227</v>
      </c>
      <c r="C409" t="s">
        <v>2627</v>
      </c>
      <c r="D409" t="s">
        <v>2307</v>
      </c>
      <c r="E409">
        <v>98026</v>
      </c>
      <c r="F409" t="s">
        <v>1716</v>
      </c>
      <c r="G409" t="s">
        <v>1995</v>
      </c>
      <c r="H409" t="s">
        <v>4512</v>
      </c>
      <c r="I409">
        <v>47.832023999999997</v>
      </c>
      <c r="J409">
        <v>-122.33752</v>
      </c>
      <c r="K409" t="s">
        <v>3936</v>
      </c>
      <c r="L409" t="s">
        <v>3946</v>
      </c>
      <c r="M409" t="s">
        <v>4888</v>
      </c>
      <c r="P409" t="s">
        <v>6028</v>
      </c>
    </row>
    <row r="410" spans="1:16" x14ac:dyDescent="0.2">
      <c r="A410" t="s">
        <v>2111</v>
      </c>
      <c r="B410" t="s">
        <v>6228</v>
      </c>
      <c r="C410" t="s">
        <v>2717</v>
      </c>
      <c r="D410" t="s">
        <v>2307</v>
      </c>
      <c r="E410">
        <v>98037</v>
      </c>
      <c r="F410" t="s">
        <v>1600</v>
      </c>
      <c r="G410" t="s">
        <v>2186</v>
      </c>
      <c r="H410" t="s">
        <v>5803</v>
      </c>
      <c r="I410">
        <v>47.830350000000003</v>
      </c>
      <c r="J410">
        <v>-122.277889</v>
      </c>
      <c r="K410" t="s">
        <v>3936</v>
      </c>
      <c r="L410" t="s">
        <v>3946</v>
      </c>
      <c r="M410" t="s">
        <v>4888</v>
      </c>
      <c r="P410" t="s">
        <v>6029</v>
      </c>
    </row>
    <row r="411" spans="1:16" x14ac:dyDescent="0.2">
      <c r="A411" t="s">
        <v>3953</v>
      </c>
      <c r="B411" t="s">
        <v>2790</v>
      </c>
      <c r="C411" t="s">
        <v>2785</v>
      </c>
      <c r="D411" t="s">
        <v>2307</v>
      </c>
      <c r="E411">
        <v>98027</v>
      </c>
      <c r="F411" t="s">
        <v>1600</v>
      </c>
      <c r="G411" t="s">
        <v>2112</v>
      </c>
      <c r="H411" t="s">
        <v>5403</v>
      </c>
      <c r="I411">
        <v>47.545836000000001</v>
      </c>
      <c r="J411">
        <v>-122.060906</v>
      </c>
      <c r="K411" t="s">
        <v>3936</v>
      </c>
      <c r="L411" t="s">
        <v>3946</v>
      </c>
      <c r="M411" t="s">
        <v>4888</v>
      </c>
      <c r="P411" t="s">
        <v>2790</v>
      </c>
    </row>
    <row r="412" spans="1:16" x14ac:dyDescent="0.2">
      <c r="A412" t="s">
        <v>2183</v>
      </c>
      <c r="B412" t="s">
        <v>2794</v>
      </c>
      <c r="C412" t="s">
        <v>2744</v>
      </c>
      <c r="D412" t="s">
        <v>2307</v>
      </c>
      <c r="E412">
        <v>98366</v>
      </c>
      <c r="F412" t="s">
        <v>1716</v>
      </c>
      <c r="G412" t="s">
        <v>2000</v>
      </c>
      <c r="H412" t="s">
        <v>4521</v>
      </c>
      <c r="I412">
        <v>47.534084999999997</v>
      </c>
      <c r="J412">
        <v>-122.61156099999999</v>
      </c>
      <c r="K412" t="s">
        <v>3936</v>
      </c>
      <c r="L412" t="s">
        <v>3946</v>
      </c>
      <c r="M412" t="s">
        <v>4888</v>
      </c>
      <c r="P412" t="s">
        <v>2794</v>
      </c>
    </row>
    <row r="413" spans="1:16" x14ac:dyDescent="0.2">
      <c r="A413" t="s">
        <v>2188</v>
      </c>
      <c r="B413" t="s">
        <v>2797</v>
      </c>
      <c r="C413" t="s">
        <v>2754</v>
      </c>
      <c r="D413" t="s">
        <v>2307</v>
      </c>
      <c r="E413">
        <v>98337</v>
      </c>
      <c r="F413" t="s">
        <v>1583</v>
      </c>
      <c r="G413" t="s">
        <v>1980</v>
      </c>
      <c r="H413" t="s">
        <v>4523</v>
      </c>
      <c r="I413">
        <v>47.565139000000002</v>
      </c>
      <c r="J413">
        <v>-122.631843</v>
      </c>
      <c r="K413" t="s">
        <v>3936</v>
      </c>
      <c r="L413" t="s">
        <v>3946</v>
      </c>
      <c r="M413" t="s">
        <v>4888</v>
      </c>
      <c r="P413" t="s">
        <v>2797</v>
      </c>
    </row>
    <row r="414" spans="1:16" x14ac:dyDescent="0.2">
      <c r="A414" t="s">
        <v>1667</v>
      </c>
      <c r="B414" t="s">
        <v>3712</v>
      </c>
      <c r="C414" t="s">
        <v>2597</v>
      </c>
      <c r="D414" t="s">
        <v>2307</v>
      </c>
      <c r="E414">
        <v>98055</v>
      </c>
      <c r="F414" t="s">
        <v>1658</v>
      </c>
      <c r="G414" t="s">
        <v>1994</v>
      </c>
      <c r="H414" t="s">
        <v>4117</v>
      </c>
      <c r="I414">
        <v>47.444999000000003</v>
      </c>
      <c r="J414">
        <v>-122.198842</v>
      </c>
      <c r="K414" t="s">
        <v>3936</v>
      </c>
      <c r="L414" t="s">
        <v>3946</v>
      </c>
      <c r="M414" t="s">
        <v>4888</v>
      </c>
      <c r="P414" t="s">
        <v>3712</v>
      </c>
    </row>
    <row r="415" spans="1:16" x14ac:dyDescent="0.2">
      <c r="A415" t="s">
        <v>2189</v>
      </c>
      <c r="B415" t="s">
        <v>2799</v>
      </c>
      <c r="C415" t="s">
        <v>2597</v>
      </c>
      <c r="D415" t="s">
        <v>2307</v>
      </c>
      <c r="E415">
        <v>98055</v>
      </c>
      <c r="F415" t="s">
        <v>1583</v>
      </c>
      <c r="G415" t="s">
        <v>1980</v>
      </c>
      <c r="H415" t="s">
        <v>4524</v>
      </c>
      <c r="I415">
        <v>47.445279999999997</v>
      </c>
      <c r="J415">
        <v>-122.198787</v>
      </c>
      <c r="K415" t="s">
        <v>3936</v>
      </c>
      <c r="L415" t="s">
        <v>3946</v>
      </c>
      <c r="M415" t="s">
        <v>4888</v>
      </c>
      <c r="P415" t="s">
        <v>2799</v>
      </c>
    </row>
    <row r="416" spans="1:16" x14ac:dyDescent="0.2">
      <c r="A416" t="s">
        <v>1750</v>
      </c>
      <c r="B416" t="s">
        <v>3713</v>
      </c>
      <c r="C416" t="s">
        <v>2785</v>
      </c>
      <c r="D416" t="s">
        <v>2307</v>
      </c>
      <c r="E416">
        <v>98027</v>
      </c>
      <c r="F416" t="s">
        <v>1587</v>
      </c>
      <c r="G416" t="s">
        <v>2003</v>
      </c>
      <c r="H416" t="s">
        <v>4118</v>
      </c>
      <c r="I416">
        <v>47.544226999999999</v>
      </c>
      <c r="J416">
        <v>-122.058989</v>
      </c>
      <c r="K416" t="s">
        <v>3936</v>
      </c>
      <c r="L416" t="s">
        <v>3946</v>
      </c>
      <c r="M416" t="s">
        <v>4888</v>
      </c>
      <c r="P416" t="s">
        <v>3713</v>
      </c>
    </row>
    <row r="417" spans="1:16" x14ac:dyDescent="0.2">
      <c r="A417" t="s">
        <v>2190</v>
      </c>
      <c r="B417" t="s">
        <v>2800</v>
      </c>
      <c r="C417" t="s">
        <v>2785</v>
      </c>
      <c r="D417" t="s">
        <v>2307</v>
      </c>
      <c r="E417">
        <v>98027</v>
      </c>
      <c r="F417" t="s">
        <v>1716</v>
      </c>
      <c r="G417" t="s">
        <v>1995</v>
      </c>
      <c r="H417" t="s">
        <v>5404</v>
      </c>
      <c r="I417">
        <v>47.542847000000002</v>
      </c>
      <c r="J417">
        <v>-122.058336</v>
      </c>
      <c r="K417" t="s">
        <v>3936</v>
      </c>
      <c r="L417" t="s">
        <v>3946</v>
      </c>
      <c r="M417" t="s">
        <v>4888</v>
      </c>
      <c r="P417" t="s">
        <v>2800</v>
      </c>
    </row>
    <row r="418" spans="1:16" x14ac:dyDescent="0.2">
      <c r="A418" t="s">
        <v>1704</v>
      </c>
      <c r="B418" t="s">
        <v>3716</v>
      </c>
      <c r="C418" t="s">
        <v>2597</v>
      </c>
      <c r="D418" t="s">
        <v>2307</v>
      </c>
      <c r="E418">
        <v>98055</v>
      </c>
      <c r="F418" t="s">
        <v>1600</v>
      </c>
      <c r="G418" t="s">
        <v>2004</v>
      </c>
      <c r="H418" t="s">
        <v>5028</v>
      </c>
      <c r="I418">
        <v>47.442836</v>
      </c>
      <c r="J418">
        <v>-122.19674999999999</v>
      </c>
      <c r="K418" t="s">
        <v>3936</v>
      </c>
      <c r="L418" t="s">
        <v>3946</v>
      </c>
      <c r="M418" t="s">
        <v>4888</v>
      </c>
      <c r="P418" t="s">
        <v>3716</v>
      </c>
    </row>
    <row r="419" spans="1:16" x14ac:dyDescent="0.2">
      <c r="A419" t="s">
        <v>1752</v>
      </c>
      <c r="B419" t="s">
        <v>6229</v>
      </c>
      <c r="C419" t="s">
        <v>2717</v>
      </c>
      <c r="D419" t="s">
        <v>2307</v>
      </c>
      <c r="E419">
        <v>98037</v>
      </c>
      <c r="F419" t="s">
        <v>1587</v>
      </c>
      <c r="G419" t="s">
        <v>1982</v>
      </c>
      <c r="H419" t="s">
        <v>4120</v>
      </c>
      <c r="I419">
        <v>47.839922000000001</v>
      </c>
      <c r="J419">
        <v>-122.298676</v>
      </c>
      <c r="K419" t="s">
        <v>3936</v>
      </c>
      <c r="L419" t="s">
        <v>3946</v>
      </c>
      <c r="M419" t="s">
        <v>4888</v>
      </c>
      <c r="P419" t="s">
        <v>6030</v>
      </c>
    </row>
    <row r="420" spans="1:16" x14ac:dyDescent="0.2">
      <c r="A420" t="s">
        <v>1756</v>
      </c>
      <c r="B420" t="s">
        <v>3722</v>
      </c>
      <c r="C420" t="s">
        <v>2785</v>
      </c>
      <c r="D420" t="s">
        <v>2307</v>
      </c>
      <c r="E420">
        <v>98027</v>
      </c>
      <c r="F420" t="s">
        <v>1575</v>
      </c>
      <c r="G420" t="s">
        <v>1979</v>
      </c>
      <c r="H420" t="s">
        <v>4121</v>
      </c>
      <c r="I420">
        <v>47.540877000000002</v>
      </c>
      <c r="J420">
        <v>-122.041754</v>
      </c>
      <c r="K420" t="s">
        <v>3936</v>
      </c>
      <c r="L420" t="s">
        <v>3946</v>
      </c>
      <c r="M420" t="s">
        <v>4888</v>
      </c>
      <c r="P420" t="s">
        <v>3722</v>
      </c>
    </row>
    <row r="421" spans="1:16" x14ac:dyDescent="0.2">
      <c r="A421" t="s">
        <v>2111</v>
      </c>
      <c r="B421" t="s">
        <v>6230</v>
      </c>
      <c r="C421" t="s">
        <v>2785</v>
      </c>
      <c r="D421" t="s">
        <v>2307</v>
      </c>
      <c r="E421">
        <v>98027</v>
      </c>
      <c r="F421" t="s">
        <v>1600</v>
      </c>
      <c r="G421" t="s">
        <v>2149</v>
      </c>
      <c r="H421" t="s">
        <v>5405</v>
      </c>
      <c r="I421">
        <v>47.545388000000003</v>
      </c>
      <c r="J421">
        <v>-122.038307</v>
      </c>
      <c r="K421" t="s">
        <v>3936</v>
      </c>
      <c r="L421" t="s">
        <v>3946</v>
      </c>
      <c r="M421" t="s">
        <v>4888</v>
      </c>
      <c r="P421" t="s">
        <v>6031</v>
      </c>
    </row>
    <row r="422" spans="1:16" x14ac:dyDescent="0.2">
      <c r="A422" t="s">
        <v>2193</v>
      </c>
      <c r="B422" t="s">
        <v>2827</v>
      </c>
      <c r="C422" t="s">
        <v>2785</v>
      </c>
      <c r="D422" t="s">
        <v>2307</v>
      </c>
      <c r="E422">
        <v>98027</v>
      </c>
      <c r="F422" t="s">
        <v>1583</v>
      </c>
      <c r="G422" t="s">
        <v>1980</v>
      </c>
      <c r="H422" t="s">
        <v>5098</v>
      </c>
      <c r="I422">
        <v>47.540477000000003</v>
      </c>
      <c r="J422">
        <v>-122.040936</v>
      </c>
      <c r="K422" t="s">
        <v>3936</v>
      </c>
      <c r="L422" t="s">
        <v>3946</v>
      </c>
      <c r="M422" t="s">
        <v>4888</v>
      </c>
      <c r="P422" t="s">
        <v>2827</v>
      </c>
    </row>
    <row r="423" spans="1:16" x14ac:dyDescent="0.2">
      <c r="A423" t="s">
        <v>6231</v>
      </c>
      <c r="B423" t="s">
        <v>3723</v>
      </c>
      <c r="C423" t="s">
        <v>2754</v>
      </c>
      <c r="D423" t="s">
        <v>2307</v>
      </c>
      <c r="E423">
        <v>98312</v>
      </c>
      <c r="F423" t="s">
        <v>1583</v>
      </c>
      <c r="G423" t="s">
        <v>1980</v>
      </c>
      <c r="H423" t="s">
        <v>5406</v>
      </c>
      <c r="I423">
        <v>47.566315000000003</v>
      </c>
      <c r="J423">
        <v>-122.65352</v>
      </c>
      <c r="K423" t="s">
        <v>3936</v>
      </c>
      <c r="L423" t="s">
        <v>3946</v>
      </c>
      <c r="M423" t="s">
        <v>4888</v>
      </c>
      <c r="P423" t="s">
        <v>3723</v>
      </c>
    </row>
    <row r="424" spans="1:16" x14ac:dyDescent="0.2">
      <c r="A424" t="s">
        <v>1758</v>
      </c>
      <c r="B424" t="s">
        <v>3725</v>
      </c>
      <c r="C424" t="s">
        <v>2586</v>
      </c>
      <c r="D424" t="s">
        <v>2307</v>
      </c>
      <c r="E424">
        <v>98053</v>
      </c>
      <c r="F424" t="s">
        <v>1583</v>
      </c>
      <c r="G424" t="s">
        <v>1980</v>
      </c>
      <c r="H424" t="s">
        <v>5351</v>
      </c>
      <c r="I424">
        <v>47.699832999999998</v>
      </c>
      <c r="J424">
        <v>-122.02616</v>
      </c>
      <c r="K424" t="s">
        <v>3936</v>
      </c>
      <c r="L424" t="s">
        <v>3946</v>
      </c>
      <c r="M424" t="s">
        <v>4888</v>
      </c>
      <c r="P424" t="s">
        <v>3725</v>
      </c>
    </row>
    <row r="425" spans="1:16" x14ac:dyDescent="0.2">
      <c r="A425" t="s">
        <v>1759</v>
      </c>
      <c r="B425" t="s">
        <v>3727</v>
      </c>
      <c r="C425" t="s">
        <v>2830</v>
      </c>
      <c r="D425" t="s">
        <v>2307</v>
      </c>
      <c r="E425">
        <v>98198</v>
      </c>
      <c r="F425" t="s">
        <v>1587</v>
      </c>
      <c r="G425" t="s">
        <v>1973</v>
      </c>
      <c r="H425" t="s">
        <v>5407</v>
      </c>
      <c r="I425">
        <v>47.406759000000001</v>
      </c>
      <c r="J425">
        <v>-122.32475599999999</v>
      </c>
      <c r="K425" t="s">
        <v>3936</v>
      </c>
      <c r="L425" t="s">
        <v>3946</v>
      </c>
      <c r="M425" t="s">
        <v>4888</v>
      </c>
      <c r="P425" t="s">
        <v>3727</v>
      </c>
    </row>
    <row r="426" spans="1:16" x14ac:dyDescent="0.2">
      <c r="A426" t="s">
        <v>5099</v>
      </c>
      <c r="B426" t="s">
        <v>5100</v>
      </c>
      <c r="C426" t="s">
        <v>2744</v>
      </c>
      <c r="D426" t="s">
        <v>2307</v>
      </c>
      <c r="E426">
        <v>98366</v>
      </c>
      <c r="F426" t="s">
        <v>1583</v>
      </c>
      <c r="G426" t="s">
        <v>1980</v>
      </c>
      <c r="H426" t="s">
        <v>5101</v>
      </c>
      <c r="I426">
        <v>47.539563999999999</v>
      </c>
      <c r="J426">
        <v>-122.642617</v>
      </c>
      <c r="K426" t="s">
        <v>3936</v>
      </c>
      <c r="L426" t="s">
        <v>3946</v>
      </c>
      <c r="M426" t="s">
        <v>4888</v>
      </c>
      <c r="P426" t="s">
        <v>5100</v>
      </c>
    </row>
    <row r="427" spans="1:16" x14ac:dyDescent="0.2">
      <c r="A427" t="s">
        <v>2196</v>
      </c>
      <c r="B427" t="s">
        <v>6232</v>
      </c>
      <c r="C427" t="s">
        <v>2744</v>
      </c>
      <c r="D427" t="s">
        <v>2307</v>
      </c>
      <c r="E427">
        <v>98366</v>
      </c>
      <c r="F427" t="s">
        <v>2197</v>
      </c>
      <c r="G427" t="s">
        <v>1969</v>
      </c>
      <c r="H427" t="s">
        <v>4546</v>
      </c>
      <c r="I427">
        <v>47.519562000000001</v>
      </c>
      <c r="J427">
        <v>-122.633956</v>
      </c>
      <c r="K427" t="s">
        <v>3936</v>
      </c>
      <c r="L427" t="s">
        <v>3946</v>
      </c>
      <c r="M427" t="s">
        <v>4888</v>
      </c>
      <c r="P427" t="s">
        <v>6032</v>
      </c>
    </row>
    <row r="428" spans="1:16" x14ac:dyDescent="0.2">
      <c r="A428" t="s">
        <v>1760</v>
      </c>
      <c r="B428" t="s">
        <v>3729</v>
      </c>
      <c r="C428" t="s">
        <v>2830</v>
      </c>
      <c r="D428" t="s">
        <v>2307</v>
      </c>
      <c r="E428">
        <v>98198</v>
      </c>
      <c r="F428" t="s">
        <v>1587</v>
      </c>
      <c r="G428" t="s">
        <v>1985</v>
      </c>
      <c r="H428" t="s">
        <v>5102</v>
      </c>
      <c r="I428">
        <v>47.402636999999999</v>
      </c>
      <c r="J428">
        <v>-122.324805</v>
      </c>
      <c r="K428" t="s">
        <v>3936</v>
      </c>
      <c r="L428" t="s">
        <v>3946</v>
      </c>
      <c r="M428" t="s">
        <v>4888</v>
      </c>
      <c r="P428" t="s">
        <v>3729</v>
      </c>
    </row>
    <row r="429" spans="1:16" x14ac:dyDescent="0.2">
      <c r="A429" t="s">
        <v>1762</v>
      </c>
      <c r="B429" t="s">
        <v>3731</v>
      </c>
      <c r="C429" t="s">
        <v>2830</v>
      </c>
      <c r="D429" t="s">
        <v>2307</v>
      </c>
      <c r="E429">
        <v>98198</v>
      </c>
      <c r="F429" t="s">
        <v>1577</v>
      </c>
      <c r="G429" t="s">
        <v>1973</v>
      </c>
      <c r="H429" t="s">
        <v>5103</v>
      </c>
      <c r="I429">
        <v>47.401707999999999</v>
      </c>
      <c r="J429">
        <v>-122.324749</v>
      </c>
      <c r="K429" t="s">
        <v>3936</v>
      </c>
      <c r="L429" t="s">
        <v>3946</v>
      </c>
      <c r="M429" t="s">
        <v>4888</v>
      </c>
      <c r="P429" t="s">
        <v>3731</v>
      </c>
    </row>
    <row r="430" spans="1:16" x14ac:dyDescent="0.2">
      <c r="A430" t="s">
        <v>2198</v>
      </c>
      <c r="B430" t="s">
        <v>2845</v>
      </c>
      <c r="C430" t="s">
        <v>2830</v>
      </c>
      <c r="D430" t="s">
        <v>2307</v>
      </c>
      <c r="E430">
        <v>98198</v>
      </c>
      <c r="F430" t="s">
        <v>1716</v>
      </c>
      <c r="G430" t="s">
        <v>2000</v>
      </c>
      <c r="H430" t="s">
        <v>4551</v>
      </c>
      <c r="I430">
        <v>47.401716999999998</v>
      </c>
      <c r="J430">
        <v>-122.324352</v>
      </c>
      <c r="K430" t="s">
        <v>3936</v>
      </c>
      <c r="L430" t="s">
        <v>3946</v>
      </c>
      <c r="M430" t="s">
        <v>4888</v>
      </c>
      <c r="P430" t="s">
        <v>2845</v>
      </c>
    </row>
    <row r="431" spans="1:16" x14ac:dyDescent="0.2">
      <c r="A431" t="s">
        <v>2199</v>
      </c>
      <c r="B431" t="s">
        <v>6233</v>
      </c>
      <c r="C431" t="s">
        <v>2717</v>
      </c>
      <c r="D431" t="s">
        <v>2307</v>
      </c>
      <c r="E431">
        <v>98087</v>
      </c>
      <c r="F431" t="s">
        <v>1583</v>
      </c>
      <c r="G431" t="s">
        <v>1980</v>
      </c>
      <c r="H431" t="s">
        <v>5408</v>
      </c>
      <c r="I431">
        <v>47.849558999999999</v>
      </c>
      <c r="J431">
        <v>-122.248942</v>
      </c>
      <c r="K431" t="s">
        <v>3936</v>
      </c>
      <c r="L431" t="s">
        <v>3946</v>
      </c>
      <c r="M431" t="s">
        <v>4888</v>
      </c>
      <c r="P431" t="s">
        <v>6033</v>
      </c>
    </row>
    <row r="432" spans="1:16" x14ac:dyDescent="0.2">
      <c r="A432" t="s">
        <v>1765</v>
      </c>
      <c r="B432" t="s">
        <v>6234</v>
      </c>
      <c r="C432" t="s">
        <v>2717</v>
      </c>
      <c r="D432" t="s">
        <v>2307</v>
      </c>
      <c r="E432">
        <v>98087</v>
      </c>
      <c r="F432" t="s">
        <v>1587</v>
      </c>
      <c r="G432" t="s">
        <v>1973</v>
      </c>
      <c r="H432" t="s">
        <v>4124</v>
      </c>
      <c r="I432">
        <v>47.849856000000003</v>
      </c>
      <c r="J432">
        <v>-122.25031799999999</v>
      </c>
      <c r="K432" t="s">
        <v>3936</v>
      </c>
      <c r="L432" t="s">
        <v>3946</v>
      </c>
      <c r="M432" t="s">
        <v>4888</v>
      </c>
      <c r="P432" t="s">
        <v>6034</v>
      </c>
    </row>
    <row r="433" spans="1:16" x14ac:dyDescent="0.2">
      <c r="A433" t="s">
        <v>2200</v>
      </c>
      <c r="B433" t="s">
        <v>2849</v>
      </c>
      <c r="C433" t="s">
        <v>2717</v>
      </c>
      <c r="D433" t="s">
        <v>2307</v>
      </c>
      <c r="E433">
        <v>98037</v>
      </c>
      <c r="F433" t="s">
        <v>2044</v>
      </c>
      <c r="G433" t="s">
        <v>2005</v>
      </c>
      <c r="H433" t="s">
        <v>4554</v>
      </c>
      <c r="I433">
        <v>47.849621999999997</v>
      </c>
      <c r="J433">
        <v>-122.24028800000001</v>
      </c>
      <c r="K433" t="s">
        <v>3936</v>
      </c>
      <c r="L433" t="s">
        <v>3946</v>
      </c>
      <c r="M433" t="s">
        <v>4888</v>
      </c>
      <c r="P433" t="s">
        <v>2849</v>
      </c>
    </row>
    <row r="434" spans="1:16" x14ac:dyDescent="0.2">
      <c r="A434" t="s">
        <v>2201</v>
      </c>
      <c r="B434" t="s">
        <v>2857</v>
      </c>
      <c r="C434" t="s">
        <v>2780</v>
      </c>
      <c r="D434" t="s">
        <v>2307</v>
      </c>
      <c r="E434">
        <v>98032</v>
      </c>
      <c r="F434" t="s">
        <v>2146</v>
      </c>
      <c r="G434" t="s">
        <v>2005</v>
      </c>
      <c r="H434" t="s">
        <v>4557</v>
      </c>
      <c r="I434">
        <v>47.410806999999998</v>
      </c>
      <c r="J434">
        <v>-122.227778</v>
      </c>
      <c r="K434" t="s">
        <v>3936</v>
      </c>
      <c r="L434" t="s">
        <v>3946</v>
      </c>
      <c r="M434" t="s">
        <v>4888</v>
      </c>
      <c r="P434" t="s">
        <v>5692</v>
      </c>
    </row>
    <row r="435" spans="1:16" x14ac:dyDescent="0.2">
      <c r="A435" t="s">
        <v>2203</v>
      </c>
      <c r="B435" t="s">
        <v>6235</v>
      </c>
      <c r="C435" t="s">
        <v>2861</v>
      </c>
      <c r="D435" t="s">
        <v>2307</v>
      </c>
      <c r="E435">
        <v>98012</v>
      </c>
      <c r="F435" t="s">
        <v>1716</v>
      </c>
      <c r="G435" t="s">
        <v>2005</v>
      </c>
      <c r="H435" t="s">
        <v>4561</v>
      </c>
      <c r="I435">
        <v>47.849297</v>
      </c>
      <c r="J435">
        <v>-122.222024</v>
      </c>
      <c r="K435" t="s">
        <v>3936</v>
      </c>
      <c r="L435" t="s">
        <v>3946</v>
      </c>
      <c r="M435" t="s">
        <v>4888</v>
      </c>
      <c r="P435" t="s">
        <v>6035</v>
      </c>
    </row>
    <row r="436" spans="1:16" x14ac:dyDescent="0.2">
      <c r="A436" t="s">
        <v>1768</v>
      </c>
      <c r="B436" t="s">
        <v>3736</v>
      </c>
      <c r="C436" t="s">
        <v>2848</v>
      </c>
      <c r="D436" t="s">
        <v>2307</v>
      </c>
      <c r="E436">
        <v>98383</v>
      </c>
      <c r="F436" t="s">
        <v>1575</v>
      </c>
      <c r="G436" t="s">
        <v>1987</v>
      </c>
      <c r="H436" t="s">
        <v>4127</v>
      </c>
      <c r="I436">
        <v>47.660438999999997</v>
      </c>
      <c r="J436">
        <v>-122.685255</v>
      </c>
      <c r="K436" t="s">
        <v>3936</v>
      </c>
      <c r="L436" t="s">
        <v>3946</v>
      </c>
      <c r="M436" t="s">
        <v>4888</v>
      </c>
      <c r="P436" t="s">
        <v>3736</v>
      </c>
    </row>
    <row r="437" spans="1:16" x14ac:dyDescent="0.2">
      <c r="A437" t="s">
        <v>1704</v>
      </c>
      <c r="B437" t="s">
        <v>3737</v>
      </c>
      <c r="C437" t="s">
        <v>2848</v>
      </c>
      <c r="D437" t="s">
        <v>2307</v>
      </c>
      <c r="E437">
        <v>98383</v>
      </c>
      <c r="F437" t="s">
        <v>1600</v>
      </c>
      <c r="G437" t="s">
        <v>1998</v>
      </c>
      <c r="H437" t="s">
        <v>4890</v>
      </c>
      <c r="I437">
        <v>47.660632</v>
      </c>
      <c r="J437">
        <v>-122.685571</v>
      </c>
      <c r="K437" t="s">
        <v>3936</v>
      </c>
      <c r="L437" t="s">
        <v>3946</v>
      </c>
      <c r="M437" t="s">
        <v>4888</v>
      </c>
      <c r="P437" t="s">
        <v>3737</v>
      </c>
    </row>
    <row r="438" spans="1:16" x14ac:dyDescent="0.2">
      <c r="A438" t="s">
        <v>1667</v>
      </c>
      <c r="B438" t="s">
        <v>3738</v>
      </c>
      <c r="C438" t="s">
        <v>2861</v>
      </c>
      <c r="D438" t="s">
        <v>2307</v>
      </c>
      <c r="E438">
        <v>98012</v>
      </c>
      <c r="F438" t="s">
        <v>1658</v>
      </c>
      <c r="G438" t="s">
        <v>1994</v>
      </c>
      <c r="H438" t="s">
        <v>4129</v>
      </c>
      <c r="I438">
        <v>47.850062999999999</v>
      </c>
      <c r="J438">
        <v>-122.21792499999999</v>
      </c>
      <c r="K438" t="s">
        <v>3936</v>
      </c>
      <c r="L438" t="s">
        <v>3946</v>
      </c>
      <c r="M438" t="s">
        <v>4888</v>
      </c>
      <c r="P438" t="s">
        <v>5693</v>
      </c>
    </row>
    <row r="439" spans="1:16" x14ac:dyDescent="0.2">
      <c r="A439" t="s">
        <v>1595</v>
      </c>
      <c r="B439" t="s">
        <v>3741</v>
      </c>
      <c r="C439" t="s">
        <v>2717</v>
      </c>
      <c r="D439" t="s">
        <v>2307</v>
      </c>
      <c r="E439">
        <v>98036</v>
      </c>
      <c r="F439" t="s">
        <v>1573</v>
      </c>
      <c r="G439" t="s">
        <v>1990</v>
      </c>
      <c r="H439" t="s">
        <v>5313</v>
      </c>
      <c r="I439">
        <v>47.863137999999999</v>
      </c>
      <c r="J439">
        <v>-122.28317699999999</v>
      </c>
      <c r="K439" t="s">
        <v>3936</v>
      </c>
      <c r="L439" t="s">
        <v>3946</v>
      </c>
      <c r="M439" t="s">
        <v>4888</v>
      </c>
      <c r="P439" t="s">
        <v>3741</v>
      </c>
    </row>
    <row r="440" spans="1:16" x14ac:dyDescent="0.2">
      <c r="A440" t="s">
        <v>1626</v>
      </c>
      <c r="B440" t="s">
        <v>3742</v>
      </c>
      <c r="C440" t="s">
        <v>2780</v>
      </c>
      <c r="D440" t="s">
        <v>2307</v>
      </c>
      <c r="E440">
        <v>98031</v>
      </c>
      <c r="F440" t="s">
        <v>1587</v>
      </c>
      <c r="G440" t="s">
        <v>1973</v>
      </c>
      <c r="H440" t="s">
        <v>5104</v>
      </c>
      <c r="I440">
        <v>47.413750999999998</v>
      </c>
      <c r="J440">
        <v>-122.196844</v>
      </c>
      <c r="K440" t="s">
        <v>3936</v>
      </c>
      <c r="L440" t="s">
        <v>3946</v>
      </c>
      <c r="M440" t="s">
        <v>4888</v>
      </c>
      <c r="P440" t="s">
        <v>3742</v>
      </c>
    </row>
    <row r="441" spans="1:16" x14ac:dyDescent="0.2">
      <c r="A441" t="s">
        <v>1667</v>
      </c>
      <c r="B441" t="s">
        <v>3743</v>
      </c>
      <c r="C441" t="s">
        <v>2848</v>
      </c>
      <c r="D441" t="s">
        <v>2307</v>
      </c>
      <c r="E441">
        <v>98383</v>
      </c>
      <c r="F441" t="s">
        <v>1658</v>
      </c>
      <c r="G441" t="s">
        <v>1994</v>
      </c>
      <c r="H441" t="s">
        <v>4131</v>
      </c>
      <c r="I441">
        <v>47.650709999999997</v>
      </c>
      <c r="J441">
        <v>-122.690924</v>
      </c>
      <c r="K441" t="s">
        <v>3936</v>
      </c>
      <c r="L441" t="s">
        <v>3946</v>
      </c>
      <c r="M441" t="s">
        <v>4888</v>
      </c>
      <c r="P441" t="s">
        <v>3743</v>
      </c>
    </row>
    <row r="442" spans="1:16" x14ac:dyDescent="0.2">
      <c r="A442" t="s">
        <v>1770</v>
      </c>
      <c r="B442" t="s">
        <v>3745</v>
      </c>
      <c r="C442" t="s">
        <v>2848</v>
      </c>
      <c r="D442" t="s">
        <v>2307</v>
      </c>
      <c r="E442">
        <v>98383</v>
      </c>
      <c r="F442" t="s">
        <v>1591</v>
      </c>
      <c r="G442" t="s">
        <v>1969</v>
      </c>
      <c r="H442" t="s">
        <v>5409</v>
      </c>
      <c r="I442">
        <v>47.646816999999999</v>
      </c>
      <c r="J442">
        <v>-122.69394699999999</v>
      </c>
      <c r="K442" t="s">
        <v>3936</v>
      </c>
      <c r="L442" t="s">
        <v>3946</v>
      </c>
      <c r="M442" t="s">
        <v>4888</v>
      </c>
      <c r="P442" t="s">
        <v>3745</v>
      </c>
    </row>
    <row r="443" spans="1:16" x14ac:dyDescent="0.2">
      <c r="A443" t="s">
        <v>2124</v>
      </c>
      <c r="B443" t="s">
        <v>2875</v>
      </c>
      <c r="C443" t="s">
        <v>2780</v>
      </c>
      <c r="D443" t="s">
        <v>2307</v>
      </c>
      <c r="E443">
        <v>98032</v>
      </c>
      <c r="F443" t="s">
        <v>1591</v>
      </c>
      <c r="G443" t="s">
        <v>1969</v>
      </c>
      <c r="H443" t="s">
        <v>5410</v>
      </c>
      <c r="I443">
        <v>47.392364000000001</v>
      </c>
      <c r="J443">
        <v>-122.295084</v>
      </c>
      <c r="K443" t="s">
        <v>3936</v>
      </c>
      <c r="L443" t="s">
        <v>3946</v>
      </c>
      <c r="M443" t="s">
        <v>4888</v>
      </c>
      <c r="P443" t="s">
        <v>2875</v>
      </c>
    </row>
    <row r="444" spans="1:16" x14ac:dyDescent="0.2">
      <c r="A444" t="s">
        <v>1667</v>
      </c>
      <c r="B444" t="s">
        <v>3747</v>
      </c>
      <c r="C444" t="s">
        <v>2744</v>
      </c>
      <c r="D444" t="s">
        <v>2307</v>
      </c>
      <c r="E444">
        <v>98367</v>
      </c>
      <c r="F444" t="s">
        <v>1658</v>
      </c>
      <c r="G444" t="s">
        <v>1994</v>
      </c>
      <c r="H444" t="s">
        <v>4134</v>
      </c>
      <c r="I444">
        <v>47.502758999999998</v>
      </c>
      <c r="J444">
        <v>-122.643475</v>
      </c>
      <c r="K444" t="s">
        <v>3936</v>
      </c>
      <c r="L444" t="s">
        <v>3946</v>
      </c>
      <c r="M444" t="s">
        <v>4888</v>
      </c>
      <c r="P444" t="s">
        <v>3747</v>
      </c>
    </row>
    <row r="445" spans="1:16" x14ac:dyDescent="0.2">
      <c r="A445" t="s">
        <v>1667</v>
      </c>
      <c r="B445" t="s">
        <v>3750</v>
      </c>
      <c r="C445" t="s">
        <v>2780</v>
      </c>
      <c r="D445" t="s">
        <v>2307</v>
      </c>
      <c r="E445">
        <v>98032</v>
      </c>
      <c r="F445" t="s">
        <v>1658</v>
      </c>
      <c r="G445" t="s">
        <v>1994</v>
      </c>
      <c r="H445" t="s">
        <v>4135</v>
      </c>
      <c r="I445">
        <v>47.381252000000003</v>
      </c>
      <c r="J445">
        <v>-122.26086100000001</v>
      </c>
      <c r="K445" t="s">
        <v>3936</v>
      </c>
      <c r="L445" t="s">
        <v>3946</v>
      </c>
      <c r="M445" t="s">
        <v>4888</v>
      </c>
      <c r="P445" t="s">
        <v>3750</v>
      </c>
    </row>
    <row r="446" spans="1:16" x14ac:dyDescent="0.2">
      <c r="A446" t="s">
        <v>2206</v>
      </c>
      <c r="B446" t="s">
        <v>2887</v>
      </c>
      <c r="C446" t="s">
        <v>2780</v>
      </c>
      <c r="D446" t="s">
        <v>2307</v>
      </c>
      <c r="E446">
        <v>98032</v>
      </c>
      <c r="F446" t="s">
        <v>1602</v>
      </c>
      <c r="G446" t="s">
        <v>1981</v>
      </c>
      <c r="H446" t="s">
        <v>4579</v>
      </c>
      <c r="I446">
        <v>47.380839000000002</v>
      </c>
      <c r="J446">
        <v>-122.26030900000001</v>
      </c>
      <c r="K446" t="s">
        <v>3936</v>
      </c>
      <c r="L446" t="s">
        <v>3946</v>
      </c>
      <c r="M446" t="s">
        <v>4888</v>
      </c>
      <c r="P446" t="s">
        <v>2887</v>
      </c>
    </row>
    <row r="447" spans="1:16" x14ac:dyDescent="0.2">
      <c r="A447" t="s">
        <v>2208</v>
      </c>
      <c r="B447" t="s">
        <v>2890</v>
      </c>
      <c r="C447" t="s">
        <v>2780</v>
      </c>
      <c r="D447" t="s">
        <v>2307</v>
      </c>
      <c r="E447">
        <v>98032</v>
      </c>
      <c r="F447" t="s">
        <v>1600</v>
      </c>
      <c r="G447" t="s">
        <v>1995</v>
      </c>
      <c r="H447" t="s">
        <v>4582</v>
      </c>
      <c r="I447">
        <v>47.381501999999998</v>
      </c>
      <c r="J447">
        <v>-122.247237</v>
      </c>
      <c r="K447" t="s">
        <v>3936</v>
      </c>
      <c r="L447" t="s">
        <v>3946</v>
      </c>
      <c r="M447" t="s">
        <v>4888</v>
      </c>
      <c r="P447" t="s">
        <v>2890</v>
      </c>
    </row>
    <row r="448" spans="1:16" x14ac:dyDescent="0.2">
      <c r="A448" t="s">
        <v>3953</v>
      </c>
      <c r="B448" t="s">
        <v>2890</v>
      </c>
      <c r="C448" t="s">
        <v>2780</v>
      </c>
      <c r="D448" t="s">
        <v>2307</v>
      </c>
      <c r="E448">
        <v>98032</v>
      </c>
      <c r="F448" t="s">
        <v>1600</v>
      </c>
      <c r="G448" t="s">
        <v>2207</v>
      </c>
      <c r="H448" t="s">
        <v>5105</v>
      </c>
      <c r="I448">
        <v>47.381501999999998</v>
      </c>
      <c r="J448">
        <v>-122.247237</v>
      </c>
      <c r="K448" t="s">
        <v>3936</v>
      </c>
      <c r="L448" t="s">
        <v>3946</v>
      </c>
      <c r="M448" t="s">
        <v>4888</v>
      </c>
      <c r="P448" t="s">
        <v>2890</v>
      </c>
    </row>
    <row r="449" spans="1:16" x14ac:dyDescent="0.2">
      <c r="A449" t="s">
        <v>2209</v>
      </c>
      <c r="B449" t="s">
        <v>2891</v>
      </c>
      <c r="C449" t="s">
        <v>2780</v>
      </c>
      <c r="D449" t="s">
        <v>2307</v>
      </c>
      <c r="E449">
        <v>98032</v>
      </c>
      <c r="F449" t="s">
        <v>1716</v>
      </c>
      <c r="G449" t="s">
        <v>1981</v>
      </c>
      <c r="H449" t="s">
        <v>4583</v>
      </c>
      <c r="I449">
        <v>47.384341999999997</v>
      </c>
      <c r="J449">
        <v>-122.231289</v>
      </c>
      <c r="K449" t="s">
        <v>3936</v>
      </c>
      <c r="L449" t="s">
        <v>3946</v>
      </c>
      <c r="M449" t="s">
        <v>4888</v>
      </c>
      <c r="P449" t="s">
        <v>2891</v>
      </c>
    </row>
    <row r="450" spans="1:16" x14ac:dyDescent="0.2">
      <c r="A450" t="s">
        <v>2101</v>
      </c>
      <c r="B450" t="s">
        <v>2892</v>
      </c>
      <c r="C450" t="s">
        <v>2780</v>
      </c>
      <c r="D450" t="s">
        <v>2307</v>
      </c>
      <c r="E450">
        <v>98030</v>
      </c>
      <c r="F450" t="s">
        <v>1600</v>
      </c>
      <c r="G450" t="s">
        <v>2102</v>
      </c>
      <c r="H450" t="s">
        <v>5106</v>
      </c>
      <c r="I450">
        <v>47.383367999999997</v>
      </c>
      <c r="J450">
        <v>-122.23015599999999</v>
      </c>
      <c r="K450" t="s">
        <v>3936</v>
      </c>
      <c r="L450" t="s">
        <v>3946</v>
      </c>
      <c r="M450" t="s">
        <v>4888</v>
      </c>
      <c r="P450" t="s">
        <v>2892</v>
      </c>
    </row>
    <row r="451" spans="1:16" x14ac:dyDescent="0.2">
      <c r="A451" t="s">
        <v>2210</v>
      </c>
      <c r="B451" t="s">
        <v>2895</v>
      </c>
      <c r="C451" t="s">
        <v>2780</v>
      </c>
      <c r="D451" t="s">
        <v>2307</v>
      </c>
      <c r="E451">
        <v>98032</v>
      </c>
      <c r="F451" t="s">
        <v>1583</v>
      </c>
      <c r="G451" t="s">
        <v>1980</v>
      </c>
      <c r="H451" t="s">
        <v>5411</v>
      </c>
      <c r="I451">
        <v>47.381335999999997</v>
      </c>
      <c r="J451">
        <v>-122.237196</v>
      </c>
      <c r="K451" t="s">
        <v>3936</v>
      </c>
      <c r="L451" t="s">
        <v>3946</v>
      </c>
      <c r="M451" t="s">
        <v>4888</v>
      </c>
      <c r="P451" t="s">
        <v>5694</v>
      </c>
    </row>
    <row r="452" spans="1:16" x14ac:dyDescent="0.2">
      <c r="A452" t="s">
        <v>1775</v>
      </c>
      <c r="B452" t="s">
        <v>3754</v>
      </c>
      <c r="C452" t="s">
        <v>2780</v>
      </c>
      <c r="D452" t="s">
        <v>2307</v>
      </c>
      <c r="E452">
        <v>98031</v>
      </c>
      <c r="F452" t="s">
        <v>1587</v>
      </c>
      <c r="G452" t="s">
        <v>1989</v>
      </c>
      <c r="H452" t="s">
        <v>4137</v>
      </c>
      <c r="I452">
        <v>47.389028000000003</v>
      </c>
      <c r="J452">
        <v>-122.202394</v>
      </c>
      <c r="K452" t="s">
        <v>3936</v>
      </c>
      <c r="L452" t="s">
        <v>3946</v>
      </c>
      <c r="M452" t="s">
        <v>4888</v>
      </c>
      <c r="P452" t="s">
        <v>3754</v>
      </c>
    </row>
    <row r="453" spans="1:16" x14ac:dyDescent="0.2">
      <c r="A453" t="s">
        <v>1704</v>
      </c>
      <c r="B453" t="s">
        <v>3759</v>
      </c>
      <c r="C453" t="s">
        <v>2900</v>
      </c>
      <c r="D453" t="s">
        <v>2307</v>
      </c>
      <c r="E453">
        <v>98204</v>
      </c>
      <c r="F453" t="s">
        <v>1600</v>
      </c>
      <c r="G453" t="s">
        <v>1998</v>
      </c>
      <c r="H453" t="s">
        <v>5314</v>
      </c>
      <c r="I453">
        <v>47.881529</v>
      </c>
      <c r="J453">
        <v>-122.238608</v>
      </c>
      <c r="K453" t="s">
        <v>3936</v>
      </c>
      <c r="L453" t="s">
        <v>3946</v>
      </c>
      <c r="M453" t="s">
        <v>4888</v>
      </c>
      <c r="P453" t="s">
        <v>5678</v>
      </c>
    </row>
    <row r="454" spans="1:16" x14ac:dyDescent="0.2">
      <c r="A454" t="s">
        <v>2211</v>
      </c>
      <c r="B454" t="s">
        <v>2908</v>
      </c>
      <c r="C454" t="s">
        <v>2861</v>
      </c>
      <c r="D454" t="s">
        <v>2307</v>
      </c>
      <c r="E454">
        <v>98012</v>
      </c>
      <c r="F454" t="s">
        <v>1591</v>
      </c>
      <c r="G454" t="s">
        <v>1969</v>
      </c>
      <c r="H454" t="s">
        <v>4955</v>
      </c>
      <c r="I454">
        <v>47.876497000000001</v>
      </c>
      <c r="J454">
        <v>-122.212519</v>
      </c>
      <c r="K454" t="s">
        <v>3936</v>
      </c>
      <c r="L454" t="s">
        <v>3946</v>
      </c>
      <c r="M454" t="s">
        <v>4888</v>
      </c>
      <c r="P454" t="s">
        <v>5671</v>
      </c>
    </row>
    <row r="455" spans="1:16" x14ac:dyDescent="0.2">
      <c r="A455" t="s">
        <v>2212</v>
      </c>
      <c r="B455" t="s">
        <v>2909</v>
      </c>
      <c r="C455" t="s">
        <v>2897</v>
      </c>
      <c r="D455" t="s">
        <v>2307</v>
      </c>
      <c r="E455">
        <v>98019</v>
      </c>
      <c r="F455" t="s">
        <v>2019</v>
      </c>
      <c r="G455" t="s">
        <v>2005</v>
      </c>
      <c r="H455" t="s">
        <v>5412</v>
      </c>
      <c r="I455">
        <v>47.740357000000003</v>
      </c>
      <c r="J455">
        <v>-121.986372</v>
      </c>
      <c r="K455" t="s">
        <v>3936</v>
      </c>
      <c r="L455" t="s">
        <v>3946</v>
      </c>
      <c r="M455" t="s">
        <v>4888</v>
      </c>
      <c r="P455" t="s">
        <v>2909</v>
      </c>
    </row>
    <row r="456" spans="1:16" x14ac:dyDescent="0.2">
      <c r="A456" t="s">
        <v>1781</v>
      </c>
      <c r="B456" t="s">
        <v>3760</v>
      </c>
      <c r="C456" t="s">
        <v>2900</v>
      </c>
      <c r="D456" t="s">
        <v>2307</v>
      </c>
      <c r="E456">
        <v>98208</v>
      </c>
      <c r="F456" t="s">
        <v>1604</v>
      </c>
      <c r="G456" t="s">
        <v>1982</v>
      </c>
      <c r="H456" t="s">
        <v>4140</v>
      </c>
      <c r="I456">
        <v>47.881805</v>
      </c>
      <c r="J456">
        <v>-122.231171</v>
      </c>
      <c r="K456" t="s">
        <v>3936</v>
      </c>
      <c r="L456" t="s">
        <v>3946</v>
      </c>
      <c r="M456" t="s">
        <v>4888</v>
      </c>
      <c r="P456" t="s">
        <v>5695</v>
      </c>
    </row>
    <row r="457" spans="1:16" x14ac:dyDescent="0.2">
      <c r="A457" t="s">
        <v>1782</v>
      </c>
      <c r="B457" t="s">
        <v>3761</v>
      </c>
      <c r="C457" t="s">
        <v>2897</v>
      </c>
      <c r="D457" t="s">
        <v>2307</v>
      </c>
      <c r="E457">
        <v>98019</v>
      </c>
      <c r="F457" t="s">
        <v>1587</v>
      </c>
      <c r="G457" t="s">
        <v>1968</v>
      </c>
      <c r="H457" t="s">
        <v>5413</v>
      </c>
      <c r="I457">
        <v>47.740958999999997</v>
      </c>
      <c r="J457">
        <v>-121.985963</v>
      </c>
      <c r="K457" t="s">
        <v>3936</v>
      </c>
      <c r="L457" t="s">
        <v>3946</v>
      </c>
      <c r="M457" t="s">
        <v>4888</v>
      </c>
      <c r="P457" t="s">
        <v>3761</v>
      </c>
    </row>
    <row r="458" spans="1:16" x14ac:dyDescent="0.2">
      <c r="A458" t="s">
        <v>1784</v>
      </c>
      <c r="B458" t="s">
        <v>6236</v>
      </c>
      <c r="C458" t="s">
        <v>2888</v>
      </c>
      <c r="D458" t="s">
        <v>2307</v>
      </c>
      <c r="E458">
        <v>98296</v>
      </c>
      <c r="F458" t="s">
        <v>1591</v>
      </c>
      <c r="G458" t="s">
        <v>5414</v>
      </c>
      <c r="H458" t="s">
        <v>5415</v>
      </c>
      <c r="I458">
        <v>47.847396000000003</v>
      </c>
      <c r="J458">
        <v>-122.11823800000001</v>
      </c>
      <c r="K458" t="s">
        <v>3936</v>
      </c>
      <c r="L458" t="s">
        <v>3946</v>
      </c>
      <c r="M458" t="s">
        <v>4888</v>
      </c>
      <c r="P458" t="s">
        <v>6036</v>
      </c>
    </row>
    <row r="459" spans="1:16" x14ac:dyDescent="0.2">
      <c r="A459" t="s">
        <v>1785</v>
      </c>
      <c r="B459" t="s">
        <v>3764</v>
      </c>
      <c r="C459" t="s">
        <v>2914</v>
      </c>
      <c r="D459" t="s">
        <v>2307</v>
      </c>
      <c r="E459">
        <v>98275</v>
      </c>
      <c r="F459" t="s">
        <v>1600</v>
      </c>
      <c r="G459" t="s">
        <v>1973</v>
      </c>
      <c r="H459" t="s">
        <v>5107</v>
      </c>
      <c r="I459">
        <v>47.894024000000002</v>
      </c>
      <c r="J459">
        <v>-122.31107299999999</v>
      </c>
      <c r="K459" t="s">
        <v>3936</v>
      </c>
      <c r="L459" t="s">
        <v>3946</v>
      </c>
      <c r="M459" t="s">
        <v>4888</v>
      </c>
      <c r="P459" t="s">
        <v>5696</v>
      </c>
    </row>
    <row r="460" spans="1:16" x14ac:dyDescent="0.2">
      <c r="A460" t="s">
        <v>2020</v>
      </c>
      <c r="B460" t="s">
        <v>2921</v>
      </c>
      <c r="C460" t="s">
        <v>2900</v>
      </c>
      <c r="D460" t="s">
        <v>2307</v>
      </c>
      <c r="E460">
        <v>98204</v>
      </c>
      <c r="F460" t="s">
        <v>1716</v>
      </c>
      <c r="G460" t="s">
        <v>2005</v>
      </c>
      <c r="H460" t="s">
        <v>4594</v>
      </c>
      <c r="I460">
        <v>47.892069999999997</v>
      </c>
      <c r="J460">
        <v>-122.256196</v>
      </c>
      <c r="K460" t="s">
        <v>3936</v>
      </c>
      <c r="L460" t="s">
        <v>3946</v>
      </c>
      <c r="M460" t="s">
        <v>4888</v>
      </c>
      <c r="P460" t="s">
        <v>2921</v>
      </c>
    </row>
    <row r="461" spans="1:16" x14ac:dyDescent="0.2">
      <c r="A461" t="s">
        <v>1597</v>
      </c>
      <c r="B461" t="s">
        <v>3768</v>
      </c>
      <c r="C461" t="s">
        <v>2780</v>
      </c>
      <c r="D461" t="s">
        <v>2307</v>
      </c>
      <c r="E461">
        <v>98030</v>
      </c>
      <c r="F461" t="s">
        <v>1573</v>
      </c>
      <c r="G461" t="s">
        <v>1990</v>
      </c>
      <c r="H461" t="s">
        <v>4891</v>
      </c>
      <c r="I461">
        <v>47.374084000000003</v>
      </c>
      <c r="J461">
        <v>-122.202569</v>
      </c>
      <c r="K461" t="s">
        <v>3936</v>
      </c>
      <c r="L461" t="s">
        <v>3946</v>
      </c>
      <c r="M461" t="s">
        <v>4888</v>
      </c>
      <c r="P461" t="s">
        <v>3768</v>
      </c>
    </row>
    <row r="462" spans="1:16" x14ac:dyDescent="0.2">
      <c r="A462" t="s">
        <v>1788</v>
      </c>
      <c r="B462" t="s">
        <v>3769</v>
      </c>
      <c r="C462" t="s">
        <v>2780</v>
      </c>
      <c r="D462" t="s">
        <v>2307</v>
      </c>
      <c r="E462">
        <v>98032</v>
      </c>
      <c r="F462" t="s">
        <v>1575</v>
      </c>
      <c r="G462" t="s">
        <v>1968</v>
      </c>
      <c r="H462" t="s">
        <v>4143</v>
      </c>
      <c r="I462">
        <v>47.366894000000002</v>
      </c>
      <c r="J462">
        <v>-122.229755</v>
      </c>
      <c r="K462" t="s">
        <v>3936</v>
      </c>
      <c r="L462" t="s">
        <v>3946</v>
      </c>
      <c r="M462" t="s">
        <v>4888</v>
      </c>
      <c r="P462" t="s">
        <v>5697</v>
      </c>
    </row>
    <row r="463" spans="1:16" x14ac:dyDescent="0.2">
      <c r="A463" t="s">
        <v>2216</v>
      </c>
      <c r="B463" t="s">
        <v>2931</v>
      </c>
      <c r="C463" t="s">
        <v>2780</v>
      </c>
      <c r="D463" t="s">
        <v>2307</v>
      </c>
      <c r="E463">
        <v>98030</v>
      </c>
      <c r="F463" t="s">
        <v>2146</v>
      </c>
      <c r="G463" t="s">
        <v>2005</v>
      </c>
      <c r="H463" t="s">
        <v>4600</v>
      </c>
      <c r="I463">
        <v>47.372691000000003</v>
      </c>
      <c r="J463">
        <v>-122.204048</v>
      </c>
      <c r="K463" t="s">
        <v>3936</v>
      </c>
      <c r="L463" t="s">
        <v>3946</v>
      </c>
      <c r="M463" t="s">
        <v>4888</v>
      </c>
      <c r="P463" t="s">
        <v>2931</v>
      </c>
    </row>
    <row r="464" spans="1:16" x14ac:dyDescent="0.2">
      <c r="A464" t="s">
        <v>1789</v>
      </c>
      <c r="B464" t="s">
        <v>3770</v>
      </c>
      <c r="C464" t="s">
        <v>2944</v>
      </c>
      <c r="D464" t="s">
        <v>2307</v>
      </c>
      <c r="E464">
        <v>98014</v>
      </c>
      <c r="F464" t="s">
        <v>1587</v>
      </c>
      <c r="G464" t="s">
        <v>1987</v>
      </c>
      <c r="H464" t="s">
        <v>5108</v>
      </c>
      <c r="I464">
        <v>47.624471999999997</v>
      </c>
      <c r="J464">
        <v>-121.93334</v>
      </c>
      <c r="K464" t="s">
        <v>3936</v>
      </c>
      <c r="L464" t="s">
        <v>3946</v>
      </c>
      <c r="M464" t="s">
        <v>4888</v>
      </c>
      <c r="P464" t="s">
        <v>3770</v>
      </c>
    </row>
    <row r="465" spans="1:16" x14ac:dyDescent="0.2">
      <c r="A465" t="s">
        <v>2175</v>
      </c>
      <c r="B465" t="s">
        <v>2942</v>
      </c>
      <c r="C465" t="s">
        <v>2900</v>
      </c>
      <c r="D465" t="s">
        <v>2307</v>
      </c>
      <c r="E465">
        <v>98208</v>
      </c>
      <c r="F465" t="s">
        <v>1600</v>
      </c>
      <c r="G465" t="s">
        <v>2207</v>
      </c>
      <c r="H465" t="s">
        <v>4607</v>
      </c>
      <c r="I465">
        <v>47.904505</v>
      </c>
      <c r="J465">
        <v>-122.241922</v>
      </c>
      <c r="K465" t="s">
        <v>3936</v>
      </c>
      <c r="L465" t="s">
        <v>3946</v>
      </c>
      <c r="M465" t="s">
        <v>4888</v>
      </c>
      <c r="P465" t="s">
        <v>2942</v>
      </c>
    </row>
    <row r="466" spans="1:16" x14ac:dyDescent="0.2">
      <c r="A466" t="s">
        <v>2219</v>
      </c>
      <c r="B466" t="s">
        <v>2943</v>
      </c>
      <c r="C466" t="s">
        <v>2944</v>
      </c>
      <c r="D466" t="s">
        <v>2307</v>
      </c>
      <c r="E466">
        <v>98014</v>
      </c>
      <c r="F466" t="s">
        <v>1583</v>
      </c>
      <c r="G466" t="s">
        <v>1980</v>
      </c>
      <c r="H466" t="s">
        <v>5416</v>
      </c>
      <c r="I466">
        <v>47.648955000000001</v>
      </c>
      <c r="J466">
        <v>-121.91332800000001</v>
      </c>
      <c r="K466" t="s">
        <v>3936</v>
      </c>
      <c r="L466" t="s">
        <v>3946</v>
      </c>
      <c r="M466" t="s">
        <v>4888</v>
      </c>
      <c r="P466" t="s">
        <v>2943</v>
      </c>
    </row>
    <row r="467" spans="1:16" x14ac:dyDescent="0.2">
      <c r="A467" t="s">
        <v>1793</v>
      </c>
      <c r="B467" t="s">
        <v>3776</v>
      </c>
      <c r="C467" t="s">
        <v>2900</v>
      </c>
      <c r="D467" t="s">
        <v>2307</v>
      </c>
      <c r="E467">
        <v>98204</v>
      </c>
      <c r="F467" t="s">
        <v>1658</v>
      </c>
      <c r="G467" t="s">
        <v>1971</v>
      </c>
      <c r="H467" t="s">
        <v>4146</v>
      </c>
      <c r="I467">
        <v>47.910992999999998</v>
      </c>
      <c r="J467">
        <v>-122.238001</v>
      </c>
      <c r="K467" t="s">
        <v>3936</v>
      </c>
      <c r="L467" t="s">
        <v>3946</v>
      </c>
      <c r="M467" t="s">
        <v>4888</v>
      </c>
      <c r="P467" t="s">
        <v>3776</v>
      </c>
    </row>
    <row r="468" spans="1:16" x14ac:dyDescent="0.2">
      <c r="A468" t="s">
        <v>2073</v>
      </c>
      <c r="B468" t="s">
        <v>2951</v>
      </c>
      <c r="C468" t="s">
        <v>2900</v>
      </c>
      <c r="D468" t="s">
        <v>2307</v>
      </c>
      <c r="E468">
        <v>98208</v>
      </c>
      <c r="F468" t="s">
        <v>1658</v>
      </c>
      <c r="G468" t="s">
        <v>2074</v>
      </c>
      <c r="H468" t="s">
        <v>5109</v>
      </c>
      <c r="I468">
        <v>47.911569</v>
      </c>
      <c r="J468">
        <v>-122.216386</v>
      </c>
      <c r="K468" t="s">
        <v>3936</v>
      </c>
      <c r="L468" t="s">
        <v>3946</v>
      </c>
      <c r="M468" t="s">
        <v>4888</v>
      </c>
      <c r="P468" t="s">
        <v>5698</v>
      </c>
    </row>
    <row r="469" spans="1:16" x14ac:dyDescent="0.2">
      <c r="A469" t="s">
        <v>2221</v>
      </c>
      <c r="B469" t="s">
        <v>2953</v>
      </c>
      <c r="C469" t="s">
        <v>2914</v>
      </c>
      <c r="D469" t="s">
        <v>2307</v>
      </c>
      <c r="E469">
        <v>98275</v>
      </c>
      <c r="F469" t="s">
        <v>1716</v>
      </c>
      <c r="G469" t="s">
        <v>1995</v>
      </c>
      <c r="H469" t="s">
        <v>5417</v>
      </c>
      <c r="I469">
        <v>47.922831000000002</v>
      </c>
      <c r="J469">
        <v>-122.29998999999999</v>
      </c>
      <c r="K469" t="s">
        <v>3936</v>
      </c>
      <c r="L469" t="s">
        <v>3946</v>
      </c>
      <c r="M469" t="s">
        <v>4888</v>
      </c>
      <c r="P469" t="s">
        <v>2953</v>
      </c>
    </row>
    <row r="470" spans="1:16" x14ac:dyDescent="0.2">
      <c r="A470" t="s">
        <v>1597</v>
      </c>
      <c r="B470" t="s">
        <v>3781</v>
      </c>
      <c r="C470" t="s">
        <v>2900</v>
      </c>
      <c r="D470" t="s">
        <v>2307</v>
      </c>
      <c r="E470">
        <v>98208</v>
      </c>
      <c r="F470" t="s">
        <v>1573</v>
      </c>
      <c r="G470" t="s">
        <v>1990</v>
      </c>
      <c r="H470" t="s">
        <v>5021</v>
      </c>
      <c r="I470">
        <v>47.912120000000002</v>
      </c>
      <c r="J470">
        <v>-122.21383</v>
      </c>
      <c r="K470" t="s">
        <v>3936</v>
      </c>
      <c r="L470" t="s">
        <v>3946</v>
      </c>
      <c r="M470" t="s">
        <v>4888</v>
      </c>
      <c r="P470" t="s">
        <v>5669</v>
      </c>
    </row>
    <row r="471" spans="1:16" x14ac:dyDescent="0.2">
      <c r="A471" t="s">
        <v>1667</v>
      </c>
      <c r="B471" t="s">
        <v>3782</v>
      </c>
      <c r="C471" t="s">
        <v>2780</v>
      </c>
      <c r="D471" t="s">
        <v>2307</v>
      </c>
      <c r="E471">
        <v>98030</v>
      </c>
      <c r="F471" t="s">
        <v>1658</v>
      </c>
      <c r="G471" t="s">
        <v>1994</v>
      </c>
      <c r="H471" t="s">
        <v>4149</v>
      </c>
      <c r="I471">
        <v>47.358283999999998</v>
      </c>
      <c r="J471">
        <v>-122.166462</v>
      </c>
      <c r="K471" t="s">
        <v>3936</v>
      </c>
      <c r="L471" t="s">
        <v>3946</v>
      </c>
      <c r="M471" t="s">
        <v>4888</v>
      </c>
      <c r="P471" t="s">
        <v>5699</v>
      </c>
    </row>
    <row r="472" spans="1:16" x14ac:dyDescent="0.2">
      <c r="A472" t="s">
        <v>5110</v>
      </c>
      <c r="B472" t="s">
        <v>5111</v>
      </c>
      <c r="C472" t="s">
        <v>2900</v>
      </c>
      <c r="D472" t="s">
        <v>2307</v>
      </c>
      <c r="E472">
        <v>98208</v>
      </c>
      <c r="F472" t="s">
        <v>1573</v>
      </c>
      <c r="G472" t="s">
        <v>1982</v>
      </c>
      <c r="H472" t="s">
        <v>5112</v>
      </c>
      <c r="I472">
        <v>47.913187000000001</v>
      </c>
      <c r="J472">
        <v>-122.21253</v>
      </c>
      <c r="K472" t="s">
        <v>3936</v>
      </c>
      <c r="L472" t="s">
        <v>3946</v>
      </c>
      <c r="M472" t="s">
        <v>4888</v>
      </c>
      <c r="P472" t="s">
        <v>5111</v>
      </c>
    </row>
    <row r="473" spans="1:16" x14ac:dyDescent="0.2">
      <c r="A473" t="s">
        <v>1953</v>
      </c>
      <c r="B473" t="s">
        <v>3517</v>
      </c>
      <c r="C473" t="s">
        <v>2900</v>
      </c>
      <c r="D473" t="s">
        <v>2307</v>
      </c>
      <c r="E473">
        <v>98208</v>
      </c>
      <c r="F473" t="s">
        <v>1573</v>
      </c>
      <c r="G473" t="s">
        <v>1982</v>
      </c>
      <c r="H473" t="s">
        <v>5113</v>
      </c>
      <c r="I473">
        <v>47.913212000000001</v>
      </c>
      <c r="J473">
        <v>-122.212531</v>
      </c>
      <c r="K473" t="s">
        <v>3936</v>
      </c>
      <c r="L473" t="s">
        <v>3946</v>
      </c>
      <c r="M473" t="s">
        <v>4888</v>
      </c>
      <c r="P473" t="s">
        <v>3517</v>
      </c>
    </row>
    <row r="474" spans="1:16" x14ac:dyDescent="0.2">
      <c r="A474" t="s">
        <v>1798</v>
      </c>
      <c r="B474" t="s">
        <v>3785</v>
      </c>
      <c r="C474" t="s">
        <v>2780</v>
      </c>
      <c r="D474" t="s">
        <v>2307</v>
      </c>
      <c r="E474">
        <v>98042</v>
      </c>
      <c r="F474" t="s">
        <v>1587</v>
      </c>
      <c r="G474" t="s">
        <v>1973</v>
      </c>
      <c r="H474" t="s">
        <v>4151</v>
      </c>
      <c r="I474">
        <v>47.357841999999998</v>
      </c>
      <c r="J474">
        <v>-122.135148</v>
      </c>
      <c r="K474" t="s">
        <v>3936</v>
      </c>
      <c r="L474" t="s">
        <v>3946</v>
      </c>
      <c r="M474" t="s">
        <v>4888</v>
      </c>
      <c r="P474" t="s">
        <v>3785</v>
      </c>
    </row>
    <row r="475" spans="1:16" x14ac:dyDescent="0.2">
      <c r="A475" t="s">
        <v>1800</v>
      </c>
      <c r="B475" t="s">
        <v>2969</v>
      </c>
      <c r="C475" t="s">
        <v>2900</v>
      </c>
      <c r="D475" t="s">
        <v>2307</v>
      </c>
      <c r="E475">
        <v>98203</v>
      </c>
      <c r="F475" t="s">
        <v>1600</v>
      </c>
      <c r="G475" t="s">
        <v>1973</v>
      </c>
      <c r="H475" t="s">
        <v>5418</v>
      </c>
      <c r="I475">
        <v>47.929212999999997</v>
      </c>
      <c r="J475">
        <v>-122.221171</v>
      </c>
      <c r="K475" t="s">
        <v>3936</v>
      </c>
      <c r="L475" t="s">
        <v>3946</v>
      </c>
      <c r="M475" t="s">
        <v>4888</v>
      </c>
      <c r="P475" t="s">
        <v>2969</v>
      </c>
    </row>
    <row r="476" spans="1:16" x14ac:dyDescent="0.2">
      <c r="A476" t="s">
        <v>1801</v>
      </c>
      <c r="B476" t="s">
        <v>3789</v>
      </c>
      <c r="C476" t="s">
        <v>3787</v>
      </c>
      <c r="D476" t="s">
        <v>2307</v>
      </c>
      <c r="E476">
        <v>98024</v>
      </c>
      <c r="F476" t="s">
        <v>1587</v>
      </c>
      <c r="G476" t="s">
        <v>1968</v>
      </c>
      <c r="H476" t="s">
        <v>5114</v>
      </c>
      <c r="I476">
        <v>47.567194000000001</v>
      </c>
      <c r="J476">
        <v>-121.887908</v>
      </c>
      <c r="K476" t="s">
        <v>3936</v>
      </c>
      <c r="L476" t="s">
        <v>3946</v>
      </c>
      <c r="M476" t="s">
        <v>4888</v>
      </c>
      <c r="P476" t="s">
        <v>5700</v>
      </c>
    </row>
    <row r="477" spans="1:16" x14ac:dyDescent="0.2">
      <c r="A477" t="s">
        <v>2011</v>
      </c>
      <c r="B477" t="s">
        <v>3347</v>
      </c>
      <c r="C477" t="s">
        <v>3348</v>
      </c>
      <c r="D477" t="s">
        <v>2307</v>
      </c>
      <c r="E477">
        <v>98368</v>
      </c>
      <c r="F477" t="s">
        <v>1573</v>
      </c>
      <c r="G477" t="s">
        <v>1986</v>
      </c>
      <c r="H477" t="s">
        <v>4830</v>
      </c>
      <c r="I477">
        <v>48.112471999999997</v>
      </c>
      <c r="J477">
        <v>-122.76126600000001</v>
      </c>
      <c r="K477" t="s">
        <v>3936</v>
      </c>
      <c r="L477" t="s">
        <v>3946</v>
      </c>
      <c r="M477" t="s">
        <v>5575</v>
      </c>
      <c r="P477" t="s">
        <v>5791</v>
      </c>
    </row>
    <row r="478" spans="1:16" x14ac:dyDescent="0.2">
      <c r="A478" t="s">
        <v>3952</v>
      </c>
      <c r="B478" t="s">
        <v>3393</v>
      </c>
      <c r="C478" t="s">
        <v>3376</v>
      </c>
      <c r="D478" t="s">
        <v>2307</v>
      </c>
      <c r="E478">
        <v>98503</v>
      </c>
      <c r="F478" t="s">
        <v>1573</v>
      </c>
      <c r="G478" t="s">
        <v>2014</v>
      </c>
      <c r="H478" t="s">
        <v>4853</v>
      </c>
      <c r="I478">
        <v>47.037331999999999</v>
      </c>
      <c r="J478">
        <v>-122.803241</v>
      </c>
      <c r="K478" t="s">
        <v>3936</v>
      </c>
      <c r="L478" t="s">
        <v>3946</v>
      </c>
      <c r="M478" t="s">
        <v>5575</v>
      </c>
      <c r="P478" t="s">
        <v>3393</v>
      </c>
    </row>
    <row r="479" spans="1:16" x14ac:dyDescent="0.2">
      <c r="A479" t="s">
        <v>3952</v>
      </c>
      <c r="B479" t="s">
        <v>3424</v>
      </c>
      <c r="C479" t="s">
        <v>3409</v>
      </c>
      <c r="D479" t="s">
        <v>2307</v>
      </c>
      <c r="E479">
        <v>98277</v>
      </c>
      <c r="F479" t="s">
        <v>1573</v>
      </c>
      <c r="G479" t="s">
        <v>2014</v>
      </c>
      <c r="H479" t="s">
        <v>4869</v>
      </c>
      <c r="I479">
        <v>48.298085999999998</v>
      </c>
      <c r="J479">
        <v>-122.65345000000001</v>
      </c>
      <c r="K479" t="s">
        <v>3936</v>
      </c>
      <c r="L479" t="s">
        <v>3946</v>
      </c>
      <c r="M479" t="s">
        <v>5575</v>
      </c>
      <c r="P479" t="s">
        <v>3424</v>
      </c>
    </row>
    <row r="480" spans="1:16" x14ac:dyDescent="0.2">
      <c r="A480" t="s">
        <v>2011</v>
      </c>
      <c r="B480" t="s">
        <v>3428</v>
      </c>
      <c r="C480" t="s">
        <v>3383</v>
      </c>
      <c r="D480" t="s">
        <v>2307</v>
      </c>
      <c r="E480">
        <v>98501</v>
      </c>
      <c r="F480" t="s">
        <v>1573</v>
      </c>
      <c r="G480" t="s">
        <v>1986</v>
      </c>
      <c r="H480" t="s">
        <v>4872</v>
      </c>
      <c r="I480">
        <v>47.039389999999997</v>
      </c>
      <c r="J480">
        <v>-122.90102899999999</v>
      </c>
      <c r="K480" t="s">
        <v>3936</v>
      </c>
      <c r="L480" t="s">
        <v>3946</v>
      </c>
      <c r="M480" t="s">
        <v>5575</v>
      </c>
      <c r="P480" t="s">
        <v>3428</v>
      </c>
    </row>
    <row r="481" spans="1:16" x14ac:dyDescent="0.2">
      <c r="A481" t="s">
        <v>3952</v>
      </c>
      <c r="B481" t="s">
        <v>3429</v>
      </c>
      <c r="C481" t="s">
        <v>3430</v>
      </c>
      <c r="D481" t="s">
        <v>2307</v>
      </c>
      <c r="E481">
        <v>98597</v>
      </c>
      <c r="F481" t="s">
        <v>1573</v>
      </c>
      <c r="G481" t="s">
        <v>2014</v>
      </c>
      <c r="H481" t="s">
        <v>4873</v>
      </c>
      <c r="I481">
        <v>46.951144999999997</v>
      </c>
      <c r="J481">
        <v>-122.62319599999999</v>
      </c>
      <c r="K481" t="s">
        <v>3936</v>
      </c>
      <c r="L481" t="s">
        <v>3946</v>
      </c>
      <c r="M481" t="s">
        <v>5575</v>
      </c>
      <c r="P481" t="s">
        <v>3429</v>
      </c>
    </row>
    <row r="482" spans="1:16" x14ac:dyDescent="0.2">
      <c r="A482" t="s">
        <v>2011</v>
      </c>
      <c r="B482" t="s">
        <v>3438</v>
      </c>
      <c r="C482" t="s">
        <v>3430</v>
      </c>
      <c r="D482" t="s">
        <v>2307</v>
      </c>
      <c r="E482">
        <v>98597</v>
      </c>
      <c r="F482" t="s">
        <v>1573</v>
      </c>
      <c r="G482" t="s">
        <v>1986</v>
      </c>
      <c r="H482" t="s">
        <v>4880</v>
      </c>
      <c r="I482">
        <v>46.935864000000002</v>
      </c>
      <c r="J482">
        <v>-122.591173</v>
      </c>
      <c r="K482" t="s">
        <v>3936</v>
      </c>
      <c r="L482" t="s">
        <v>3946</v>
      </c>
      <c r="M482" t="s">
        <v>5575</v>
      </c>
      <c r="P482" t="s">
        <v>5793</v>
      </c>
    </row>
    <row r="483" spans="1:16" x14ac:dyDescent="0.2">
      <c r="A483" t="s">
        <v>2073</v>
      </c>
      <c r="B483" t="s">
        <v>2977</v>
      </c>
      <c r="C483" t="s">
        <v>2930</v>
      </c>
      <c r="D483" t="s">
        <v>2307</v>
      </c>
      <c r="E483">
        <v>98003</v>
      </c>
      <c r="F483" t="s">
        <v>1658</v>
      </c>
      <c r="G483" t="s">
        <v>2074</v>
      </c>
      <c r="H483" t="s">
        <v>4631</v>
      </c>
      <c r="I483">
        <v>47.315202999999997</v>
      </c>
      <c r="J483">
        <v>-122.31088</v>
      </c>
      <c r="K483" t="s">
        <v>3936</v>
      </c>
      <c r="L483" t="s">
        <v>3946</v>
      </c>
      <c r="M483" t="s">
        <v>4888</v>
      </c>
      <c r="P483" t="s">
        <v>2977</v>
      </c>
    </row>
    <row r="484" spans="1:16" x14ac:dyDescent="0.2">
      <c r="A484" t="s">
        <v>1597</v>
      </c>
      <c r="B484" t="s">
        <v>3792</v>
      </c>
      <c r="C484" t="s">
        <v>2930</v>
      </c>
      <c r="D484" t="s">
        <v>2307</v>
      </c>
      <c r="E484">
        <v>98003</v>
      </c>
      <c r="F484" t="s">
        <v>1573</v>
      </c>
      <c r="G484" t="s">
        <v>1990</v>
      </c>
      <c r="H484" t="s">
        <v>5315</v>
      </c>
      <c r="I484">
        <v>47.315252999999998</v>
      </c>
      <c r="J484">
        <v>-122.30822000000001</v>
      </c>
      <c r="K484" t="s">
        <v>3936</v>
      </c>
      <c r="L484" t="s">
        <v>3946</v>
      </c>
      <c r="M484" t="s">
        <v>4888</v>
      </c>
      <c r="P484" t="s">
        <v>3792</v>
      </c>
    </row>
    <row r="485" spans="1:16" x14ac:dyDescent="0.2">
      <c r="A485" t="s">
        <v>2225</v>
      </c>
      <c r="B485" t="s">
        <v>2982</v>
      </c>
      <c r="C485" t="s">
        <v>2961</v>
      </c>
      <c r="D485" t="s">
        <v>2307</v>
      </c>
      <c r="E485">
        <v>98002</v>
      </c>
      <c r="F485" t="s">
        <v>1600</v>
      </c>
      <c r="G485" t="s">
        <v>2112</v>
      </c>
      <c r="H485" t="s">
        <v>5419</v>
      </c>
      <c r="I485">
        <v>47.323490999999997</v>
      </c>
      <c r="J485">
        <v>-122.22129700000001</v>
      </c>
      <c r="K485" t="s">
        <v>3936</v>
      </c>
      <c r="L485" t="s">
        <v>3946</v>
      </c>
      <c r="M485" t="s">
        <v>4888</v>
      </c>
      <c r="P485" t="s">
        <v>2982</v>
      </c>
    </row>
    <row r="486" spans="1:16" x14ac:dyDescent="0.2">
      <c r="A486" t="s">
        <v>2226</v>
      </c>
      <c r="B486" t="s">
        <v>6237</v>
      </c>
      <c r="C486" t="s">
        <v>2914</v>
      </c>
      <c r="D486" t="s">
        <v>2307</v>
      </c>
      <c r="E486">
        <v>98275</v>
      </c>
      <c r="F486" t="s">
        <v>1573</v>
      </c>
      <c r="G486" t="s">
        <v>1995</v>
      </c>
      <c r="H486" t="s">
        <v>4635</v>
      </c>
      <c r="I486">
        <v>47.946522999999999</v>
      </c>
      <c r="J486">
        <v>-122.303436</v>
      </c>
      <c r="K486" t="s">
        <v>3936</v>
      </c>
      <c r="L486" t="s">
        <v>3946</v>
      </c>
      <c r="M486" t="s">
        <v>4888</v>
      </c>
      <c r="P486" t="s">
        <v>6038</v>
      </c>
    </row>
    <row r="487" spans="1:16" x14ac:dyDescent="0.2">
      <c r="A487" t="s">
        <v>2234</v>
      </c>
      <c r="B487" t="s">
        <v>3002</v>
      </c>
      <c r="C487" t="s">
        <v>2888</v>
      </c>
      <c r="D487" t="s">
        <v>2307</v>
      </c>
      <c r="E487">
        <v>98290</v>
      </c>
      <c r="F487" t="s">
        <v>1600</v>
      </c>
      <c r="G487" t="s">
        <v>1986</v>
      </c>
      <c r="H487" t="s">
        <v>4641</v>
      </c>
      <c r="I487">
        <v>47.911313999999997</v>
      </c>
      <c r="J487">
        <v>-122.09601000000001</v>
      </c>
      <c r="K487" t="s">
        <v>3936</v>
      </c>
      <c r="L487" t="s">
        <v>3946</v>
      </c>
      <c r="M487" t="s">
        <v>4888</v>
      </c>
      <c r="P487" t="s">
        <v>3002</v>
      </c>
    </row>
    <row r="488" spans="1:16" x14ac:dyDescent="0.2">
      <c r="A488" t="s">
        <v>2244</v>
      </c>
      <c r="B488" t="s">
        <v>3020</v>
      </c>
      <c r="C488" t="s">
        <v>2888</v>
      </c>
      <c r="D488" t="s">
        <v>2307</v>
      </c>
      <c r="E488">
        <v>98290</v>
      </c>
      <c r="F488" t="s">
        <v>1716</v>
      </c>
      <c r="G488" t="s">
        <v>2107</v>
      </c>
      <c r="H488" t="s">
        <v>5122</v>
      </c>
      <c r="I488">
        <v>47.920811</v>
      </c>
      <c r="J488">
        <v>-122.098266</v>
      </c>
      <c r="K488" t="s">
        <v>3936</v>
      </c>
      <c r="L488" t="s">
        <v>3946</v>
      </c>
      <c r="M488" t="s">
        <v>4888</v>
      </c>
      <c r="P488" t="s">
        <v>3020</v>
      </c>
    </row>
    <row r="489" spans="1:16" x14ac:dyDescent="0.2">
      <c r="A489" t="s">
        <v>2246</v>
      </c>
      <c r="B489" t="s">
        <v>3035</v>
      </c>
      <c r="C489" t="s">
        <v>2995</v>
      </c>
      <c r="D489" t="s">
        <v>2307</v>
      </c>
      <c r="E489">
        <v>98272</v>
      </c>
      <c r="F489" t="s">
        <v>1600</v>
      </c>
      <c r="G489" t="s">
        <v>1982</v>
      </c>
      <c r="H489" t="s">
        <v>5430</v>
      </c>
      <c r="I489">
        <v>47.858983000000002</v>
      </c>
      <c r="J489">
        <v>-121.96834800000001</v>
      </c>
      <c r="K489" t="s">
        <v>3936</v>
      </c>
      <c r="L489" t="s">
        <v>3946</v>
      </c>
      <c r="M489" t="s">
        <v>4888</v>
      </c>
      <c r="P489" t="s">
        <v>3035</v>
      </c>
    </row>
    <row r="490" spans="1:16" x14ac:dyDescent="0.2">
      <c r="A490" t="s">
        <v>1828</v>
      </c>
      <c r="B490" t="s">
        <v>3828</v>
      </c>
      <c r="C490" t="s">
        <v>3014</v>
      </c>
      <c r="D490" t="s">
        <v>2307</v>
      </c>
      <c r="E490">
        <v>98065</v>
      </c>
      <c r="F490" t="s">
        <v>1716</v>
      </c>
      <c r="G490" t="s">
        <v>1989</v>
      </c>
      <c r="H490" t="s">
        <v>5433</v>
      </c>
      <c r="I490">
        <v>47.528072000000002</v>
      </c>
      <c r="J490">
        <v>-121.82459799999999</v>
      </c>
      <c r="K490" t="s">
        <v>3936</v>
      </c>
      <c r="L490" t="s">
        <v>3946</v>
      </c>
      <c r="M490" t="s">
        <v>4888</v>
      </c>
      <c r="P490" t="s">
        <v>3828</v>
      </c>
    </row>
    <row r="491" spans="1:16" x14ac:dyDescent="0.2">
      <c r="A491" t="s">
        <v>2260</v>
      </c>
      <c r="B491" t="s">
        <v>3099</v>
      </c>
      <c r="C491" t="s">
        <v>3067</v>
      </c>
      <c r="D491" t="s">
        <v>2307</v>
      </c>
      <c r="E491">
        <v>98402</v>
      </c>
      <c r="F491" t="s">
        <v>1583</v>
      </c>
      <c r="G491" t="s">
        <v>1980</v>
      </c>
      <c r="H491" t="s">
        <v>4685</v>
      </c>
      <c r="I491">
        <v>47.259512999999998</v>
      </c>
      <c r="J491">
        <v>-122.445803</v>
      </c>
      <c r="K491" t="s">
        <v>3936</v>
      </c>
      <c r="L491" t="s">
        <v>3946</v>
      </c>
      <c r="M491" t="s">
        <v>4888</v>
      </c>
      <c r="P491" t="s">
        <v>5673</v>
      </c>
    </row>
    <row r="492" spans="1:16" x14ac:dyDescent="0.2">
      <c r="A492" t="s">
        <v>1838</v>
      </c>
      <c r="B492" t="s">
        <v>3847</v>
      </c>
      <c r="C492" t="s">
        <v>3149</v>
      </c>
      <c r="D492" t="s">
        <v>2307</v>
      </c>
      <c r="E492">
        <v>98258</v>
      </c>
      <c r="F492" t="s">
        <v>1591</v>
      </c>
      <c r="G492" t="s">
        <v>1969</v>
      </c>
      <c r="H492" t="s">
        <v>4960</v>
      </c>
      <c r="I492">
        <v>48.015568999999999</v>
      </c>
      <c r="J492">
        <v>-122.063211</v>
      </c>
      <c r="K492" t="s">
        <v>3936</v>
      </c>
      <c r="L492" t="s">
        <v>3946</v>
      </c>
      <c r="M492" t="s">
        <v>4888</v>
      </c>
      <c r="P492" t="s">
        <v>3847</v>
      </c>
    </row>
    <row r="493" spans="1:16" x14ac:dyDescent="0.2">
      <c r="A493" t="s">
        <v>1667</v>
      </c>
      <c r="B493" t="s">
        <v>3849</v>
      </c>
      <c r="C493" t="s">
        <v>3162</v>
      </c>
      <c r="D493" t="s">
        <v>2307</v>
      </c>
      <c r="E493">
        <v>98466</v>
      </c>
      <c r="F493" t="s">
        <v>1658</v>
      </c>
      <c r="G493" t="s">
        <v>1994</v>
      </c>
      <c r="H493" t="s">
        <v>4176</v>
      </c>
      <c r="I493">
        <v>47.221468999999999</v>
      </c>
      <c r="J493">
        <v>-122.53731999999999</v>
      </c>
      <c r="K493" t="s">
        <v>3936</v>
      </c>
      <c r="L493" t="s">
        <v>3946</v>
      </c>
      <c r="M493" t="s">
        <v>4888</v>
      </c>
      <c r="P493" t="s">
        <v>3849</v>
      </c>
    </row>
    <row r="494" spans="1:16" x14ac:dyDescent="0.2">
      <c r="A494" t="s">
        <v>2285</v>
      </c>
      <c r="B494" t="s">
        <v>3284</v>
      </c>
      <c r="C494" t="s">
        <v>3201</v>
      </c>
      <c r="D494" t="s">
        <v>2307</v>
      </c>
      <c r="E494">
        <v>98271</v>
      </c>
      <c r="F494" t="s">
        <v>1591</v>
      </c>
      <c r="G494" t="s">
        <v>1969</v>
      </c>
      <c r="H494" t="s">
        <v>4940</v>
      </c>
      <c r="I494">
        <v>48.100186999999998</v>
      </c>
      <c r="J494">
        <v>-122.17505800000001</v>
      </c>
      <c r="K494" t="s">
        <v>3936</v>
      </c>
      <c r="L494" t="s">
        <v>3946</v>
      </c>
      <c r="M494" t="s">
        <v>4888</v>
      </c>
      <c r="P494" t="s">
        <v>3284</v>
      </c>
    </row>
    <row r="495" spans="1:16" x14ac:dyDescent="0.2">
      <c r="A495" t="s">
        <v>1872</v>
      </c>
      <c r="B495" t="s">
        <v>3901</v>
      </c>
      <c r="C495" t="s">
        <v>3361</v>
      </c>
      <c r="D495" t="s">
        <v>2307</v>
      </c>
      <c r="E495">
        <v>98338</v>
      </c>
      <c r="F495" t="s">
        <v>1591</v>
      </c>
      <c r="G495" t="s">
        <v>1969</v>
      </c>
      <c r="H495" t="s">
        <v>4213</v>
      </c>
      <c r="I495">
        <v>47.053272999999997</v>
      </c>
      <c r="J495">
        <v>-122.299486</v>
      </c>
      <c r="K495" t="s">
        <v>3936</v>
      </c>
      <c r="L495" t="s">
        <v>3946</v>
      </c>
      <c r="M495" t="s">
        <v>4888</v>
      </c>
      <c r="P495" t="s">
        <v>3901</v>
      </c>
    </row>
    <row r="496" spans="1:16" x14ac:dyDescent="0.2">
      <c r="A496" t="s">
        <v>5151</v>
      </c>
      <c r="B496" t="s">
        <v>6238</v>
      </c>
      <c r="C496" t="s">
        <v>66</v>
      </c>
      <c r="D496" t="s">
        <v>2307</v>
      </c>
      <c r="E496">
        <v>98144</v>
      </c>
      <c r="F496" t="s">
        <v>1716</v>
      </c>
      <c r="G496" t="s">
        <v>1990</v>
      </c>
      <c r="H496" t="s">
        <v>5152</v>
      </c>
      <c r="I496">
        <v>47.571117999999998</v>
      </c>
      <c r="J496">
        <v>-122.291144</v>
      </c>
      <c r="K496" t="s">
        <v>3936</v>
      </c>
      <c r="L496" t="s">
        <v>3946</v>
      </c>
      <c r="M496" t="s">
        <v>4962</v>
      </c>
      <c r="P496" t="s">
        <v>6049</v>
      </c>
    </row>
    <row r="497" spans="1:16" x14ac:dyDescent="0.2">
      <c r="A497" t="s">
        <v>2040</v>
      </c>
      <c r="B497" t="s">
        <v>2396</v>
      </c>
      <c r="C497" t="s">
        <v>66</v>
      </c>
      <c r="D497" t="s">
        <v>2307</v>
      </c>
      <c r="E497">
        <v>98105</v>
      </c>
      <c r="F497" t="s">
        <v>1600</v>
      </c>
      <c r="G497" t="s">
        <v>2005</v>
      </c>
      <c r="H497" t="s">
        <v>4304</v>
      </c>
      <c r="I497">
        <v>47.661200999999998</v>
      </c>
      <c r="J497">
        <v>-122.314072</v>
      </c>
      <c r="K497" t="s">
        <v>3936</v>
      </c>
      <c r="L497" t="s">
        <v>3946</v>
      </c>
      <c r="M497" t="s">
        <v>4963</v>
      </c>
      <c r="P497" t="s">
        <v>2396</v>
      </c>
    </row>
    <row r="498" spans="1:16" x14ac:dyDescent="0.2">
      <c r="A498" t="s">
        <v>2034</v>
      </c>
      <c r="B498" t="s">
        <v>2447</v>
      </c>
      <c r="C498" t="s">
        <v>66</v>
      </c>
      <c r="D498" t="s">
        <v>2307</v>
      </c>
      <c r="E498">
        <v>98103</v>
      </c>
      <c r="F498" t="s">
        <v>2035</v>
      </c>
      <c r="G498" t="s">
        <v>2005</v>
      </c>
      <c r="H498" t="s">
        <v>4331</v>
      </c>
      <c r="I498">
        <v>47.689314000000003</v>
      </c>
      <c r="J498">
        <v>-122.35545399999999</v>
      </c>
      <c r="K498" t="s">
        <v>3936</v>
      </c>
      <c r="L498" t="s">
        <v>3946</v>
      </c>
      <c r="M498" t="s">
        <v>4963</v>
      </c>
      <c r="P498" t="s">
        <v>2447</v>
      </c>
    </row>
    <row r="499" spans="1:16" x14ac:dyDescent="0.2">
      <c r="A499" t="s">
        <v>2018</v>
      </c>
      <c r="B499" t="s">
        <v>2489</v>
      </c>
      <c r="C499" t="s">
        <v>2486</v>
      </c>
      <c r="D499" t="s">
        <v>2307</v>
      </c>
      <c r="E499">
        <v>98040</v>
      </c>
      <c r="F499" t="s">
        <v>1600</v>
      </c>
      <c r="G499" t="s">
        <v>2027</v>
      </c>
      <c r="H499" t="s">
        <v>5162</v>
      </c>
      <c r="I499">
        <v>47.586851000000003</v>
      </c>
      <c r="J499">
        <v>-122.233259</v>
      </c>
      <c r="K499" t="s">
        <v>3936</v>
      </c>
      <c r="L499" t="s">
        <v>3946</v>
      </c>
      <c r="M499" t="s">
        <v>4963</v>
      </c>
      <c r="P499" t="s">
        <v>2489</v>
      </c>
    </row>
    <row r="500" spans="1:16" x14ac:dyDescent="0.2">
      <c r="A500" t="s">
        <v>2018</v>
      </c>
      <c r="B500" t="s">
        <v>3090</v>
      </c>
      <c r="C500" t="s">
        <v>3067</v>
      </c>
      <c r="D500" t="s">
        <v>2307</v>
      </c>
      <c r="E500">
        <v>98403</v>
      </c>
      <c r="F500" t="s">
        <v>2019</v>
      </c>
      <c r="G500" t="s">
        <v>1991</v>
      </c>
      <c r="H500" t="s">
        <v>5484</v>
      </c>
      <c r="I500">
        <v>47.264145999999997</v>
      </c>
      <c r="J500">
        <v>-122.44759500000001</v>
      </c>
      <c r="K500" t="s">
        <v>3936</v>
      </c>
      <c r="L500" t="s">
        <v>3946</v>
      </c>
      <c r="M500" t="s">
        <v>4963</v>
      </c>
      <c r="P500" t="s">
        <v>3090</v>
      </c>
    </row>
    <row r="501" spans="1:16" x14ac:dyDescent="0.2">
      <c r="A501" t="s">
        <v>2269</v>
      </c>
      <c r="B501" t="s">
        <v>3156</v>
      </c>
      <c r="C501" t="s">
        <v>3155</v>
      </c>
      <c r="D501" t="s">
        <v>2307</v>
      </c>
      <c r="E501">
        <v>98466</v>
      </c>
      <c r="F501" t="s">
        <v>2090</v>
      </c>
      <c r="G501" t="s">
        <v>1969</v>
      </c>
      <c r="H501" t="s">
        <v>4717</v>
      </c>
      <c r="I501">
        <v>47.239060000000002</v>
      </c>
      <c r="J501">
        <v>-122.516732</v>
      </c>
      <c r="K501" t="s">
        <v>3936</v>
      </c>
      <c r="L501" t="s">
        <v>3946</v>
      </c>
      <c r="M501" t="s">
        <v>4963</v>
      </c>
      <c r="P501" t="s">
        <v>3156</v>
      </c>
    </row>
    <row r="502" spans="1:16" x14ac:dyDescent="0.2">
      <c r="A502" t="s">
        <v>2274</v>
      </c>
      <c r="B502" t="s">
        <v>3206</v>
      </c>
      <c r="C502" t="s">
        <v>3201</v>
      </c>
      <c r="D502" t="s">
        <v>2307</v>
      </c>
      <c r="E502">
        <v>98270</v>
      </c>
      <c r="F502" t="s">
        <v>1600</v>
      </c>
      <c r="G502" t="s">
        <v>1981</v>
      </c>
      <c r="H502" t="s">
        <v>4973</v>
      </c>
      <c r="I502">
        <v>48.050952000000002</v>
      </c>
      <c r="J502">
        <v>-122.17676400000001</v>
      </c>
      <c r="K502" t="s">
        <v>3936</v>
      </c>
      <c r="L502" t="s">
        <v>3946</v>
      </c>
      <c r="M502" t="s">
        <v>4963</v>
      </c>
      <c r="N502" t="s">
        <v>4899</v>
      </c>
      <c r="P502" t="s">
        <v>3206</v>
      </c>
    </row>
    <row r="503" spans="1:16" x14ac:dyDescent="0.2">
      <c r="A503" t="s">
        <v>2279</v>
      </c>
      <c r="B503" t="s">
        <v>3213</v>
      </c>
      <c r="C503" t="s">
        <v>3186</v>
      </c>
      <c r="D503" t="s">
        <v>2307</v>
      </c>
      <c r="E503">
        <v>98371</v>
      </c>
      <c r="F503" t="s">
        <v>1583</v>
      </c>
      <c r="G503" t="s">
        <v>1980</v>
      </c>
      <c r="H503" t="s">
        <v>4751</v>
      </c>
      <c r="I503">
        <v>47.191569000000001</v>
      </c>
      <c r="J503">
        <v>-122.293904</v>
      </c>
      <c r="K503" t="s">
        <v>3936</v>
      </c>
      <c r="L503" t="s">
        <v>3946</v>
      </c>
      <c r="M503" t="s">
        <v>4963</v>
      </c>
      <c r="N503" t="s">
        <v>4899</v>
      </c>
      <c r="P503" t="s">
        <v>3213</v>
      </c>
    </row>
    <row r="504" spans="1:16" x14ac:dyDescent="0.2">
      <c r="A504" t="s">
        <v>1657</v>
      </c>
      <c r="B504" t="s">
        <v>6239</v>
      </c>
      <c r="C504" t="s">
        <v>2502</v>
      </c>
      <c r="D504" t="s">
        <v>2307</v>
      </c>
      <c r="E504">
        <v>98004</v>
      </c>
      <c r="F504" t="s">
        <v>1658</v>
      </c>
      <c r="G504" t="s">
        <v>1979</v>
      </c>
      <c r="H504" t="s">
        <v>5494</v>
      </c>
      <c r="I504">
        <v>47.619371000000001</v>
      </c>
      <c r="J504">
        <v>-122.193562</v>
      </c>
      <c r="K504" t="s">
        <v>3936</v>
      </c>
      <c r="L504" t="s">
        <v>3946</v>
      </c>
      <c r="M504" t="s">
        <v>4900</v>
      </c>
      <c r="P504" t="s">
        <v>6051</v>
      </c>
    </row>
    <row r="505" spans="1:16" x14ac:dyDescent="0.2">
      <c r="A505" t="s">
        <v>1891</v>
      </c>
      <c r="B505" t="s">
        <v>3928</v>
      </c>
      <c r="C505" t="s">
        <v>3430</v>
      </c>
      <c r="D505" t="s">
        <v>2307</v>
      </c>
      <c r="E505">
        <v>98597</v>
      </c>
      <c r="F505" t="s">
        <v>1591</v>
      </c>
      <c r="G505" t="s">
        <v>1969</v>
      </c>
      <c r="H505" t="s">
        <v>4235</v>
      </c>
      <c r="I505">
        <v>46.946544000000003</v>
      </c>
      <c r="J505">
        <v>-122.614648</v>
      </c>
      <c r="K505" t="s">
        <v>3936</v>
      </c>
      <c r="L505" t="s">
        <v>3946</v>
      </c>
      <c r="M505" t="s">
        <v>4900</v>
      </c>
      <c r="P505" t="s">
        <v>3928</v>
      </c>
    </row>
    <row r="506" spans="1:16" x14ac:dyDescent="0.2">
      <c r="A506" t="s">
        <v>2086</v>
      </c>
      <c r="B506" t="s">
        <v>2452</v>
      </c>
      <c r="C506" t="s">
        <v>66</v>
      </c>
      <c r="D506" t="s">
        <v>2307</v>
      </c>
      <c r="E506">
        <v>98103</v>
      </c>
      <c r="F506" t="s">
        <v>1716</v>
      </c>
      <c r="G506" t="s">
        <v>1990</v>
      </c>
      <c r="H506" t="s">
        <v>4333</v>
      </c>
      <c r="I506">
        <v>47.689965000000001</v>
      </c>
      <c r="J506">
        <v>-122.355435</v>
      </c>
      <c r="K506" t="s">
        <v>3936</v>
      </c>
      <c r="L506" t="s">
        <v>3946</v>
      </c>
      <c r="M506" t="s">
        <v>4900</v>
      </c>
      <c r="N506" t="s">
        <v>4903</v>
      </c>
      <c r="P506" t="s">
        <v>2452</v>
      </c>
    </row>
    <row r="507" spans="1:16" x14ac:dyDescent="0.2">
      <c r="A507" t="s">
        <v>1925</v>
      </c>
      <c r="B507" t="s">
        <v>3481</v>
      </c>
      <c r="C507" t="s">
        <v>66</v>
      </c>
      <c r="D507" t="s">
        <v>2307</v>
      </c>
      <c r="E507">
        <v>98133</v>
      </c>
      <c r="F507" t="s">
        <v>1575</v>
      </c>
      <c r="G507" t="s">
        <v>1970</v>
      </c>
      <c r="H507" t="s">
        <v>5180</v>
      </c>
      <c r="I507">
        <v>47.708776999999998</v>
      </c>
      <c r="J507">
        <v>-122.332612</v>
      </c>
      <c r="K507" t="s">
        <v>3936</v>
      </c>
      <c r="L507" t="s">
        <v>3946</v>
      </c>
      <c r="M507" t="s">
        <v>4905</v>
      </c>
      <c r="P507" t="s">
        <v>3481</v>
      </c>
    </row>
    <row r="508" spans="1:16" x14ac:dyDescent="0.2">
      <c r="A508" t="s">
        <v>1594</v>
      </c>
      <c r="B508" t="s">
        <v>3543</v>
      </c>
      <c r="C508" t="s">
        <v>66</v>
      </c>
      <c r="D508" t="s">
        <v>2307</v>
      </c>
      <c r="E508">
        <v>98102</v>
      </c>
      <c r="F508" t="s">
        <v>1575</v>
      </c>
      <c r="G508" t="s">
        <v>1973</v>
      </c>
      <c r="H508" t="s">
        <v>5509</v>
      </c>
      <c r="I508">
        <v>47.650661999999997</v>
      </c>
      <c r="J508">
        <v>-122.321776</v>
      </c>
      <c r="K508" t="s">
        <v>3936</v>
      </c>
      <c r="L508" t="s">
        <v>3946</v>
      </c>
      <c r="M508" t="s">
        <v>4906</v>
      </c>
      <c r="P508" t="s">
        <v>3543</v>
      </c>
    </row>
    <row r="509" spans="1:16" x14ac:dyDescent="0.2">
      <c r="A509" t="s">
        <v>1601</v>
      </c>
      <c r="B509" t="s">
        <v>3549</v>
      </c>
      <c r="C509" t="s">
        <v>66</v>
      </c>
      <c r="D509" t="s">
        <v>2307</v>
      </c>
      <c r="E509">
        <v>98103</v>
      </c>
      <c r="F509" t="s">
        <v>1602</v>
      </c>
      <c r="G509" t="s">
        <v>1971</v>
      </c>
      <c r="H509" t="s">
        <v>4046</v>
      </c>
      <c r="I509">
        <v>47.661217999999998</v>
      </c>
      <c r="J509">
        <v>-122.333516</v>
      </c>
      <c r="K509" t="s">
        <v>3936</v>
      </c>
      <c r="L509" t="s">
        <v>3946</v>
      </c>
      <c r="M509" t="s">
        <v>4906</v>
      </c>
      <c r="P509" t="s">
        <v>3549</v>
      </c>
    </row>
    <row r="510" spans="1:16" x14ac:dyDescent="0.2">
      <c r="A510" t="s">
        <v>2127</v>
      </c>
      <c r="B510" t="s">
        <v>2556</v>
      </c>
      <c r="C510" t="s">
        <v>66</v>
      </c>
      <c r="D510" t="s">
        <v>2307</v>
      </c>
      <c r="E510">
        <v>98118</v>
      </c>
      <c r="F510" t="s">
        <v>1600</v>
      </c>
      <c r="G510" t="s">
        <v>1984</v>
      </c>
      <c r="H510" t="s">
        <v>5515</v>
      </c>
      <c r="I510">
        <v>47.519897999999998</v>
      </c>
      <c r="J510">
        <v>-122.26350100000001</v>
      </c>
      <c r="K510" t="s">
        <v>3936</v>
      </c>
      <c r="L510" t="s">
        <v>3946</v>
      </c>
      <c r="M510" t="s">
        <v>4906</v>
      </c>
      <c r="P510" t="s">
        <v>2556</v>
      </c>
    </row>
    <row r="511" spans="1:16" x14ac:dyDescent="0.2">
      <c r="A511" t="s">
        <v>1594</v>
      </c>
      <c r="B511" t="s">
        <v>3627</v>
      </c>
      <c r="C511" t="s">
        <v>2502</v>
      </c>
      <c r="D511" t="s">
        <v>2307</v>
      </c>
      <c r="E511">
        <v>98006</v>
      </c>
      <c r="F511" t="s">
        <v>1575</v>
      </c>
      <c r="G511" t="s">
        <v>1973</v>
      </c>
      <c r="H511" t="s">
        <v>5516</v>
      </c>
      <c r="I511">
        <v>47.578384999999997</v>
      </c>
      <c r="J511">
        <v>-122.169489</v>
      </c>
      <c r="K511" t="s">
        <v>3936</v>
      </c>
      <c r="L511" t="s">
        <v>3946</v>
      </c>
      <c r="M511" t="s">
        <v>4906</v>
      </c>
      <c r="P511" t="s">
        <v>3627</v>
      </c>
    </row>
    <row r="512" spans="1:16" x14ac:dyDescent="0.2">
      <c r="A512" t="s">
        <v>1594</v>
      </c>
      <c r="B512" t="s">
        <v>3714</v>
      </c>
      <c r="C512" t="s">
        <v>2597</v>
      </c>
      <c r="D512" t="s">
        <v>2307</v>
      </c>
      <c r="E512">
        <v>98055</v>
      </c>
      <c r="F512" t="s">
        <v>1575</v>
      </c>
      <c r="G512" t="s">
        <v>1973</v>
      </c>
      <c r="H512" t="s">
        <v>4983</v>
      </c>
      <c r="I512">
        <v>47.445197999999998</v>
      </c>
      <c r="J512">
        <v>-122.19771</v>
      </c>
      <c r="K512" t="s">
        <v>3936</v>
      </c>
      <c r="L512" t="s">
        <v>3946</v>
      </c>
      <c r="M512" t="s">
        <v>4906</v>
      </c>
      <c r="P512" t="s">
        <v>3714</v>
      </c>
    </row>
    <row r="513" spans="1:16" x14ac:dyDescent="0.2">
      <c r="A513" t="s">
        <v>1705</v>
      </c>
      <c r="B513" t="s">
        <v>3717</v>
      </c>
      <c r="C513" t="s">
        <v>2717</v>
      </c>
      <c r="D513" t="s">
        <v>2307</v>
      </c>
      <c r="E513">
        <v>98037</v>
      </c>
      <c r="F513" t="s">
        <v>1575</v>
      </c>
      <c r="G513" t="s">
        <v>1989</v>
      </c>
      <c r="H513" t="s">
        <v>4119</v>
      </c>
      <c r="I513">
        <v>47.838841000000002</v>
      </c>
      <c r="J513">
        <v>-122.300074</v>
      </c>
      <c r="K513" t="s">
        <v>3936</v>
      </c>
      <c r="L513" t="s">
        <v>3946</v>
      </c>
      <c r="M513" t="s">
        <v>4906</v>
      </c>
      <c r="P513" t="s">
        <v>3717</v>
      </c>
    </row>
    <row r="514" spans="1:16" x14ac:dyDescent="0.2">
      <c r="A514" t="s">
        <v>1952</v>
      </c>
      <c r="B514" t="s">
        <v>3515</v>
      </c>
      <c r="C514" t="s">
        <v>2861</v>
      </c>
      <c r="D514" t="s">
        <v>2307</v>
      </c>
      <c r="E514">
        <v>98012</v>
      </c>
      <c r="F514" t="s">
        <v>1604</v>
      </c>
      <c r="G514" t="s">
        <v>1979</v>
      </c>
      <c r="H514" t="s">
        <v>4984</v>
      </c>
      <c r="I514">
        <v>47.861060999999999</v>
      </c>
      <c r="J514">
        <v>-122.220394</v>
      </c>
      <c r="K514" t="s">
        <v>3936</v>
      </c>
      <c r="L514" t="s">
        <v>3946</v>
      </c>
      <c r="M514" t="s">
        <v>4906</v>
      </c>
      <c r="P514" t="s">
        <v>3515</v>
      </c>
    </row>
    <row r="515" spans="1:16" x14ac:dyDescent="0.2">
      <c r="A515" t="s">
        <v>2217</v>
      </c>
      <c r="B515" t="s">
        <v>2939</v>
      </c>
      <c r="C515" t="s">
        <v>2900</v>
      </c>
      <c r="D515" t="s">
        <v>2307</v>
      </c>
      <c r="E515">
        <v>98208</v>
      </c>
      <c r="F515" t="s">
        <v>1591</v>
      </c>
      <c r="G515" t="s">
        <v>1969</v>
      </c>
      <c r="H515" t="s">
        <v>4985</v>
      </c>
      <c r="I515">
        <v>47.896690999999997</v>
      </c>
      <c r="J515">
        <v>-122.223375</v>
      </c>
      <c r="K515" t="s">
        <v>3936</v>
      </c>
      <c r="L515" t="s">
        <v>3946</v>
      </c>
      <c r="M515" t="s">
        <v>4906</v>
      </c>
      <c r="P515" t="s">
        <v>2939</v>
      </c>
    </row>
    <row r="516" spans="1:16" x14ac:dyDescent="0.2">
      <c r="A516" t="s">
        <v>2261</v>
      </c>
      <c r="B516" t="s">
        <v>3112</v>
      </c>
      <c r="C516" t="s">
        <v>3113</v>
      </c>
      <c r="D516" t="s">
        <v>2307</v>
      </c>
      <c r="E516">
        <v>98010</v>
      </c>
      <c r="F516" t="s">
        <v>1591</v>
      </c>
      <c r="G516" t="s">
        <v>1969</v>
      </c>
      <c r="H516" t="s">
        <v>5200</v>
      </c>
      <c r="I516">
        <v>47.320002000000002</v>
      </c>
      <c r="J516">
        <v>-122.00584499999999</v>
      </c>
      <c r="K516" t="s">
        <v>3936</v>
      </c>
      <c r="L516" t="s">
        <v>3946</v>
      </c>
      <c r="M516" t="s">
        <v>4906</v>
      </c>
      <c r="P516" t="s">
        <v>5712</v>
      </c>
    </row>
    <row r="517" spans="1:16" x14ac:dyDescent="0.2">
      <c r="A517" t="s">
        <v>2275</v>
      </c>
      <c r="B517" t="s">
        <v>3208</v>
      </c>
      <c r="C517" t="s">
        <v>3162</v>
      </c>
      <c r="D517" t="s">
        <v>2307</v>
      </c>
      <c r="E517">
        <v>98467</v>
      </c>
      <c r="F517" t="s">
        <v>1591</v>
      </c>
      <c r="G517" t="s">
        <v>1969</v>
      </c>
      <c r="H517" t="s">
        <v>4747</v>
      </c>
      <c r="I517">
        <v>47.207205999999999</v>
      </c>
      <c r="J517">
        <v>-122.50549100000001</v>
      </c>
      <c r="K517" t="s">
        <v>3936</v>
      </c>
      <c r="L517" t="s">
        <v>3946</v>
      </c>
      <c r="M517" t="s">
        <v>4906</v>
      </c>
      <c r="P517" t="s">
        <v>3208</v>
      </c>
    </row>
    <row r="518" spans="1:16" x14ac:dyDescent="0.2">
      <c r="A518" t="s">
        <v>1950</v>
      </c>
      <c r="B518" t="s">
        <v>3511</v>
      </c>
      <c r="C518" t="s">
        <v>2754</v>
      </c>
      <c r="D518" t="s">
        <v>2307</v>
      </c>
      <c r="E518">
        <v>98312</v>
      </c>
      <c r="F518" t="s">
        <v>1591</v>
      </c>
      <c r="G518" t="s">
        <v>1969</v>
      </c>
      <c r="H518" t="s">
        <v>5219</v>
      </c>
      <c r="I518">
        <v>47.571451000000003</v>
      </c>
      <c r="J518">
        <v>-122.65989999999999</v>
      </c>
      <c r="K518" t="s">
        <v>3936</v>
      </c>
      <c r="L518" t="s">
        <v>3946</v>
      </c>
      <c r="M518" t="s">
        <v>4907</v>
      </c>
      <c r="P518" t="s">
        <v>3511</v>
      </c>
    </row>
    <row r="519" spans="1:16" x14ac:dyDescent="0.2">
      <c r="A519" t="s">
        <v>1792</v>
      </c>
      <c r="B519" t="s">
        <v>3775</v>
      </c>
      <c r="C519" t="s">
        <v>2900</v>
      </c>
      <c r="D519" t="s">
        <v>2307</v>
      </c>
      <c r="E519">
        <v>98204</v>
      </c>
      <c r="F519" t="s">
        <v>1575</v>
      </c>
      <c r="G519" t="s">
        <v>1971</v>
      </c>
      <c r="H519" t="s">
        <v>5223</v>
      </c>
      <c r="I519">
        <v>47.910463999999997</v>
      </c>
      <c r="J519">
        <v>-122.238597</v>
      </c>
      <c r="K519" t="s">
        <v>3936</v>
      </c>
      <c r="L519" t="s">
        <v>3946</v>
      </c>
      <c r="M519" t="s">
        <v>4907</v>
      </c>
      <c r="P519" t="s">
        <v>3775</v>
      </c>
    </row>
    <row r="520" spans="1:16" x14ac:dyDescent="0.2">
      <c r="A520" t="s">
        <v>1791</v>
      </c>
      <c r="B520" t="s">
        <v>3827</v>
      </c>
      <c r="C520" t="s">
        <v>2900</v>
      </c>
      <c r="D520" t="s">
        <v>2307</v>
      </c>
      <c r="E520">
        <v>98201</v>
      </c>
      <c r="F520" t="s">
        <v>1591</v>
      </c>
      <c r="G520" t="s">
        <v>1969</v>
      </c>
      <c r="H520" t="s">
        <v>5225</v>
      </c>
      <c r="I520">
        <v>47.980524000000003</v>
      </c>
      <c r="J520">
        <v>-122.208468</v>
      </c>
      <c r="K520" t="s">
        <v>3936</v>
      </c>
      <c r="L520" t="s">
        <v>3946</v>
      </c>
      <c r="M520" t="s">
        <v>4907</v>
      </c>
      <c r="P520" t="s">
        <v>3827</v>
      </c>
    </row>
    <row r="521" spans="1:16" x14ac:dyDescent="0.2">
      <c r="A521" t="s">
        <v>1902</v>
      </c>
      <c r="B521" t="s">
        <v>3456</v>
      </c>
      <c r="C521" t="s">
        <v>66</v>
      </c>
      <c r="D521" t="s">
        <v>2307</v>
      </c>
      <c r="E521">
        <v>98121</v>
      </c>
      <c r="F521" t="s">
        <v>1604</v>
      </c>
      <c r="G521" t="s">
        <v>1968</v>
      </c>
      <c r="H521" t="s">
        <v>5508</v>
      </c>
      <c r="I521">
        <v>47.615983</v>
      </c>
      <c r="J521">
        <v>-122.343369</v>
      </c>
      <c r="K521" t="s">
        <v>3936</v>
      </c>
      <c r="L521" t="s">
        <v>3946</v>
      </c>
      <c r="M521" t="s">
        <v>3947</v>
      </c>
      <c r="P521" t="s">
        <v>3456</v>
      </c>
    </row>
    <row r="522" spans="1:16" x14ac:dyDescent="0.2">
      <c r="A522" t="s">
        <v>1912</v>
      </c>
      <c r="B522" t="s">
        <v>3466</v>
      </c>
      <c r="C522" t="s">
        <v>66</v>
      </c>
      <c r="D522" t="s">
        <v>2307</v>
      </c>
      <c r="E522">
        <v>98104</v>
      </c>
      <c r="F522" t="s">
        <v>1604</v>
      </c>
      <c r="G522" t="s">
        <v>1979</v>
      </c>
      <c r="H522" t="s">
        <v>4014</v>
      </c>
      <c r="I522">
        <v>47.602684000000004</v>
      </c>
      <c r="J522">
        <v>-122.334236</v>
      </c>
      <c r="K522" t="s">
        <v>3936</v>
      </c>
      <c r="L522" t="s">
        <v>3946</v>
      </c>
      <c r="M522" t="s">
        <v>3947</v>
      </c>
      <c r="P522" t="s">
        <v>3466</v>
      </c>
    </row>
    <row r="523" spans="1:16" x14ac:dyDescent="0.2">
      <c r="A523" t="s">
        <v>1657</v>
      </c>
      <c r="B523" t="s">
        <v>6239</v>
      </c>
      <c r="C523" t="s">
        <v>2502</v>
      </c>
      <c r="D523" t="s">
        <v>2307</v>
      </c>
      <c r="E523">
        <v>98004</v>
      </c>
      <c r="F523" t="s">
        <v>1573</v>
      </c>
      <c r="G523" t="s">
        <v>1979</v>
      </c>
      <c r="H523" t="s">
        <v>5567</v>
      </c>
      <c r="I523">
        <v>47.619371000000001</v>
      </c>
      <c r="J523">
        <v>-122.193562</v>
      </c>
      <c r="K523" t="s">
        <v>3936</v>
      </c>
      <c r="L523" t="s">
        <v>3946</v>
      </c>
      <c r="M523" t="s">
        <v>3947</v>
      </c>
      <c r="P523" t="s">
        <v>6051</v>
      </c>
    </row>
    <row r="524" spans="1:16" x14ac:dyDescent="0.2">
      <c r="A524" t="s">
        <v>1936</v>
      </c>
      <c r="B524" t="s">
        <v>3496</v>
      </c>
      <c r="C524" t="s">
        <v>2581</v>
      </c>
      <c r="D524" t="s">
        <v>2307</v>
      </c>
      <c r="E524">
        <v>98166</v>
      </c>
      <c r="F524" t="s">
        <v>1604</v>
      </c>
      <c r="G524" t="s">
        <v>1985</v>
      </c>
      <c r="H524" t="s">
        <v>4975</v>
      </c>
      <c r="I524">
        <v>47.466661999999999</v>
      </c>
      <c r="J524">
        <v>-122.343018</v>
      </c>
      <c r="K524" t="s">
        <v>3936</v>
      </c>
      <c r="L524" t="s">
        <v>3946</v>
      </c>
      <c r="M524" t="s">
        <v>3947</v>
      </c>
      <c r="P524" t="s">
        <v>3496</v>
      </c>
    </row>
    <row r="525" spans="1:16" x14ac:dyDescent="0.2">
      <c r="A525" t="s">
        <v>1954</v>
      </c>
      <c r="B525" t="s">
        <v>5043</v>
      </c>
      <c r="C525" t="s">
        <v>2900</v>
      </c>
      <c r="D525" t="s">
        <v>2307</v>
      </c>
      <c r="E525">
        <v>98208</v>
      </c>
      <c r="F525" t="s">
        <v>1575</v>
      </c>
      <c r="G525" t="s">
        <v>1968</v>
      </c>
      <c r="H525" t="s">
        <v>3989</v>
      </c>
      <c r="I525">
        <v>47.927483000000002</v>
      </c>
      <c r="J525">
        <v>-122.22277699999999</v>
      </c>
      <c r="K525" t="s">
        <v>3936</v>
      </c>
      <c r="L525" t="s">
        <v>3946</v>
      </c>
      <c r="M525" t="s">
        <v>3947</v>
      </c>
      <c r="P525" t="s">
        <v>5043</v>
      </c>
    </row>
    <row r="526" spans="1:16" x14ac:dyDescent="0.2">
      <c r="A526" t="s">
        <v>1957</v>
      </c>
      <c r="B526" t="s">
        <v>3520</v>
      </c>
      <c r="C526" t="s">
        <v>2995</v>
      </c>
      <c r="D526" t="s">
        <v>2307</v>
      </c>
      <c r="E526">
        <v>98272</v>
      </c>
      <c r="F526" t="s">
        <v>1958</v>
      </c>
      <c r="G526" t="s">
        <v>1982</v>
      </c>
      <c r="H526" t="s">
        <v>4028</v>
      </c>
      <c r="I526">
        <v>47.869774</v>
      </c>
      <c r="J526">
        <v>-122.009602</v>
      </c>
      <c r="K526" t="s">
        <v>3936</v>
      </c>
      <c r="L526" t="s">
        <v>3946</v>
      </c>
      <c r="M526" t="s">
        <v>3947</v>
      </c>
      <c r="P526" t="s">
        <v>3520</v>
      </c>
    </row>
    <row r="527" spans="1:16" x14ac:dyDescent="0.2">
      <c r="A527" t="s">
        <v>1965</v>
      </c>
      <c r="B527" t="s">
        <v>3530</v>
      </c>
      <c r="C527" t="s">
        <v>3361</v>
      </c>
      <c r="D527" t="s">
        <v>2307</v>
      </c>
      <c r="E527">
        <v>98338</v>
      </c>
      <c r="F527" t="s">
        <v>1583</v>
      </c>
      <c r="G527" t="s">
        <v>1980</v>
      </c>
      <c r="H527" t="s">
        <v>4000</v>
      </c>
      <c r="I527">
        <v>47.077461999999997</v>
      </c>
      <c r="J527">
        <v>-122.293561</v>
      </c>
      <c r="K527" t="s">
        <v>3936</v>
      </c>
      <c r="L527" t="s">
        <v>3946</v>
      </c>
      <c r="M527" t="s">
        <v>3947</v>
      </c>
      <c r="P527" t="s">
        <v>5685</v>
      </c>
    </row>
    <row r="528" spans="1:16" x14ac:dyDescent="0.2">
      <c r="A528" t="s">
        <v>1966</v>
      </c>
      <c r="B528" t="s">
        <v>6219</v>
      </c>
      <c r="C528" t="s">
        <v>3383</v>
      </c>
      <c r="D528" t="s">
        <v>2307</v>
      </c>
      <c r="E528">
        <v>98516</v>
      </c>
      <c r="F528" t="s">
        <v>1583</v>
      </c>
      <c r="G528" t="s">
        <v>1980</v>
      </c>
      <c r="H528" t="s">
        <v>4001</v>
      </c>
      <c r="I528">
        <v>47.061703999999999</v>
      </c>
      <c r="J528">
        <v>-122.740442</v>
      </c>
      <c r="K528" t="s">
        <v>3936</v>
      </c>
      <c r="L528" t="s">
        <v>3946</v>
      </c>
      <c r="M528" t="s">
        <v>3947</v>
      </c>
      <c r="P528" t="s">
        <v>6020</v>
      </c>
    </row>
    <row r="529" spans="1:16" x14ac:dyDescent="0.2">
      <c r="A529" t="s">
        <v>1586</v>
      </c>
      <c r="B529" t="s">
        <v>3536</v>
      </c>
      <c r="C529" t="s">
        <v>66</v>
      </c>
      <c r="D529" t="s">
        <v>2307</v>
      </c>
      <c r="E529">
        <v>98122</v>
      </c>
      <c r="F529" t="s">
        <v>1587</v>
      </c>
      <c r="G529" t="s">
        <v>1973</v>
      </c>
      <c r="H529" t="s">
        <v>4039</v>
      </c>
      <c r="I529">
        <v>47.614221999999998</v>
      </c>
      <c r="J529">
        <v>-122.323041</v>
      </c>
      <c r="K529" t="s">
        <v>3936</v>
      </c>
      <c r="L529" t="s">
        <v>3946</v>
      </c>
      <c r="M529" t="s">
        <v>3948</v>
      </c>
      <c r="P529" t="s">
        <v>3536</v>
      </c>
    </row>
    <row r="530" spans="1:16" x14ac:dyDescent="0.2">
      <c r="A530" t="s">
        <v>1596</v>
      </c>
      <c r="B530" t="s">
        <v>3544</v>
      </c>
      <c r="C530" t="s">
        <v>66</v>
      </c>
      <c r="D530" t="s">
        <v>2307</v>
      </c>
      <c r="E530">
        <v>98103</v>
      </c>
      <c r="F530" t="s">
        <v>1591</v>
      </c>
      <c r="G530" t="s">
        <v>1969</v>
      </c>
      <c r="H530" t="s">
        <v>5510</v>
      </c>
      <c r="I530">
        <v>47.653616999999997</v>
      </c>
      <c r="J530">
        <v>-122.359437</v>
      </c>
      <c r="K530" t="s">
        <v>3936</v>
      </c>
      <c r="L530" t="s">
        <v>3946</v>
      </c>
      <c r="M530" t="s">
        <v>3948</v>
      </c>
      <c r="P530" t="s">
        <v>3544</v>
      </c>
    </row>
    <row r="531" spans="1:16" x14ac:dyDescent="0.2">
      <c r="A531" t="s">
        <v>1603</v>
      </c>
      <c r="B531" t="s">
        <v>3550</v>
      </c>
      <c r="C531" t="s">
        <v>66</v>
      </c>
      <c r="D531" t="s">
        <v>2307</v>
      </c>
      <c r="E531">
        <v>98103</v>
      </c>
      <c r="F531" t="s">
        <v>1583</v>
      </c>
      <c r="G531" t="s">
        <v>1980</v>
      </c>
      <c r="H531" t="s">
        <v>4943</v>
      </c>
      <c r="I531">
        <v>47.661580000000001</v>
      </c>
      <c r="J531">
        <v>-122.334625</v>
      </c>
      <c r="K531" t="s">
        <v>3936</v>
      </c>
      <c r="L531" t="s">
        <v>3946</v>
      </c>
      <c r="M531" t="s">
        <v>3948</v>
      </c>
      <c r="P531" t="s">
        <v>3550</v>
      </c>
    </row>
    <row r="532" spans="1:16" x14ac:dyDescent="0.2">
      <c r="A532" t="s">
        <v>1572</v>
      </c>
      <c r="B532" t="s">
        <v>6240</v>
      </c>
      <c r="C532" t="s">
        <v>66</v>
      </c>
      <c r="D532" t="s">
        <v>2307</v>
      </c>
      <c r="E532">
        <v>98105</v>
      </c>
      <c r="F532" t="s">
        <v>1573</v>
      </c>
      <c r="G532" t="s">
        <v>1973</v>
      </c>
      <c r="H532" t="s">
        <v>4049</v>
      </c>
      <c r="I532">
        <v>47.665685000000003</v>
      </c>
      <c r="J532">
        <v>-122.30086300000001</v>
      </c>
      <c r="K532" t="s">
        <v>3936</v>
      </c>
      <c r="L532" t="s">
        <v>3946</v>
      </c>
      <c r="M532" t="s">
        <v>3948</v>
      </c>
      <c r="P532" t="s">
        <v>6064</v>
      </c>
    </row>
    <row r="533" spans="1:16" x14ac:dyDescent="0.2">
      <c r="A533" t="s">
        <v>1619</v>
      </c>
      <c r="B533" t="s">
        <v>3566</v>
      </c>
      <c r="C533" t="s">
        <v>66</v>
      </c>
      <c r="D533" t="s">
        <v>2307</v>
      </c>
      <c r="E533">
        <v>98107</v>
      </c>
      <c r="F533" t="s">
        <v>1620</v>
      </c>
      <c r="G533" t="s">
        <v>1973</v>
      </c>
      <c r="H533" t="s">
        <v>4947</v>
      </c>
      <c r="I533">
        <v>47.671764000000003</v>
      </c>
      <c r="J533">
        <v>-122.376361</v>
      </c>
      <c r="K533" t="s">
        <v>3936</v>
      </c>
      <c r="L533" t="s">
        <v>3946</v>
      </c>
      <c r="M533" t="s">
        <v>3948</v>
      </c>
      <c r="P533" t="s">
        <v>3566</v>
      </c>
    </row>
    <row r="534" spans="1:16" x14ac:dyDescent="0.2">
      <c r="A534" t="s">
        <v>1572</v>
      </c>
      <c r="B534" t="s">
        <v>3568</v>
      </c>
      <c r="C534" t="s">
        <v>66</v>
      </c>
      <c r="D534" t="s">
        <v>2307</v>
      </c>
      <c r="E534">
        <v>98107</v>
      </c>
      <c r="F534" t="s">
        <v>1573</v>
      </c>
      <c r="G534" t="s">
        <v>1973</v>
      </c>
      <c r="H534" t="s">
        <v>4051</v>
      </c>
      <c r="I534">
        <v>47.668557999999997</v>
      </c>
      <c r="J534">
        <v>-122.386584</v>
      </c>
      <c r="K534" t="s">
        <v>3936</v>
      </c>
      <c r="L534" t="s">
        <v>3946</v>
      </c>
      <c r="M534" t="s">
        <v>3948</v>
      </c>
      <c r="P534" t="s">
        <v>3568</v>
      </c>
    </row>
    <row r="535" spans="1:16" x14ac:dyDescent="0.2">
      <c r="A535" t="s">
        <v>1628</v>
      </c>
      <c r="B535" t="s">
        <v>3575</v>
      </c>
      <c r="C535" t="s">
        <v>66</v>
      </c>
      <c r="D535" t="s">
        <v>2307</v>
      </c>
      <c r="E535">
        <v>98115</v>
      </c>
      <c r="F535" t="s">
        <v>1602</v>
      </c>
      <c r="G535" t="s">
        <v>1989</v>
      </c>
      <c r="H535" t="s">
        <v>4055</v>
      </c>
      <c r="I535">
        <v>47.687047</v>
      </c>
      <c r="J535">
        <v>-122.313149</v>
      </c>
      <c r="K535" t="s">
        <v>3936</v>
      </c>
      <c r="L535" t="s">
        <v>3946</v>
      </c>
      <c r="M535" t="s">
        <v>3948</v>
      </c>
      <c r="P535" t="s">
        <v>3575</v>
      </c>
    </row>
    <row r="536" spans="1:16" x14ac:dyDescent="0.2">
      <c r="A536" t="s">
        <v>1635</v>
      </c>
      <c r="B536" t="s">
        <v>3583</v>
      </c>
      <c r="C536" t="s">
        <v>66</v>
      </c>
      <c r="D536" t="s">
        <v>2307</v>
      </c>
      <c r="E536">
        <v>98116</v>
      </c>
      <c r="F536" t="s">
        <v>1587</v>
      </c>
      <c r="G536" t="s">
        <v>1973</v>
      </c>
      <c r="H536" t="s">
        <v>5374</v>
      </c>
      <c r="I536">
        <v>47.560963000000001</v>
      </c>
      <c r="J536">
        <v>-122.38561199999999</v>
      </c>
      <c r="K536" t="s">
        <v>3936</v>
      </c>
      <c r="L536" t="s">
        <v>3946</v>
      </c>
      <c r="M536" t="s">
        <v>3948</v>
      </c>
      <c r="P536" t="s">
        <v>3583</v>
      </c>
    </row>
    <row r="537" spans="1:16" x14ac:dyDescent="0.2">
      <c r="A537" t="s">
        <v>1643</v>
      </c>
      <c r="B537" t="s">
        <v>3589</v>
      </c>
      <c r="C537" t="s">
        <v>66</v>
      </c>
      <c r="D537" t="s">
        <v>2307</v>
      </c>
      <c r="E537">
        <v>98125</v>
      </c>
      <c r="F537" t="s">
        <v>1575</v>
      </c>
      <c r="G537" t="s">
        <v>1989</v>
      </c>
      <c r="H537" t="s">
        <v>5502</v>
      </c>
      <c r="I537">
        <v>47.708469999999998</v>
      </c>
      <c r="J537">
        <v>-122.322199</v>
      </c>
      <c r="K537" t="s">
        <v>3936</v>
      </c>
      <c r="L537" t="s">
        <v>3946</v>
      </c>
      <c r="M537" t="s">
        <v>3948</v>
      </c>
      <c r="P537" t="s">
        <v>3589</v>
      </c>
    </row>
    <row r="538" spans="1:16" x14ac:dyDescent="0.2">
      <c r="A538" t="s">
        <v>1657</v>
      </c>
      <c r="B538" t="s">
        <v>6239</v>
      </c>
      <c r="C538" t="s">
        <v>2502</v>
      </c>
      <c r="D538" t="s">
        <v>2307</v>
      </c>
      <c r="E538">
        <v>98004</v>
      </c>
      <c r="F538" t="s">
        <v>1658</v>
      </c>
      <c r="G538" t="s">
        <v>1979</v>
      </c>
      <c r="H538" t="s">
        <v>5494</v>
      </c>
      <c r="I538">
        <v>47.619371000000001</v>
      </c>
      <c r="J538">
        <v>-122.193562</v>
      </c>
      <c r="K538" t="s">
        <v>3936</v>
      </c>
      <c r="L538" t="s">
        <v>3946</v>
      </c>
      <c r="M538" t="s">
        <v>3948</v>
      </c>
      <c r="P538" t="s">
        <v>6051</v>
      </c>
    </row>
    <row r="539" spans="1:16" x14ac:dyDescent="0.2">
      <c r="A539" t="s">
        <v>1661</v>
      </c>
      <c r="B539" t="s">
        <v>3608</v>
      </c>
      <c r="C539" t="s">
        <v>66</v>
      </c>
      <c r="D539" t="s">
        <v>2307</v>
      </c>
      <c r="E539">
        <v>98118</v>
      </c>
      <c r="F539" t="s">
        <v>1583</v>
      </c>
      <c r="G539" t="s">
        <v>1980</v>
      </c>
      <c r="H539" t="s">
        <v>4068</v>
      </c>
      <c r="I539">
        <v>47.536929999999998</v>
      </c>
      <c r="J539">
        <v>-122.270205</v>
      </c>
      <c r="K539" t="s">
        <v>3936</v>
      </c>
      <c r="L539" t="s">
        <v>3946</v>
      </c>
      <c r="M539" t="s">
        <v>3948</v>
      </c>
      <c r="P539" t="s">
        <v>3608</v>
      </c>
    </row>
    <row r="540" spans="1:16" x14ac:dyDescent="0.2">
      <c r="A540" t="s">
        <v>1676</v>
      </c>
      <c r="B540" t="s">
        <v>3624</v>
      </c>
      <c r="C540" t="s">
        <v>2506</v>
      </c>
      <c r="D540" t="s">
        <v>2307</v>
      </c>
      <c r="E540">
        <v>98033</v>
      </c>
      <c r="F540" t="s">
        <v>1575</v>
      </c>
      <c r="G540" t="s">
        <v>1973</v>
      </c>
      <c r="H540" t="s">
        <v>5383</v>
      </c>
      <c r="I540">
        <v>47.669260000000001</v>
      </c>
      <c r="J540">
        <v>-122.185149</v>
      </c>
      <c r="K540" t="s">
        <v>3936</v>
      </c>
      <c r="L540" t="s">
        <v>3946</v>
      </c>
      <c r="M540" t="s">
        <v>3948</v>
      </c>
      <c r="P540" t="s">
        <v>3624</v>
      </c>
    </row>
    <row r="541" spans="1:16" x14ac:dyDescent="0.2">
      <c r="A541" t="s">
        <v>1712</v>
      </c>
      <c r="B541" t="s">
        <v>3660</v>
      </c>
      <c r="C541" t="s">
        <v>2597</v>
      </c>
      <c r="D541" t="s">
        <v>2307</v>
      </c>
      <c r="E541">
        <v>98056</v>
      </c>
      <c r="F541" t="s">
        <v>1587</v>
      </c>
      <c r="G541" t="s">
        <v>1982</v>
      </c>
      <c r="H541" t="s">
        <v>5393</v>
      </c>
      <c r="I541">
        <v>47.504738000000003</v>
      </c>
      <c r="J541">
        <v>-122.176059</v>
      </c>
      <c r="K541" t="s">
        <v>3936</v>
      </c>
      <c r="L541" t="s">
        <v>3946</v>
      </c>
      <c r="M541" t="s">
        <v>3948</v>
      </c>
      <c r="P541" t="s">
        <v>3660</v>
      </c>
    </row>
    <row r="542" spans="1:16" x14ac:dyDescent="0.2">
      <c r="A542" t="s">
        <v>1667</v>
      </c>
      <c r="B542" t="s">
        <v>3678</v>
      </c>
      <c r="C542" t="s">
        <v>2597</v>
      </c>
      <c r="D542" t="s">
        <v>2307</v>
      </c>
      <c r="E542">
        <v>98057</v>
      </c>
      <c r="F542" t="s">
        <v>1658</v>
      </c>
      <c r="G542" t="s">
        <v>1994</v>
      </c>
      <c r="H542" t="s">
        <v>4102</v>
      </c>
      <c r="I542">
        <v>47.482984999999999</v>
      </c>
      <c r="J542">
        <v>-122.194902</v>
      </c>
      <c r="K542" t="s">
        <v>3936</v>
      </c>
      <c r="L542" t="s">
        <v>3946</v>
      </c>
      <c r="M542" t="s">
        <v>3948</v>
      </c>
      <c r="P542" t="s">
        <v>3678</v>
      </c>
    </row>
    <row r="543" spans="1:16" x14ac:dyDescent="0.2">
      <c r="A543" t="s">
        <v>1667</v>
      </c>
      <c r="B543" t="s">
        <v>3701</v>
      </c>
      <c r="C543" t="s">
        <v>2754</v>
      </c>
      <c r="D543" t="s">
        <v>2307</v>
      </c>
      <c r="E543">
        <v>98310</v>
      </c>
      <c r="F543" t="s">
        <v>1658</v>
      </c>
      <c r="G543" t="s">
        <v>1994</v>
      </c>
      <c r="H543" t="s">
        <v>4113</v>
      </c>
      <c r="I543">
        <v>47.603710999999997</v>
      </c>
      <c r="J543">
        <v>-122.62888700000001</v>
      </c>
      <c r="K543" t="s">
        <v>3936</v>
      </c>
      <c r="L543" t="s">
        <v>3946</v>
      </c>
      <c r="M543" t="s">
        <v>3948</v>
      </c>
      <c r="P543" t="s">
        <v>3701</v>
      </c>
    </row>
    <row r="544" spans="1:16" x14ac:dyDescent="0.2">
      <c r="A544" t="s">
        <v>1753</v>
      </c>
      <c r="B544" t="s">
        <v>3718</v>
      </c>
      <c r="C544" t="s">
        <v>2783</v>
      </c>
      <c r="D544" t="s">
        <v>2307</v>
      </c>
      <c r="E544">
        <v>98075</v>
      </c>
      <c r="F544" t="s">
        <v>1573</v>
      </c>
      <c r="G544" t="s">
        <v>1982</v>
      </c>
      <c r="H544" t="s">
        <v>5217</v>
      </c>
      <c r="I544">
        <v>47.581251000000002</v>
      </c>
      <c r="J544">
        <v>-122.032208</v>
      </c>
      <c r="K544" t="s">
        <v>3936</v>
      </c>
      <c r="L544" t="s">
        <v>3946</v>
      </c>
      <c r="M544" t="s">
        <v>3948</v>
      </c>
      <c r="P544" t="s">
        <v>5718</v>
      </c>
    </row>
    <row r="545" spans="1:16" x14ac:dyDescent="0.2">
      <c r="A545" t="s">
        <v>1686</v>
      </c>
      <c r="B545" t="s">
        <v>3719</v>
      </c>
      <c r="C545" t="s">
        <v>2785</v>
      </c>
      <c r="D545" t="s">
        <v>2307</v>
      </c>
      <c r="E545">
        <v>98027</v>
      </c>
      <c r="F545" t="s">
        <v>1573</v>
      </c>
      <c r="G545" t="s">
        <v>2001</v>
      </c>
      <c r="H545" t="s">
        <v>5236</v>
      </c>
      <c r="I545">
        <v>47.544192000000002</v>
      </c>
      <c r="J545">
        <v>-122.049048</v>
      </c>
      <c r="K545" t="s">
        <v>3936</v>
      </c>
      <c r="L545" t="s">
        <v>3946</v>
      </c>
      <c r="M545" t="s">
        <v>3948</v>
      </c>
      <c r="P545" t="s">
        <v>3719</v>
      </c>
    </row>
    <row r="546" spans="1:16" x14ac:dyDescent="0.2">
      <c r="A546" t="s">
        <v>6231</v>
      </c>
      <c r="B546" t="s">
        <v>3723</v>
      </c>
      <c r="C546" t="s">
        <v>2754</v>
      </c>
      <c r="D546" t="s">
        <v>2307</v>
      </c>
      <c r="E546">
        <v>98312</v>
      </c>
      <c r="F546" t="s">
        <v>1583</v>
      </c>
      <c r="G546" t="s">
        <v>1980</v>
      </c>
      <c r="H546" t="s">
        <v>5406</v>
      </c>
      <c r="I546">
        <v>47.566315000000003</v>
      </c>
      <c r="J546">
        <v>-122.65352</v>
      </c>
      <c r="K546" t="s">
        <v>3936</v>
      </c>
      <c r="L546" t="s">
        <v>3946</v>
      </c>
      <c r="M546" t="s">
        <v>3948</v>
      </c>
      <c r="P546" t="s">
        <v>3723</v>
      </c>
    </row>
    <row r="547" spans="1:16" x14ac:dyDescent="0.2">
      <c r="A547" t="s">
        <v>5115</v>
      </c>
      <c r="B547" t="s">
        <v>5116</v>
      </c>
      <c r="C547" t="s">
        <v>2900</v>
      </c>
      <c r="D547" t="s">
        <v>2307</v>
      </c>
      <c r="E547">
        <v>98203</v>
      </c>
      <c r="F547" t="s">
        <v>1620</v>
      </c>
      <c r="G547" t="s">
        <v>1973</v>
      </c>
      <c r="H547" t="s">
        <v>5117</v>
      </c>
      <c r="I547">
        <v>47.937043000000003</v>
      </c>
      <c r="J547">
        <v>-122.219059</v>
      </c>
      <c r="K547" t="s">
        <v>3936</v>
      </c>
      <c r="L547" t="s">
        <v>3946</v>
      </c>
      <c r="M547" t="s">
        <v>4888</v>
      </c>
      <c r="P547" t="s">
        <v>5116</v>
      </c>
    </row>
    <row r="548" spans="1:16" x14ac:dyDescent="0.2">
      <c r="A548" t="s">
        <v>1805</v>
      </c>
      <c r="B548" t="s">
        <v>3796</v>
      </c>
      <c r="C548" t="s">
        <v>2961</v>
      </c>
      <c r="D548" t="s">
        <v>2307</v>
      </c>
      <c r="E548">
        <v>98002</v>
      </c>
      <c r="F548" t="s">
        <v>1587</v>
      </c>
      <c r="G548" t="s">
        <v>1973</v>
      </c>
      <c r="H548" t="s">
        <v>5420</v>
      </c>
      <c r="I548">
        <v>47.320976000000002</v>
      </c>
      <c r="J548">
        <v>-122.22588399999999</v>
      </c>
      <c r="K548" t="s">
        <v>3936</v>
      </c>
      <c r="L548" t="s">
        <v>3946</v>
      </c>
      <c r="M548" t="s">
        <v>4888</v>
      </c>
      <c r="P548" t="s">
        <v>3796</v>
      </c>
    </row>
    <row r="549" spans="1:16" x14ac:dyDescent="0.2">
      <c r="A549" t="s">
        <v>1956</v>
      </c>
      <c r="B549" t="s">
        <v>3519</v>
      </c>
      <c r="C549" t="s">
        <v>2914</v>
      </c>
      <c r="D549" t="s">
        <v>2307</v>
      </c>
      <c r="E549">
        <v>98275</v>
      </c>
      <c r="F549" t="s">
        <v>1573</v>
      </c>
      <c r="G549" t="s">
        <v>1974</v>
      </c>
      <c r="H549" t="s">
        <v>4027</v>
      </c>
      <c r="I549">
        <v>47.948946999999997</v>
      </c>
      <c r="J549">
        <v>-122.303956</v>
      </c>
      <c r="K549" t="s">
        <v>3936</v>
      </c>
      <c r="L549" t="s">
        <v>3946</v>
      </c>
      <c r="M549" t="s">
        <v>4888</v>
      </c>
      <c r="P549" t="s">
        <v>3519</v>
      </c>
    </row>
    <row r="550" spans="1:16" x14ac:dyDescent="0.2">
      <c r="A550" t="s">
        <v>1597</v>
      </c>
      <c r="B550" t="s">
        <v>3798</v>
      </c>
      <c r="C550" t="s">
        <v>2914</v>
      </c>
      <c r="D550" t="s">
        <v>2307</v>
      </c>
      <c r="E550">
        <v>98275</v>
      </c>
      <c r="F550" t="s">
        <v>1573</v>
      </c>
      <c r="G550" t="s">
        <v>1990</v>
      </c>
      <c r="H550" t="s">
        <v>5316</v>
      </c>
      <c r="I550">
        <v>47.948946999999997</v>
      </c>
      <c r="J550">
        <v>-122.303956</v>
      </c>
      <c r="K550" t="s">
        <v>3936</v>
      </c>
      <c r="L550" t="s">
        <v>3946</v>
      </c>
      <c r="M550" t="s">
        <v>4888</v>
      </c>
      <c r="P550" t="s">
        <v>3798</v>
      </c>
    </row>
    <row r="551" spans="1:16" x14ac:dyDescent="0.2">
      <c r="A551" t="s">
        <v>1704</v>
      </c>
      <c r="B551" t="s">
        <v>2992</v>
      </c>
      <c r="C551" t="s">
        <v>2961</v>
      </c>
      <c r="D551" t="s">
        <v>2307</v>
      </c>
      <c r="E551">
        <v>98002</v>
      </c>
      <c r="F551" t="s">
        <v>1600</v>
      </c>
      <c r="G551" t="s">
        <v>1998</v>
      </c>
      <c r="H551" t="s">
        <v>5022</v>
      </c>
      <c r="I551">
        <v>47.318694000000001</v>
      </c>
      <c r="J551">
        <v>-122.221304</v>
      </c>
      <c r="K551" t="s">
        <v>3936</v>
      </c>
      <c r="L551" t="s">
        <v>3946</v>
      </c>
      <c r="M551" t="s">
        <v>4888</v>
      </c>
      <c r="P551" t="s">
        <v>2992</v>
      </c>
    </row>
    <row r="552" spans="1:16" x14ac:dyDescent="0.2">
      <c r="A552" t="s">
        <v>2228</v>
      </c>
      <c r="B552" t="s">
        <v>2992</v>
      </c>
      <c r="C552" t="s">
        <v>2961</v>
      </c>
      <c r="D552" t="s">
        <v>2307</v>
      </c>
      <c r="E552">
        <v>98002</v>
      </c>
      <c r="F552" t="s">
        <v>1600</v>
      </c>
      <c r="G552" t="s">
        <v>5421</v>
      </c>
      <c r="H552" t="s">
        <v>5118</v>
      </c>
      <c r="I552">
        <v>47.318694000000001</v>
      </c>
      <c r="J552">
        <v>-122.221304</v>
      </c>
      <c r="K552" t="s">
        <v>3936</v>
      </c>
      <c r="L552" t="s">
        <v>3946</v>
      </c>
      <c r="M552" t="s">
        <v>4888</v>
      </c>
      <c r="P552" t="s">
        <v>2992</v>
      </c>
    </row>
    <row r="553" spans="1:16" x14ac:dyDescent="0.2">
      <c r="A553" t="s">
        <v>1806</v>
      </c>
      <c r="B553" t="s">
        <v>3799</v>
      </c>
      <c r="C553" t="s">
        <v>2997</v>
      </c>
      <c r="D553" t="s">
        <v>2307</v>
      </c>
      <c r="E553">
        <v>98332</v>
      </c>
      <c r="F553" t="s">
        <v>1583</v>
      </c>
      <c r="G553" t="s">
        <v>1980</v>
      </c>
      <c r="H553" t="s">
        <v>4156</v>
      </c>
      <c r="I553">
        <v>47.359969999999997</v>
      </c>
      <c r="J553">
        <v>-122.602819</v>
      </c>
      <c r="K553" t="s">
        <v>3936</v>
      </c>
      <c r="L553" t="s">
        <v>3946</v>
      </c>
      <c r="M553" t="s">
        <v>4888</v>
      </c>
      <c r="P553" t="s">
        <v>6008</v>
      </c>
    </row>
    <row r="554" spans="1:16" x14ac:dyDescent="0.2">
      <c r="A554" t="s">
        <v>2229</v>
      </c>
      <c r="B554" t="s">
        <v>2994</v>
      </c>
      <c r="C554" t="s">
        <v>2995</v>
      </c>
      <c r="D554" t="s">
        <v>2307</v>
      </c>
      <c r="E554">
        <v>98272</v>
      </c>
      <c r="F554" t="s">
        <v>1600</v>
      </c>
      <c r="G554" t="s">
        <v>2107</v>
      </c>
      <c r="H554" t="s">
        <v>5805</v>
      </c>
      <c r="I554">
        <v>47.862470000000002</v>
      </c>
      <c r="J554">
        <v>-122.009479</v>
      </c>
      <c r="K554" t="s">
        <v>3936</v>
      </c>
      <c r="L554" t="s">
        <v>3946</v>
      </c>
      <c r="M554" t="s">
        <v>4888</v>
      </c>
      <c r="P554" t="s">
        <v>5672</v>
      </c>
    </row>
    <row r="555" spans="1:16" x14ac:dyDescent="0.2">
      <c r="A555" t="s">
        <v>2230</v>
      </c>
      <c r="B555" t="s">
        <v>6241</v>
      </c>
      <c r="C555" t="s">
        <v>2995</v>
      </c>
      <c r="D555" t="s">
        <v>2307</v>
      </c>
      <c r="E555">
        <v>98272</v>
      </c>
      <c r="F555" t="s">
        <v>1583</v>
      </c>
      <c r="G555" t="s">
        <v>1980</v>
      </c>
      <c r="H555" t="s">
        <v>5422</v>
      </c>
      <c r="I555">
        <v>47.862470000000002</v>
      </c>
      <c r="J555">
        <v>-122.009479</v>
      </c>
      <c r="K555" t="s">
        <v>3936</v>
      </c>
      <c r="L555" t="s">
        <v>3946</v>
      </c>
      <c r="M555" t="s">
        <v>4888</v>
      </c>
      <c r="P555" t="s">
        <v>6039</v>
      </c>
    </row>
    <row r="556" spans="1:16" x14ac:dyDescent="0.2">
      <c r="A556" t="s">
        <v>2231</v>
      </c>
      <c r="B556" t="s">
        <v>2999</v>
      </c>
      <c r="C556" t="s">
        <v>2888</v>
      </c>
      <c r="D556" t="s">
        <v>2307</v>
      </c>
      <c r="E556">
        <v>98290</v>
      </c>
      <c r="F556" t="s">
        <v>1591</v>
      </c>
      <c r="G556" t="s">
        <v>1969</v>
      </c>
      <c r="H556" t="s">
        <v>5423</v>
      </c>
      <c r="I556">
        <v>47.911645</v>
      </c>
      <c r="J556">
        <v>-122.098798</v>
      </c>
      <c r="K556" t="s">
        <v>3936</v>
      </c>
      <c r="L556" t="s">
        <v>3946</v>
      </c>
      <c r="M556" t="s">
        <v>4888</v>
      </c>
      <c r="P556" t="s">
        <v>2999</v>
      </c>
    </row>
    <row r="557" spans="1:16" x14ac:dyDescent="0.2">
      <c r="A557" t="s">
        <v>2232</v>
      </c>
      <c r="B557" t="s">
        <v>3000</v>
      </c>
      <c r="C557" t="s">
        <v>2900</v>
      </c>
      <c r="D557" t="s">
        <v>2307</v>
      </c>
      <c r="E557">
        <v>98203</v>
      </c>
      <c r="F557" t="s">
        <v>1716</v>
      </c>
      <c r="G557" t="s">
        <v>2005</v>
      </c>
      <c r="H557" t="s">
        <v>4640</v>
      </c>
      <c r="I557">
        <v>47.944164000000001</v>
      </c>
      <c r="J557">
        <v>-122.216675</v>
      </c>
      <c r="K557" t="s">
        <v>3936</v>
      </c>
      <c r="L557" t="s">
        <v>3946</v>
      </c>
      <c r="M557" t="s">
        <v>4888</v>
      </c>
      <c r="P557" t="s">
        <v>3000</v>
      </c>
    </row>
    <row r="558" spans="1:16" x14ac:dyDescent="0.2">
      <c r="A558" t="s">
        <v>2235</v>
      </c>
      <c r="B558" t="s">
        <v>3003</v>
      </c>
      <c r="C558" t="s">
        <v>2888</v>
      </c>
      <c r="D558" t="s">
        <v>2307</v>
      </c>
      <c r="E558">
        <v>98290</v>
      </c>
      <c r="F558" t="s">
        <v>1600</v>
      </c>
      <c r="G558" t="s">
        <v>1986</v>
      </c>
      <c r="H558" t="s">
        <v>5424</v>
      </c>
      <c r="I558">
        <v>47.911265</v>
      </c>
      <c r="J558">
        <v>-122.094674</v>
      </c>
      <c r="K558" t="s">
        <v>3936</v>
      </c>
      <c r="L558" t="s">
        <v>3946</v>
      </c>
      <c r="M558" t="s">
        <v>4888</v>
      </c>
      <c r="P558" t="s">
        <v>3003</v>
      </c>
    </row>
    <row r="559" spans="1:16" x14ac:dyDescent="0.2">
      <c r="A559" t="s">
        <v>2236</v>
      </c>
      <c r="B559" t="s">
        <v>6242</v>
      </c>
      <c r="C559" t="s">
        <v>2961</v>
      </c>
      <c r="D559" t="s">
        <v>2307</v>
      </c>
      <c r="E559">
        <v>98002</v>
      </c>
      <c r="F559" t="s">
        <v>2039</v>
      </c>
      <c r="G559" t="s">
        <v>2005</v>
      </c>
      <c r="H559" t="s">
        <v>5119</v>
      </c>
      <c r="I559">
        <v>47.314545000000003</v>
      </c>
      <c r="J559">
        <v>-122.21376600000001</v>
      </c>
      <c r="K559" t="s">
        <v>3936</v>
      </c>
      <c r="L559" t="s">
        <v>3946</v>
      </c>
      <c r="M559" t="s">
        <v>4888</v>
      </c>
      <c r="P559" t="s">
        <v>6040</v>
      </c>
    </row>
    <row r="560" spans="1:16" x14ac:dyDescent="0.2">
      <c r="A560" t="s">
        <v>1957</v>
      </c>
      <c r="B560" t="s">
        <v>3520</v>
      </c>
      <c r="C560" t="s">
        <v>2995</v>
      </c>
      <c r="D560" t="s">
        <v>2307</v>
      </c>
      <c r="E560">
        <v>98272</v>
      </c>
      <c r="F560" t="s">
        <v>1958</v>
      </c>
      <c r="G560" t="s">
        <v>1982</v>
      </c>
      <c r="H560" t="s">
        <v>4028</v>
      </c>
      <c r="I560">
        <v>47.869774</v>
      </c>
      <c r="J560">
        <v>-122.009602</v>
      </c>
      <c r="K560" t="s">
        <v>3936</v>
      </c>
      <c r="L560" t="s">
        <v>3946</v>
      </c>
      <c r="M560" t="s">
        <v>4888</v>
      </c>
      <c r="P560" t="s">
        <v>3520</v>
      </c>
    </row>
    <row r="561" spans="1:16" x14ac:dyDescent="0.2">
      <c r="A561" t="s">
        <v>2237</v>
      </c>
      <c r="B561" t="s">
        <v>6243</v>
      </c>
      <c r="C561" t="s">
        <v>2995</v>
      </c>
      <c r="D561" t="s">
        <v>2307</v>
      </c>
      <c r="E561">
        <v>98272</v>
      </c>
      <c r="F561" t="s">
        <v>1583</v>
      </c>
      <c r="G561" t="s">
        <v>1980</v>
      </c>
      <c r="H561" t="s">
        <v>5120</v>
      </c>
      <c r="I561">
        <v>47.869774</v>
      </c>
      <c r="J561">
        <v>-122.009602</v>
      </c>
      <c r="K561" t="s">
        <v>3936</v>
      </c>
      <c r="L561" t="s">
        <v>3946</v>
      </c>
      <c r="M561" t="s">
        <v>4888</v>
      </c>
      <c r="P561" t="s">
        <v>6041</v>
      </c>
    </row>
    <row r="562" spans="1:16" x14ac:dyDescent="0.2">
      <c r="A562" t="s">
        <v>1810</v>
      </c>
      <c r="B562" t="s">
        <v>3801</v>
      </c>
      <c r="C562" t="s">
        <v>3060</v>
      </c>
      <c r="D562" t="s">
        <v>2307</v>
      </c>
      <c r="E562">
        <v>98236</v>
      </c>
      <c r="F562" t="s">
        <v>1575</v>
      </c>
      <c r="G562" t="s">
        <v>1989</v>
      </c>
      <c r="H562" t="s">
        <v>4158</v>
      </c>
      <c r="I562">
        <v>47.979218000000003</v>
      </c>
      <c r="J562">
        <v>-122.356465</v>
      </c>
      <c r="K562" t="s">
        <v>3936</v>
      </c>
      <c r="L562" t="s">
        <v>3946</v>
      </c>
      <c r="M562" t="s">
        <v>4888</v>
      </c>
      <c r="P562" t="s">
        <v>3801</v>
      </c>
    </row>
    <row r="563" spans="1:16" x14ac:dyDescent="0.2">
      <c r="A563" t="s">
        <v>2238</v>
      </c>
      <c r="B563" t="s">
        <v>6244</v>
      </c>
      <c r="C563" t="s">
        <v>2888</v>
      </c>
      <c r="D563" t="s">
        <v>2307</v>
      </c>
      <c r="E563">
        <v>98290</v>
      </c>
      <c r="F563" t="s">
        <v>1600</v>
      </c>
      <c r="G563" t="s">
        <v>1986</v>
      </c>
      <c r="H563" t="s">
        <v>4644</v>
      </c>
      <c r="I563">
        <v>47.912703999999998</v>
      </c>
      <c r="J563">
        <v>-122.08973899999999</v>
      </c>
      <c r="K563" t="s">
        <v>3936</v>
      </c>
      <c r="L563" t="s">
        <v>3946</v>
      </c>
      <c r="M563" t="s">
        <v>4888</v>
      </c>
      <c r="P563" t="s">
        <v>6042</v>
      </c>
    </row>
    <row r="564" spans="1:16" x14ac:dyDescent="0.2">
      <c r="A564" t="s">
        <v>2239</v>
      </c>
      <c r="B564" t="s">
        <v>3012</v>
      </c>
      <c r="C564" t="s">
        <v>2930</v>
      </c>
      <c r="D564" t="s">
        <v>2307</v>
      </c>
      <c r="E564">
        <v>98023</v>
      </c>
      <c r="F564" t="s">
        <v>2090</v>
      </c>
      <c r="G564" t="s">
        <v>1969</v>
      </c>
      <c r="H564" t="s">
        <v>4646</v>
      </c>
      <c r="I564">
        <v>47.300421999999998</v>
      </c>
      <c r="J564">
        <v>-122.36071800000001</v>
      </c>
      <c r="K564" t="s">
        <v>3936</v>
      </c>
      <c r="L564" t="s">
        <v>3946</v>
      </c>
      <c r="M564" t="s">
        <v>4888</v>
      </c>
      <c r="P564" t="s">
        <v>3012</v>
      </c>
    </row>
    <row r="565" spans="1:16" x14ac:dyDescent="0.2">
      <c r="A565" t="s">
        <v>2241</v>
      </c>
      <c r="B565" t="s">
        <v>3016</v>
      </c>
      <c r="C565" t="s">
        <v>3014</v>
      </c>
      <c r="D565" t="s">
        <v>2307</v>
      </c>
      <c r="E565">
        <v>98065</v>
      </c>
      <c r="F565" t="s">
        <v>2094</v>
      </c>
      <c r="G565" t="s">
        <v>2005</v>
      </c>
      <c r="H565" t="s">
        <v>5425</v>
      </c>
      <c r="I565">
        <v>47.530741999999996</v>
      </c>
      <c r="J565">
        <v>-121.873142</v>
      </c>
      <c r="K565" t="s">
        <v>3936</v>
      </c>
      <c r="L565" t="s">
        <v>3946</v>
      </c>
      <c r="M565" t="s">
        <v>4888</v>
      </c>
      <c r="P565" t="s">
        <v>3016</v>
      </c>
    </row>
    <row r="566" spans="1:16" x14ac:dyDescent="0.2">
      <c r="A566" t="s">
        <v>2240</v>
      </c>
      <c r="B566" t="s">
        <v>3015</v>
      </c>
      <c r="C566" t="s">
        <v>3014</v>
      </c>
      <c r="D566" t="s">
        <v>2307</v>
      </c>
      <c r="E566">
        <v>98065</v>
      </c>
      <c r="F566" t="s">
        <v>1716</v>
      </c>
      <c r="G566" t="s">
        <v>1995</v>
      </c>
      <c r="H566" t="s">
        <v>5426</v>
      </c>
      <c r="I566">
        <v>47.530741999999996</v>
      </c>
      <c r="J566">
        <v>-121.873142</v>
      </c>
      <c r="K566" t="s">
        <v>3936</v>
      </c>
      <c r="L566" t="s">
        <v>3946</v>
      </c>
      <c r="M566" t="s">
        <v>4888</v>
      </c>
      <c r="P566" t="s">
        <v>3015</v>
      </c>
    </row>
    <row r="567" spans="1:16" x14ac:dyDescent="0.2">
      <c r="A567" t="s">
        <v>1959</v>
      </c>
      <c r="B567" t="s">
        <v>3521</v>
      </c>
      <c r="C567" t="s">
        <v>3014</v>
      </c>
      <c r="D567" t="s">
        <v>2307</v>
      </c>
      <c r="E567">
        <v>98065</v>
      </c>
      <c r="F567" t="s">
        <v>1604</v>
      </c>
      <c r="G567" t="s">
        <v>1973</v>
      </c>
      <c r="H567" t="s">
        <v>5427</v>
      </c>
      <c r="I567">
        <v>47.529980999999999</v>
      </c>
      <c r="J567">
        <v>-121.872946</v>
      </c>
      <c r="K567" t="s">
        <v>3936</v>
      </c>
      <c r="L567" t="s">
        <v>3946</v>
      </c>
      <c r="M567" t="s">
        <v>4888</v>
      </c>
      <c r="P567" t="s">
        <v>3521</v>
      </c>
    </row>
    <row r="568" spans="1:16" x14ac:dyDescent="0.2">
      <c r="A568" t="s">
        <v>1812</v>
      </c>
      <c r="B568" t="s">
        <v>3802</v>
      </c>
      <c r="C568" t="s">
        <v>2961</v>
      </c>
      <c r="D568" t="s">
        <v>2307</v>
      </c>
      <c r="E568">
        <v>98002</v>
      </c>
      <c r="F568" t="s">
        <v>1573</v>
      </c>
      <c r="G568" t="s">
        <v>1990</v>
      </c>
      <c r="H568" t="s">
        <v>4956</v>
      </c>
      <c r="I568">
        <v>47.307290999999999</v>
      </c>
      <c r="J568">
        <v>-122.22835499999999</v>
      </c>
      <c r="K568" t="s">
        <v>3936</v>
      </c>
      <c r="L568" t="s">
        <v>3946</v>
      </c>
      <c r="M568" t="s">
        <v>4888</v>
      </c>
      <c r="P568" t="s">
        <v>3802</v>
      </c>
    </row>
    <row r="569" spans="1:16" x14ac:dyDescent="0.2">
      <c r="A569" t="s">
        <v>2242</v>
      </c>
      <c r="B569" t="s">
        <v>3018</v>
      </c>
      <c r="C569" t="s">
        <v>2961</v>
      </c>
      <c r="D569" t="s">
        <v>2307</v>
      </c>
      <c r="E569">
        <v>98002</v>
      </c>
      <c r="F569" t="s">
        <v>1583</v>
      </c>
      <c r="G569" t="s">
        <v>1980</v>
      </c>
      <c r="H569" t="s">
        <v>5121</v>
      </c>
      <c r="I569">
        <v>47.307561</v>
      </c>
      <c r="J569">
        <v>-122.22398800000001</v>
      </c>
      <c r="K569" t="s">
        <v>3936</v>
      </c>
      <c r="L569" t="s">
        <v>3946</v>
      </c>
      <c r="M569" t="s">
        <v>4888</v>
      </c>
      <c r="P569" t="s">
        <v>3018</v>
      </c>
    </row>
    <row r="570" spans="1:16" x14ac:dyDescent="0.2">
      <c r="A570" t="s">
        <v>1813</v>
      </c>
      <c r="B570" t="s">
        <v>3803</v>
      </c>
      <c r="C570" t="s">
        <v>2900</v>
      </c>
      <c r="D570" t="s">
        <v>2307</v>
      </c>
      <c r="E570">
        <v>98203</v>
      </c>
      <c r="F570" t="s">
        <v>1600</v>
      </c>
      <c r="G570" t="s">
        <v>1997</v>
      </c>
      <c r="H570" t="s">
        <v>4159</v>
      </c>
      <c r="I570">
        <v>47.950440999999998</v>
      </c>
      <c r="J570">
        <v>-122.212498</v>
      </c>
      <c r="K570" t="s">
        <v>3936</v>
      </c>
      <c r="L570" t="s">
        <v>3946</v>
      </c>
      <c r="M570" t="s">
        <v>4888</v>
      </c>
      <c r="P570" t="s">
        <v>3803</v>
      </c>
    </row>
    <row r="571" spans="1:16" x14ac:dyDescent="0.2">
      <c r="A571" t="s">
        <v>2243</v>
      </c>
      <c r="B571" t="s">
        <v>3019</v>
      </c>
      <c r="C571" t="s">
        <v>2961</v>
      </c>
      <c r="D571" t="s">
        <v>2307</v>
      </c>
      <c r="E571">
        <v>98002</v>
      </c>
      <c r="F571" t="s">
        <v>1716</v>
      </c>
      <c r="G571" t="s">
        <v>2005</v>
      </c>
      <c r="H571" t="s">
        <v>5428</v>
      </c>
      <c r="I571">
        <v>47.306147000000003</v>
      </c>
      <c r="J571">
        <v>-122.228813</v>
      </c>
      <c r="K571" t="s">
        <v>3936</v>
      </c>
      <c r="L571" t="s">
        <v>3946</v>
      </c>
      <c r="M571" t="s">
        <v>4888</v>
      </c>
      <c r="P571" t="s">
        <v>3019</v>
      </c>
    </row>
    <row r="572" spans="1:16" x14ac:dyDescent="0.2">
      <c r="A572" t="s">
        <v>1814</v>
      </c>
      <c r="B572" t="s">
        <v>3804</v>
      </c>
      <c r="C572" t="s">
        <v>2961</v>
      </c>
      <c r="D572" t="s">
        <v>2307</v>
      </c>
      <c r="E572">
        <v>98002</v>
      </c>
      <c r="F572" t="s">
        <v>1591</v>
      </c>
      <c r="G572" t="s">
        <v>1969</v>
      </c>
      <c r="H572" t="s">
        <v>5429</v>
      </c>
      <c r="I572">
        <v>47.305525000000003</v>
      </c>
      <c r="J572">
        <v>-122.228251</v>
      </c>
      <c r="K572" t="s">
        <v>3936</v>
      </c>
      <c r="L572" t="s">
        <v>3946</v>
      </c>
      <c r="M572" t="s">
        <v>4888</v>
      </c>
      <c r="P572" t="s">
        <v>3804</v>
      </c>
    </row>
    <row r="573" spans="1:16" x14ac:dyDescent="0.2">
      <c r="A573" t="s">
        <v>1818</v>
      </c>
      <c r="B573" t="s">
        <v>3812</v>
      </c>
      <c r="C573" t="s">
        <v>2930</v>
      </c>
      <c r="D573" t="s">
        <v>2307</v>
      </c>
      <c r="E573">
        <v>98003</v>
      </c>
      <c r="F573" t="s">
        <v>1591</v>
      </c>
      <c r="G573" t="s">
        <v>1969</v>
      </c>
      <c r="H573" t="s">
        <v>4160</v>
      </c>
      <c r="I573">
        <v>47.291801</v>
      </c>
      <c r="J573">
        <v>-122.313692</v>
      </c>
      <c r="K573" t="s">
        <v>3936</v>
      </c>
      <c r="L573" t="s">
        <v>3946</v>
      </c>
      <c r="M573" t="s">
        <v>4888</v>
      </c>
      <c r="P573" t="s">
        <v>3812</v>
      </c>
    </row>
    <row r="574" spans="1:16" x14ac:dyDescent="0.2">
      <c r="A574" t="s">
        <v>2261</v>
      </c>
      <c r="B574" t="s">
        <v>5123</v>
      </c>
      <c r="C574" t="s">
        <v>2995</v>
      </c>
      <c r="D574" t="s">
        <v>2307</v>
      </c>
      <c r="E574">
        <v>98272</v>
      </c>
      <c r="F574" t="s">
        <v>1571</v>
      </c>
      <c r="G574" t="s">
        <v>1987</v>
      </c>
      <c r="H574" t="s">
        <v>5124</v>
      </c>
      <c r="I574">
        <v>47.857450999999998</v>
      </c>
      <c r="J574">
        <v>-121.96749699999999</v>
      </c>
      <c r="K574" t="s">
        <v>3936</v>
      </c>
      <c r="L574" t="s">
        <v>3946</v>
      </c>
      <c r="M574" t="s">
        <v>4888</v>
      </c>
      <c r="P574" t="s">
        <v>5123</v>
      </c>
    </row>
    <row r="575" spans="1:16" x14ac:dyDescent="0.2">
      <c r="A575" t="s">
        <v>2248</v>
      </c>
      <c r="B575" t="s">
        <v>3040</v>
      </c>
      <c r="C575" t="s">
        <v>2888</v>
      </c>
      <c r="D575" t="s">
        <v>2307</v>
      </c>
      <c r="E575">
        <v>98290</v>
      </c>
      <c r="F575" t="s">
        <v>1585</v>
      </c>
      <c r="G575" t="s">
        <v>2107</v>
      </c>
      <c r="H575" t="s">
        <v>5125</v>
      </c>
      <c r="I575">
        <v>47.928486999999997</v>
      </c>
      <c r="J575">
        <v>-122.098964</v>
      </c>
      <c r="K575" t="s">
        <v>3936</v>
      </c>
      <c r="L575" t="s">
        <v>3946</v>
      </c>
      <c r="M575" t="s">
        <v>4888</v>
      </c>
      <c r="P575" t="s">
        <v>3040</v>
      </c>
    </row>
    <row r="576" spans="1:16" x14ac:dyDescent="0.2">
      <c r="A576" t="s">
        <v>1819</v>
      </c>
      <c r="B576" t="s">
        <v>3816</v>
      </c>
      <c r="C576" t="s">
        <v>2995</v>
      </c>
      <c r="D576" t="s">
        <v>2307</v>
      </c>
      <c r="E576">
        <v>98272</v>
      </c>
      <c r="F576" t="s">
        <v>1620</v>
      </c>
      <c r="G576" t="s">
        <v>1973</v>
      </c>
      <c r="H576" t="s">
        <v>4161</v>
      </c>
      <c r="I576">
        <v>47.858218000000001</v>
      </c>
      <c r="J576">
        <v>-121.964978</v>
      </c>
      <c r="K576" t="s">
        <v>3936</v>
      </c>
      <c r="L576" t="s">
        <v>3946</v>
      </c>
      <c r="M576" t="s">
        <v>4888</v>
      </c>
      <c r="P576" t="s">
        <v>3816</v>
      </c>
    </row>
    <row r="577" spans="1:16" x14ac:dyDescent="0.2">
      <c r="A577" t="s">
        <v>2249</v>
      </c>
      <c r="B577" t="s">
        <v>6245</v>
      </c>
      <c r="C577" t="s">
        <v>2930</v>
      </c>
      <c r="D577" t="s">
        <v>2307</v>
      </c>
      <c r="E577">
        <v>98003</v>
      </c>
      <c r="F577" t="s">
        <v>2035</v>
      </c>
      <c r="G577" t="s">
        <v>2005</v>
      </c>
      <c r="H577" t="s">
        <v>5806</v>
      </c>
      <c r="I577">
        <v>47.289720000000003</v>
      </c>
      <c r="J577">
        <v>-122.318094</v>
      </c>
      <c r="K577" t="s">
        <v>3936</v>
      </c>
      <c r="L577" t="s">
        <v>3946</v>
      </c>
      <c r="M577" t="s">
        <v>4888</v>
      </c>
      <c r="P577" t="s">
        <v>6043</v>
      </c>
    </row>
    <row r="578" spans="1:16" x14ac:dyDescent="0.2">
      <c r="A578" t="s">
        <v>2111</v>
      </c>
      <c r="B578" t="s">
        <v>3045</v>
      </c>
      <c r="C578" t="s">
        <v>2930</v>
      </c>
      <c r="D578" t="s">
        <v>2307</v>
      </c>
      <c r="E578">
        <v>98003</v>
      </c>
      <c r="F578" t="s">
        <v>1600</v>
      </c>
      <c r="G578" t="s">
        <v>2149</v>
      </c>
      <c r="H578" t="s">
        <v>5431</v>
      </c>
      <c r="I578">
        <v>47.289558</v>
      </c>
      <c r="J578">
        <v>-122.31482200000001</v>
      </c>
      <c r="K578" t="s">
        <v>3936</v>
      </c>
      <c r="L578" t="s">
        <v>3946</v>
      </c>
      <c r="M578" t="s">
        <v>4888</v>
      </c>
      <c r="P578" t="s">
        <v>3045</v>
      </c>
    </row>
    <row r="579" spans="1:16" x14ac:dyDescent="0.2">
      <c r="A579" t="s">
        <v>1820</v>
      </c>
      <c r="B579" t="s">
        <v>3817</v>
      </c>
      <c r="C579" t="s">
        <v>2900</v>
      </c>
      <c r="D579" t="s">
        <v>2307</v>
      </c>
      <c r="E579">
        <v>98203</v>
      </c>
      <c r="F579" t="s">
        <v>1600</v>
      </c>
      <c r="G579" t="s">
        <v>1973</v>
      </c>
      <c r="H579" t="s">
        <v>5126</v>
      </c>
      <c r="I579">
        <v>47.959108000000001</v>
      </c>
      <c r="J579">
        <v>-122.210809</v>
      </c>
      <c r="K579" t="s">
        <v>3936</v>
      </c>
      <c r="L579" t="s">
        <v>3946</v>
      </c>
      <c r="M579" t="s">
        <v>4888</v>
      </c>
      <c r="P579" t="s">
        <v>3817</v>
      </c>
    </row>
    <row r="580" spans="1:16" x14ac:dyDescent="0.2">
      <c r="A580" t="s">
        <v>1667</v>
      </c>
      <c r="B580" t="s">
        <v>3818</v>
      </c>
      <c r="C580" t="s">
        <v>2930</v>
      </c>
      <c r="D580" t="s">
        <v>2307</v>
      </c>
      <c r="E580">
        <v>98003</v>
      </c>
      <c r="F580" t="s">
        <v>1658</v>
      </c>
      <c r="G580" t="s">
        <v>1994</v>
      </c>
      <c r="H580" t="s">
        <v>4163</v>
      </c>
      <c r="I580">
        <v>47.288707000000002</v>
      </c>
      <c r="J580">
        <v>-122.31339800000001</v>
      </c>
      <c r="K580" t="s">
        <v>3936</v>
      </c>
      <c r="L580" t="s">
        <v>3946</v>
      </c>
      <c r="M580" t="s">
        <v>4888</v>
      </c>
      <c r="P580" t="s">
        <v>3818</v>
      </c>
    </row>
    <row r="581" spans="1:16" x14ac:dyDescent="0.2">
      <c r="A581" t="s">
        <v>2158</v>
      </c>
      <c r="B581" t="s">
        <v>3047</v>
      </c>
      <c r="C581" t="s">
        <v>2930</v>
      </c>
      <c r="D581" t="s">
        <v>2307</v>
      </c>
      <c r="E581">
        <v>98003</v>
      </c>
      <c r="F581" t="s">
        <v>1716</v>
      </c>
      <c r="G581" t="s">
        <v>2000</v>
      </c>
      <c r="H581" t="s">
        <v>4662</v>
      </c>
      <c r="I581">
        <v>47.288403000000002</v>
      </c>
      <c r="J581">
        <v>-122.313326</v>
      </c>
      <c r="K581" t="s">
        <v>3936</v>
      </c>
      <c r="L581" t="s">
        <v>3946</v>
      </c>
      <c r="M581" t="s">
        <v>4888</v>
      </c>
      <c r="P581" t="s">
        <v>3047</v>
      </c>
    </row>
    <row r="582" spans="1:16" x14ac:dyDescent="0.2">
      <c r="A582" t="s">
        <v>2250</v>
      </c>
      <c r="B582" t="s">
        <v>3048</v>
      </c>
      <c r="C582" t="s">
        <v>2961</v>
      </c>
      <c r="D582" t="s">
        <v>2307</v>
      </c>
      <c r="E582">
        <v>98002</v>
      </c>
      <c r="F582" t="s">
        <v>2044</v>
      </c>
      <c r="G582" t="s">
        <v>2005</v>
      </c>
      <c r="H582" t="s">
        <v>5127</v>
      </c>
      <c r="I582">
        <v>47.295748000000003</v>
      </c>
      <c r="J582">
        <v>-122.228782</v>
      </c>
      <c r="K582" t="s">
        <v>3936</v>
      </c>
      <c r="L582" t="s">
        <v>3946</v>
      </c>
      <c r="M582" t="s">
        <v>4888</v>
      </c>
      <c r="P582" t="s">
        <v>3048</v>
      </c>
    </row>
    <row r="583" spans="1:16" x14ac:dyDescent="0.2">
      <c r="A583" t="s">
        <v>1597</v>
      </c>
      <c r="B583" t="s">
        <v>3819</v>
      </c>
      <c r="C583" t="s">
        <v>2900</v>
      </c>
      <c r="D583" t="s">
        <v>2307</v>
      </c>
      <c r="E583">
        <v>98201</v>
      </c>
      <c r="F583" t="s">
        <v>1573</v>
      </c>
      <c r="G583" t="s">
        <v>1990</v>
      </c>
      <c r="H583" t="s">
        <v>4164</v>
      </c>
      <c r="I583">
        <v>47.963171000000003</v>
      </c>
      <c r="J583">
        <v>-122.208977</v>
      </c>
      <c r="K583" t="s">
        <v>3936</v>
      </c>
      <c r="L583" t="s">
        <v>3946</v>
      </c>
      <c r="M583" t="s">
        <v>4888</v>
      </c>
      <c r="P583" t="s">
        <v>5679</v>
      </c>
    </row>
    <row r="584" spans="1:16" x14ac:dyDescent="0.2">
      <c r="A584" t="s">
        <v>2252</v>
      </c>
      <c r="B584" t="s">
        <v>3065</v>
      </c>
      <c r="C584" t="s">
        <v>2961</v>
      </c>
      <c r="D584" t="s">
        <v>2307</v>
      </c>
      <c r="E584">
        <v>98092</v>
      </c>
      <c r="F584" t="s">
        <v>1600</v>
      </c>
      <c r="G584" t="s">
        <v>2165</v>
      </c>
      <c r="H584" t="s">
        <v>5128</v>
      </c>
      <c r="I584">
        <v>47.288448000000002</v>
      </c>
      <c r="J584">
        <v>-122.184647</v>
      </c>
      <c r="K584" t="s">
        <v>3936</v>
      </c>
      <c r="L584" t="s">
        <v>3946</v>
      </c>
      <c r="M584" t="s">
        <v>4888</v>
      </c>
      <c r="P584" t="s">
        <v>3065</v>
      </c>
    </row>
    <row r="585" spans="1:16" x14ac:dyDescent="0.2">
      <c r="A585" t="s">
        <v>2253</v>
      </c>
      <c r="B585" t="s">
        <v>3066</v>
      </c>
      <c r="C585" t="s">
        <v>3067</v>
      </c>
      <c r="D585" t="s">
        <v>2307</v>
      </c>
      <c r="E585">
        <v>98421</v>
      </c>
      <c r="F585" t="s">
        <v>1583</v>
      </c>
      <c r="G585" t="s">
        <v>1980</v>
      </c>
      <c r="H585" t="s">
        <v>4672</v>
      </c>
      <c r="I585">
        <v>47.274614999999997</v>
      </c>
      <c r="J585">
        <v>-122.398194</v>
      </c>
      <c r="K585" t="s">
        <v>3936</v>
      </c>
      <c r="L585" t="s">
        <v>3946</v>
      </c>
      <c r="M585" t="s">
        <v>4888</v>
      </c>
      <c r="P585" t="s">
        <v>3066</v>
      </c>
    </row>
    <row r="586" spans="1:16" x14ac:dyDescent="0.2">
      <c r="A586" t="s">
        <v>2256</v>
      </c>
      <c r="B586" t="s">
        <v>3072</v>
      </c>
      <c r="C586" t="s">
        <v>2900</v>
      </c>
      <c r="D586" t="s">
        <v>2307</v>
      </c>
      <c r="E586">
        <v>98201</v>
      </c>
      <c r="F586" t="s">
        <v>1716</v>
      </c>
      <c r="G586" t="s">
        <v>1990</v>
      </c>
      <c r="H586" t="s">
        <v>5129</v>
      </c>
      <c r="I586">
        <v>47.979177999999997</v>
      </c>
      <c r="J586">
        <v>-122.20841</v>
      </c>
      <c r="K586" t="s">
        <v>3936</v>
      </c>
      <c r="L586" t="s">
        <v>3946</v>
      </c>
      <c r="M586" t="s">
        <v>4888</v>
      </c>
      <c r="P586" t="s">
        <v>3072</v>
      </c>
    </row>
    <row r="587" spans="1:16" x14ac:dyDescent="0.2">
      <c r="A587" t="s">
        <v>2257</v>
      </c>
      <c r="B587" t="s">
        <v>3074</v>
      </c>
      <c r="C587" t="s">
        <v>2900</v>
      </c>
      <c r="D587" t="s">
        <v>2307</v>
      </c>
      <c r="E587">
        <v>98201</v>
      </c>
      <c r="F587" t="s">
        <v>1591</v>
      </c>
      <c r="G587" t="s">
        <v>1969</v>
      </c>
      <c r="H587" t="s">
        <v>4958</v>
      </c>
      <c r="I587">
        <v>47.979140999999998</v>
      </c>
      <c r="J587">
        <v>-122.205645</v>
      </c>
      <c r="K587" t="s">
        <v>3936</v>
      </c>
      <c r="L587" t="s">
        <v>3946</v>
      </c>
      <c r="M587" t="s">
        <v>4888</v>
      </c>
      <c r="P587" t="s">
        <v>3074</v>
      </c>
    </row>
    <row r="588" spans="1:16" x14ac:dyDescent="0.2">
      <c r="A588" t="s">
        <v>1825</v>
      </c>
      <c r="B588" t="s">
        <v>3824</v>
      </c>
      <c r="C588" t="s">
        <v>2900</v>
      </c>
      <c r="D588" t="s">
        <v>2307</v>
      </c>
      <c r="E588">
        <v>98201</v>
      </c>
      <c r="F588" t="s">
        <v>1600</v>
      </c>
      <c r="G588" t="s">
        <v>1973</v>
      </c>
      <c r="H588" t="s">
        <v>4165</v>
      </c>
      <c r="I588">
        <v>47.979329</v>
      </c>
      <c r="J588">
        <v>-122.20568400000001</v>
      </c>
      <c r="K588" t="s">
        <v>3936</v>
      </c>
      <c r="L588" t="s">
        <v>3946</v>
      </c>
      <c r="M588" t="s">
        <v>4888</v>
      </c>
      <c r="P588" t="s">
        <v>3824</v>
      </c>
    </row>
    <row r="589" spans="1:16" x14ac:dyDescent="0.2">
      <c r="A589" t="s">
        <v>1827</v>
      </c>
      <c r="B589" t="s">
        <v>3826</v>
      </c>
      <c r="C589" t="s">
        <v>2900</v>
      </c>
      <c r="D589" t="s">
        <v>2307</v>
      </c>
      <c r="E589">
        <v>98201</v>
      </c>
      <c r="F589" t="s">
        <v>1591</v>
      </c>
      <c r="G589" t="s">
        <v>1969</v>
      </c>
      <c r="H589" t="s">
        <v>5432</v>
      </c>
      <c r="I589">
        <v>47.979410000000001</v>
      </c>
      <c r="J589">
        <v>-122.204204</v>
      </c>
      <c r="K589" t="s">
        <v>3936</v>
      </c>
      <c r="L589" t="s">
        <v>3946</v>
      </c>
      <c r="M589" t="s">
        <v>4888</v>
      </c>
      <c r="P589" t="s">
        <v>3826</v>
      </c>
    </row>
    <row r="590" spans="1:16" x14ac:dyDescent="0.2">
      <c r="A590" t="s">
        <v>2258</v>
      </c>
      <c r="B590" t="s">
        <v>3077</v>
      </c>
      <c r="C590" t="s">
        <v>3014</v>
      </c>
      <c r="D590" t="s">
        <v>2307</v>
      </c>
      <c r="E590">
        <v>98065</v>
      </c>
      <c r="F590" t="s">
        <v>2035</v>
      </c>
      <c r="G590" t="s">
        <v>2005</v>
      </c>
      <c r="H590" t="s">
        <v>5130</v>
      </c>
      <c r="I590">
        <v>47.528661</v>
      </c>
      <c r="J590">
        <v>-121.82502700000001</v>
      </c>
      <c r="K590" t="s">
        <v>3936</v>
      </c>
      <c r="L590" t="s">
        <v>3946</v>
      </c>
      <c r="M590" t="s">
        <v>4888</v>
      </c>
      <c r="P590" t="s">
        <v>3077</v>
      </c>
    </row>
    <row r="591" spans="1:16" x14ac:dyDescent="0.2">
      <c r="A591" t="s">
        <v>1829</v>
      </c>
      <c r="B591" t="s">
        <v>3829</v>
      </c>
      <c r="C591" t="s">
        <v>3014</v>
      </c>
      <c r="D591" t="s">
        <v>2307</v>
      </c>
      <c r="E591">
        <v>98065</v>
      </c>
      <c r="F591" t="s">
        <v>1587</v>
      </c>
      <c r="G591" t="s">
        <v>1987</v>
      </c>
      <c r="H591" t="s">
        <v>5434</v>
      </c>
      <c r="I591">
        <v>47.528292999999998</v>
      </c>
      <c r="J591">
        <v>-121.82396300000001</v>
      </c>
      <c r="K591" t="s">
        <v>3936</v>
      </c>
      <c r="L591" t="s">
        <v>3946</v>
      </c>
      <c r="M591" t="s">
        <v>4888</v>
      </c>
      <c r="P591" t="s">
        <v>3829</v>
      </c>
    </row>
    <row r="592" spans="1:16" x14ac:dyDescent="0.2">
      <c r="A592" t="s">
        <v>1831</v>
      </c>
      <c r="B592" t="s">
        <v>3831</v>
      </c>
      <c r="C592" t="s">
        <v>3067</v>
      </c>
      <c r="D592" t="s">
        <v>2307</v>
      </c>
      <c r="E592">
        <v>98407</v>
      </c>
      <c r="F592" t="s">
        <v>1591</v>
      </c>
      <c r="G592" t="s">
        <v>1969</v>
      </c>
      <c r="H592" t="s">
        <v>4167</v>
      </c>
      <c r="I592">
        <v>47.270941000000001</v>
      </c>
      <c r="J592">
        <v>-122.487596</v>
      </c>
      <c r="K592" t="s">
        <v>3936</v>
      </c>
      <c r="L592" t="s">
        <v>3946</v>
      </c>
      <c r="M592" t="s">
        <v>4888</v>
      </c>
      <c r="P592" t="s">
        <v>3831</v>
      </c>
    </row>
    <row r="593" spans="1:16" x14ac:dyDescent="0.2">
      <c r="A593" t="s">
        <v>2260</v>
      </c>
      <c r="B593" t="s">
        <v>3101</v>
      </c>
      <c r="C593" t="s">
        <v>3067</v>
      </c>
      <c r="D593" t="s">
        <v>2307</v>
      </c>
      <c r="E593">
        <v>98402</v>
      </c>
      <c r="F593" t="s">
        <v>1583</v>
      </c>
      <c r="G593" t="s">
        <v>1980</v>
      </c>
      <c r="H593" t="s">
        <v>4687</v>
      </c>
      <c r="I593">
        <v>47.256326000000001</v>
      </c>
      <c r="J593">
        <v>-122.440296</v>
      </c>
      <c r="K593" t="s">
        <v>3936</v>
      </c>
      <c r="L593" t="s">
        <v>3946</v>
      </c>
      <c r="M593" t="s">
        <v>4888</v>
      </c>
      <c r="P593" t="s">
        <v>3101</v>
      </c>
    </row>
    <row r="594" spans="1:16" x14ac:dyDescent="0.2">
      <c r="A594" t="s">
        <v>1667</v>
      </c>
      <c r="B594" t="s">
        <v>3832</v>
      </c>
      <c r="C594" t="s">
        <v>3067</v>
      </c>
      <c r="D594" t="s">
        <v>2307</v>
      </c>
      <c r="E594">
        <v>98046</v>
      </c>
      <c r="F594" t="s">
        <v>1658</v>
      </c>
      <c r="G594" t="s">
        <v>1994</v>
      </c>
      <c r="H594" t="s">
        <v>4168</v>
      </c>
      <c r="I594">
        <v>47.269421000000001</v>
      </c>
      <c r="J594">
        <v>-122.51569000000001</v>
      </c>
      <c r="K594" t="s">
        <v>3936</v>
      </c>
      <c r="L594" t="s">
        <v>3946</v>
      </c>
      <c r="M594" t="s">
        <v>4888</v>
      </c>
      <c r="P594" t="s">
        <v>3832</v>
      </c>
    </row>
    <row r="595" spans="1:16" x14ac:dyDescent="0.2">
      <c r="A595" t="s">
        <v>2262</v>
      </c>
      <c r="B595" t="s">
        <v>3114</v>
      </c>
      <c r="C595" t="s">
        <v>3067</v>
      </c>
      <c r="D595" t="s">
        <v>2307</v>
      </c>
      <c r="E595">
        <v>98406</v>
      </c>
      <c r="F595" t="s">
        <v>1583</v>
      </c>
      <c r="G595" t="s">
        <v>1980</v>
      </c>
      <c r="H595" t="s">
        <v>4691</v>
      </c>
      <c r="I595">
        <v>47.255298000000003</v>
      </c>
      <c r="J595">
        <v>-122.470506</v>
      </c>
      <c r="K595" t="s">
        <v>3936</v>
      </c>
      <c r="L595" t="s">
        <v>3946</v>
      </c>
      <c r="M595" t="s">
        <v>4888</v>
      </c>
      <c r="P595" t="s">
        <v>3114</v>
      </c>
    </row>
    <row r="596" spans="1:16" x14ac:dyDescent="0.2">
      <c r="A596" t="s">
        <v>1961</v>
      </c>
      <c r="B596" t="s">
        <v>3524</v>
      </c>
      <c r="C596" t="s">
        <v>3067</v>
      </c>
      <c r="D596" t="s">
        <v>2307</v>
      </c>
      <c r="E596">
        <v>98406</v>
      </c>
      <c r="F596" t="s">
        <v>1583</v>
      </c>
      <c r="G596" t="s">
        <v>1980</v>
      </c>
      <c r="H596" t="s">
        <v>4030</v>
      </c>
      <c r="I596">
        <v>47.255282999999999</v>
      </c>
      <c r="J596">
        <v>-122.47154500000001</v>
      </c>
      <c r="K596" t="s">
        <v>3936</v>
      </c>
      <c r="L596" t="s">
        <v>3946</v>
      </c>
      <c r="M596" t="s">
        <v>4888</v>
      </c>
      <c r="P596" t="s">
        <v>3524</v>
      </c>
    </row>
    <row r="597" spans="1:16" x14ac:dyDescent="0.2">
      <c r="A597" t="s">
        <v>2264</v>
      </c>
      <c r="B597" t="s">
        <v>3122</v>
      </c>
      <c r="C597" t="s">
        <v>2900</v>
      </c>
      <c r="D597" t="s">
        <v>2307</v>
      </c>
      <c r="E597">
        <v>98201</v>
      </c>
      <c r="F597" t="s">
        <v>2019</v>
      </c>
      <c r="G597" t="s">
        <v>1973</v>
      </c>
      <c r="H597" t="s">
        <v>4696</v>
      </c>
      <c r="I597">
        <v>48.005620999999998</v>
      </c>
      <c r="J597">
        <v>-122.19794</v>
      </c>
      <c r="K597" t="s">
        <v>3936</v>
      </c>
      <c r="L597" t="s">
        <v>3946</v>
      </c>
      <c r="M597" t="s">
        <v>4888</v>
      </c>
      <c r="P597" t="s">
        <v>3122</v>
      </c>
    </row>
    <row r="598" spans="1:16" x14ac:dyDescent="0.2">
      <c r="A598" t="s">
        <v>1962</v>
      </c>
      <c r="B598" t="s">
        <v>3525</v>
      </c>
      <c r="C598" t="s">
        <v>3067</v>
      </c>
      <c r="D598" t="s">
        <v>2307</v>
      </c>
      <c r="E598">
        <v>98421</v>
      </c>
      <c r="F598" t="s">
        <v>1591</v>
      </c>
      <c r="G598" t="s">
        <v>1969</v>
      </c>
      <c r="H598" t="s">
        <v>4031</v>
      </c>
      <c r="I598">
        <v>47.245683</v>
      </c>
      <c r="J598">
        <v>-122.43074799999999</v>
      </c>
      <c r="K598" t="s">
        <v>3936</v>
      </c>
      <c r="L598" t="s">
        <v>3946</v>
      </c>
      <c r="M598" t="s">
        <v>4888</v>
      </c>
      <c r="P598" t="s">
        <v>3525</v>
      </c>
    </row>
    <row r="599" spans="1:16" x14ac:dyDescent="0.2">
      <c r="A599" t="s">
        <v>1963</v>
      </c>
      <c r="B599" t="s">
        <v>3526</v>
      </c>
      <c r="C599" t="s">
        <v>3067</v>
      </c>
      <c r="D599" t="s">
        <v>2307</v>
      </c>
      <c r="E599">
        <v>98421</v>
      </c>
      <c r="F599" t="s">
        <v>1591</v>
      </c>
      <c r="G599" t="s">
        <v>1969</v>
      </c>
      <c r="H599" t="s">
        <v>4032</v>
      </c>
      <c r="I599">
        <v>47.239547000000002</v>
      </c>
      <c r="J599">
        <v>-122.413045</v>
      </c>
      <c r="K599" t="s">
        <v>3936</v>
      </c>
      <c r="L599" t="s">
        <v>3946</v>
      </c>
      <c r="M599" t="s">
        <v>4888</v>
      </c>
      <c r="P599" t="s">
        <v>3526</v>
      </c>
    </row>
    <row r="600" spans="1:16" x14ac:dyDescent="0.2">
      <c r="A600" t="s">
        <v>1832</v>
      </c>
      <c r="B600" t="s">
        <v>3835</v>
      </c>
      <c r="C600" t="s">
        <v>3067</v>
      </c>
      <c r="D600" t="s">
        <v>2307</v>
      </c>
      <c r="E600">
        <v>98108</v>
      </c>
      <c r="F600" t="s">
        <v>1575</v>
      </c>
      <c r="G600" t="s">
        <v>1995</v>
      </c>
      <c r="H600" t="s">
        <v>4170</v>
      </c>
      <c r="I600">
        <v>47.240558999999998</v>
      </c>
      <c r="J600">
        <v>-122.42927</v>
      </c>
      <c r="K600" t="s">
        <v>3936</v>
      </c>
      <c r="L600" t="s">
        <v>3946</v>
      </c>
      <c r="M600" t="s">
        <v>4888</v>
      </c>
      <c r="P600" t="s">
        <v>3835</v>
      </c>
    </row>
    <row r="601" spans="1:16" x14ac:dyDescent="0.2">
      <c r="A601" t="s">
        <v>2158</v>
      </c>
      <c r="B601" t="s">
        <v>3135</v>
      </c>
      <c r="C601" t="s">
        <v>3067</v>
      </c>
      <c r="D601" t="s">
        <v>2307</v>
      </c>
      <c r="E601">
        <v>98406</v>
      </c>
      <c r="F601" t="s">
        <v>1716</v>
      </c>
      <c r="G601" t="s">
        <v>2000</v>
      </c>
      <c r="H601" t="s">
        <v>4705</v>
      </c>
      <c r="I601">
        <v>47.255321000000002</v>
      </c>
      <c r="J601">
        <v>-122.520549</v>
      </c>
      <c r="K601" t="s">
        <v>3936</v>
      </c>
      <c r="L601" t="s">
        <v>3946</v>
      </c>
      <c r="M601" t="s">
        <v>4888</v>
      </c>
      <c r="P601" t="s">
        <v>3135</v>
      </c>
    </row>
    <row r="602" spans="1:16" x14ac:dyDescent="0.2">
      <c r="A602" t="s">
        <v>2101</v>
      </c>
      <c r="B602" t="s">
        <v>3136</v>
      </c>
      <c r="C602" t="s">
        <v>3067</v>
      </c>
      <c r="D602" t="s">
        <v>2307</v>
      </c>
      <c r="E602">
        <v>98406</v>
      </c>
      <c r="F602" t="s">
        <v>1600</v>
      </c>
      <c r="G602" t="s">
        <v>2102</v>
      </c>
      <c r="H602" t="s">
        <v>5435</v>
      </c>
      <c r="I602">
        <v>47.255324000000002</v>
      </c>
      <c r="J602">
        <v>-122.521489</v>
      </c>
      <c r="K602" t="s">
        <v>3936</v>
      </c>
      <c r="L602" t="s">
        <v>3946</v>
      </c>
      <c r="M602" t="s">
        <v>4888</v>
      </c>
      <c r="P602" t="s">
        <v>3136</v>
      </c>
    </row>
    <row r="603" spans="1:16" x14ac:dyDescent="0.2">
      <c r="A603" t="s">
        <v>2265</v>
      </c>
      <c r="B603" t="s">
        <v>3124</v>
      </c>
      <c r="C603" t="s">
        <v>2961</v>
      </c>
      <c r="D603" t="s">
        <v>2307</v>
      </c>
      <c r="E603">
        <v>98092</v>
      </c>
      <c r="F603" t="s">
        <v>1658</v>
      </c>
      <c r="G603" t="s">
        <v>2005</v>
      </c>
      <c r="H603" t="s">
        <v>5436</v>
      </c>
      <c r="I603">
        <v>47.244604000000002</v>
      </c>
      <c r="J603">
        <v>-122.210469</v>
      </c>
      <c r="K603" t="s">
        <v>3936</v>
      </c>
      <c r="L603" t="s">
        <v>3946</v>
      </c>
      <c r="M603" t="s">
        <v>4888</v>
      </c>
      <c r="P603" t="s">
        <v>3124</v>
      </c>
    </row>
    <row r="604" spans="1:16" x14ac:dyDescent="0.2">
      <c r="A604" t="s">
        <v>2266</v>
      </c>
      <c r="B604" t="s">
        <v>3137</v>
      </c>
      <c r="C604" t="s">
        <v>3138</v>
      </c>
      <c r="D604" t="s">
        <v>2307</v>
      </c>
      <c r="E604">
        <v>98045</v>
      </c>
      <c r="F604" t="s">
        <v>1716</v>
      </c>
      <c r="G604" t="s">
        <v>2000</v>
      </c>
      <c r="H604" t="s">
        <v>5437</v>
      </c>
      <c r="I604">
        <v>47.491539000000003</v>
      </c>
      <c r="J604">
        <v>-121.793277</v>
      </c>
      <c r="K604" t="s">
        <v>3936</v>
      </c>
      <c r="L604" t="s">
        <v>3946</v>
      </c>
      <c r="M604" t="s">
        <v>4888</v>
      </c>
      <c r="P604" t="s">
        <v>3137</v>
      </c>
    </row>
    <row r="605" spans="1:16" x14ac:dyDescent="0.2">
      <c r="A605" t="s">
        <v>2267</v>
      </c>
      <c r="B605" t="s">
        <v>3142</v>
      </c>
      <c r="C605" t="s">
        <v>3143</v>
      </c>
      <c r="D605" t="s">
        <v>2307</v>
      </c>
      <c r="E605">
        <v>98249</v>
      </c>
      <c r="F605" t="s">
        <v>2268</v>
      </c>
      <c r="G605" t="s">
        <v>1969</v>
      </c>
      <c r="H605" t="s">
        <v>4709</v>
      </c>
      <c r="I605">
        <v>48.009501</v>
      </c>
      <c r="J605">
        <v>-122.533665</v>
      </c>
      <c r="K605" t="s">
        <v>3936</v>
      </c>
      <c r="L605" t="s">
        <v>3946</v>
      </c>
      <c r="M605" t="s">
        <v>4888</v>
      </c>
      <c r="P605" t="s">
        <v>3142</v>
      </c>
    </row>
    <row r="606" spans="1:16" x14ac:dyDescent="0.2">
      <c r="A606" t="s">
        <v>1833</v>
      </c>
      <c r="B606" t="s">
        <v>3836</v>
      </c>
      <c r="C606" t="s">
        <v>3138</v>
      </c>
      <c r="D606" t="s">
        <v>2307</v>
      </c>
      <c r="E606">
        <v>98045</v>
      </c>
      <c r="F606" t="s">
        <v>1604</v>
      </c>
      <c r="G606" t="s">
        <v>1973</v>
      </c>
      <c r="H606" t="s">
        <v>4171</v>
      </c>
      <c r="I606">
        <v>47.495010999999998</v>
      </c>
      <c r="J606">
        <v>-121.78628500000001</v>
      </c>
      <c r="K606" t="s">
        <v>3936</v>
      </c>
      <c r="L606" t="s">
        <v>3946</v>
      </c>
      <c r="M606" t="s">
        <v>4888</v>
      </c>
      <c r="P606" t="s">
        <v>3836</v>
      </c>
    </row>
    <row r="607" spans="1:16" x14ac:dyDescent="0.2">
      <c r="A607" t="s">
        <v>1667</v>
      </c>
      <c r="B607" t="s">
        <v>3838</v>
      </c>
      <c r="C607" t="s">
        <v>3067</v>
      </c>
      <c r="D607" t="s">
        <v>2307</v>
      </c>
      <c r="E607">
        <v>98405</v>
      </c>
      <c r="F607" t="s">
        <v>1658</v>
      </c>
      <c r="G607" t="s">
        <v>1994</v>
      </c>
      <c r="H607" t="s">
        <v>4172</v>
      </c>
      <c r="I607">
        <v>47.238599999999998</v>
      </c>
      <c r="J607">
        <v>-122.481734</v>
      </c>
      <c r="K607" t="s">
        <v>3936</v>
      </c>
      <c r="L607" t="s">
        <v>3946</v>
      </c>
      <c r="M607" t="s">
        <v>4888</v>
      </c>
      <c r="P607" t="s">
        <v>3838</v>
      </c>
    </row>
    <row r="608" spans="1:16" x14ac:dyDescent="0.2">
      <c r="A608" t="s">
        <v>1597</v>
      </c>
      <c r="B608" t="s">
        <v>3842</v>
      </c>
      <c r="C608" t="s">
        <v>3067</v>
      </c>
      <c r="D608" t="s">
        <v>2307</v>
      </c>
      <c r="E608">
        <v>98465</v>
      </c>
      <c r="F608" t="s">
        <v>1573</v>
      </c>
      <c r="G608" t="s">
        <v>1990</v>
      </c>
      <c r="H608" t="s">
        <v>5317</v>
      </c>
      <c r="I608">
        <v>47.243774000000002</v>
      </c>
      <c r="J608">
        <v>-122.52647399999999</v>
      </c>
      <c r="K608" t="s">
        <v>3936</v>
      </c>
      <c r="L608" t="s">
        <v>3946</v>
      </c>
      <c r="M608" t="s">
        <v>4888</v>
      </c>
      <c r="P608" t="s">
        <v>3842</v>
      </c>
    </row>
    <row r="609" spans="1:16" x14ac:dyDescent="0.2">
      <c r="A609" t="s">
        <v>2006</v>
      </c>
      <c r="B609" t="s">
        <v>3160</v>
      </c>
      <c r="C609" t="s">
        <v>3067</v>
      </c>
      <c r="D609" t="s">
        <v>2307</v>
      </c>
      <c r="E609">
        <v>98401</v>
      </c>
      <c r="F609" t="s">
        <v>1716</v>
      </c>
      <c r="G609" t="s">
        <v>1989</v>
      </c>
      <c r="H609" t="s">
        <v>5047</v>
      </c>
      <c r="I609">
        <v>47.246574000000003</v>
      </c>
      <c r="J609">
        <v>-122.553409</v>
      </c>
      <c r="K609" t="s">
        <v>3936</v>
      </c>
      <c r="L609" t="s">
        <v>3946</v>
      </c>
      <c r="M609" t="s">
        <v>4888</v>
      </c>
      <c r="P609" t="s">
        <v>3160</v>
      </c>
    </row>
    <row r="610" spans="1:16" x14ac:dyDescent="0.2">
      <c r="A610" t="s">
        <v>2101</v>
      </c>
      <c r="B610" t="s">
        <v>3174</v>
      </c>
      <c r="C610" t="s">
        <v>3067</v>
      </c>
      <c r="D610" t="s">
        <v>2307</v>
      </c>
      <c r="E610">
        <v>98409</v>
      </c>
      <c r="F610" t="s">
        <v>1600</v>
      </c>
      <c r="G610" t="s">
        <v>2102</v>
      </c>
      <c r="H610" t="s">
        <v>4959</v>
      </c>
      <c r="I610">
        <v>47.222327999999997</v>
      </c>
      <c r="J610">
        <v>-122.471875</v>
      </c>
      <c r="K610" t="s">
        <v>3936</v>
      </c>
      <c r="L610" t="s">
        <v>3946</v>
      </c>
      <c r="M610" t="s">
        <v>4888</v>
      </c>
      <c r="P610" t="s">
        <v>3174</v>
      </c>
    </row>
    <row r="611" spans="1:16" x14ac:dyDescent="0.2">
      <c r="A611" t="s">
        <v>1597</v>
      </c>
      <c r="B611" t="s">
        <v>3845</v>
      </c>
      <c r="C611" t="s">
        <v>3067</v>
      </c>
      <c r="D611" t="s">
        <v>2307</v>
      </c>
      <c r="E611">
        <v>98409</v>
      </c>
      <c r="F611" t="s">
        <v>1573</v>
      </c>
      <c r="G611" t="s">
        <v>1990</v>
      </c>
      <c r="H611" t="s">
        <v>5023</v>
      </c>
      <c r="I611">
        <v>47.217892999999997</v>
      </c>
      <c r="J611">
        <v>-122.46785300000001</v>
      </c>
      <c r="K611" t="s">
        <v>3936</v>
      </c>
      <c r="L611" t="s">
        <v>3946</v>
      </c>
      <c r="M611" t="s">
        <v>4888</v>
      </c>
      <c r="P611" t="s">
        <v>3845</v>
      </c>
    </row>
    <row r="612" spans="1:16" x14ac:dyDescent="0.2">
      <c r="A612" t="s">
        <v>1837</v>
      </c>
      <c r="B612" t="s">
        <v>3846</v>
      </c>
      <c r="C612" t="s">
        <v>3067</v>
      </c>
      <c r="D612" t="s">
        <v>2307</v>
      </c>
      <c r="E612">
        <v>98408</v>
      </c>
      <c r="F612" t="s">
        <v>1583</v>
      </c>
      <c r="G612" t="s">
        <v>1980</v>
      </c>
      <c r="H612" t="s">
        <v>4174</v>
      </c>
      <c r="I612">
        <v>47.213965999999999</v>
      </c>
      <c r="J612">
        <v>-122.44329</v>
      </c>
      <c r="K612" t="s">
        <v>3936</v>
      </c>
      <c r="L612" t="s">
        <v>3946</v>
      </c>
      <c r="M612" t="s">
        <v>4888</v>
      </c>
      <c r="P612" t="s">
        <v>3846</v>
      </c>
    </row>
    <row r="613" spans="1:16" x14ac:dyDescent="0.2">
      <c r="A613" t="s">
        <v>2273</v>
      </c>
      <c r="B613" t="s">
        <v>3182</v>
      </c>
      <c r="C613" t="s">
        <v>3170</v>
      </c>
      <c r="D613" t="s">
        <v>2307</v>
      </c>
      <c r="E613">
        <v>98294</v>
      </c>
      <c r="F613" t="s">
        <v>1583</v>
      </c>
      <c r="G613" t="s">
        <v>1980</v>
      </c>
      <c r="H613" t="s">
        <v>4733</v>
      </c>
      <c r="I613">
        <v>47.862110999999999</v>
      </c>
      <c r="J613">
        <v>-121.80731900000001</v>
      </c>
      <c r="K613" t="s">
        <v>3936</v>
      </c>
      <c r="L613" t="s">
        <v>3946</v>
      </c>
      <c r="M613" t="s">
        <v>4888</v>
      </c>
      <c r="P613" t="s">
        <v>3182</v>
      </c>
    </row>
    <row r="614" spans="1:16" x14ac:dyDescent="0.2">
      <c r="A614" t="s">
        <v>1840</v>
      </c>
      <c r="B614" t="s">
        <v>3850</v>
      </c>
      <c r="C614" t="s">
        <v>3186</v>
      </c>
      <c r="D614" t="s">
        <v>2307</v>
      </c>
      <c r="E614">
        <v>98371</v>
      </c>
      <c r="F614" t="s">
        <v>1583</v>
      </c>
      <c r="G614" t="s">
        <v>1980</v>
      </c>
      <c r="H614" t="s">
        <v>4177</v>
      </c>
      <c r="I614">
        <v>47.201101999999999</v>
      </c>
      <c r="J614">
        <v>-122.302539</v>
      </c>
      <c r="K614" t="s">
        <v>3936</v>
      </c>
      <c r="L614" t="s">
        <v>3946</v>
      </c>
      <c r="M614" t="s">
        <v>4888</v>
      </c>
      <c r="P614" t="s">
        <v>3850</v>
      </c>
    </row>
    <row r="615" spans="1:16" x14ac:dyDescent="0.2">
      <c r="A615" t="s">
        <v>1841</v>
      </c>
      <c r="B615" t="s">
        <v>3851</v>
      </c>
      <c r="C615" t="s">
        <v>3186</v>
      </c>
      <c r="D615" t="s">
        <v>2307</v>
      </c>
      <c r="E615">
        <v>98371</v>
      </c>
      <c r="F615" t="s">
        <v>1583</v>
      </c>
      <c r="G615" t="s">
        <v>1980</v>
      </c>
      <c r="H615" t="s">
        <v>4178</v>
      </c>
      <c r="I615">
        <v>47.200749999999999</v>
      </c>
      <c r="J615">
        <v>-122.29459300000001</v>
      </c>
      <c r="K615" t="s">
        <v>3936</v>
      </c>
      <c r="L615" t="s">
        <v>3946</v>
      </c>
      <c r="M615" t="s">
        <v>4888</v>
      </c>
      <c r="P615" t="s">
        <v>3851</v>
      </c>
    </row>
    <row r="616" spans="1:16" x14ac:dyDescent="0.2">
      <c r="A616" t="s">
        <v>1842</v>
      </c>
      <c r="B616" t="s">
        <v>3852</v>
      </c>
      <c r="C616" t="s">
        <v>3193</v>
      </c>
      <c r="D616" t="s">
        <v>2307</v>
      </c>
      <c r="E616">
        <v>98390</v>
      </c>
      <c r="F616" t="s">
        <v>1591</v>
      </c>
      <c r="G616" t="s">
        <v>1969</v>
      </c>
      <c r="H616" t="s">
        <v>4179</v>
      </c>
      <c r="I616">
        <v>47.203876999999999</v>
      </c>
      <c r="J616">
        <v>-122.24779700000001</v>
      </c>
      <c r="K616" t="s">
        <v>3936</v>
      </c>
      <c r="L616" t="s">
        <v>3946</v>
      </c>
      <c r="M616" t="s">
        <v>4888</v>
      </c>
      <c r="P616" t="s">
        <v>3852</v>
      </c>
    </row>
    <row r="617" spans="1:16" x14ac:dyDescent="0.2">
      <c r="A617" t="s">
        <v>1843</v>
      </c>
      <c r="B617" t="s">
        <v>3853</v>
      </c>
      <c r="C617" t="s">
        <v>3193</v>
      </c>
      <c r="D617" t="s">
        <v>2307</v>
      </c>
      <c r="E617">
        <v>98390</v>
      </c>
      <c r="F617" t="s">
        <v>1583</v>
      </c>
      <c r="G617" t="s">
        <v>1980</v>
      </c>
      <c r="H617" t="s">
        <v>4180</v>
      </c>
      <c r="I617">
        <v>47.202393000000001</v>
      </c>
      <c r="J617">
        <v>-122.240454</v>
      </c>
      <c r="K617" t="s">
        <v>3936</v>
      </c>
      <c r="L617" t="s">
        <v>3946</v>
      </c>
      <c r="M617" t="s">
        <v>4888</v>
      </c>
      <c r="P617" t="s">
        <v>3853</v>
      </c>
    </row>
    <row r="618" spans="1:16" x14ac:dyDescent="0.2">
      <c r="A618" t="s">
        <v>1844</v>
      </c>
      <c r="B618" t="s">
        <v>3854</v>
      </c>
      <c r="C618" t="s">
        <v>3067</v>
      </c>
      <c r="D618" t="s">
        <v>2307</v>
      </c>
      <c r="E618">
        <v>98409</v>
      </c>
      <c r="F618" t="s">
        <v>1583</v>
      </c>
      <c r="G618" t="s">
        <v>1980</v>
      </c>
      <c r="H618" t="s">
        <v>4181</v>
      </c>
      <c r="I618">
        <v>47.207554999999999</v>
      </c>
      <c r="J618">
        <v>-122.48352800000001</v>
      </c>
      <c r="K618" t="s">
        <v>3936</v>
      </c>
      <c r="L618" t="s">
        <v>3946</v>
      </c>
      <c r="M618" t="s">
        <v>4888</v>
      </c>
      <c r="P618" t="s">
        <v>3854</v>
      </c>
    </row>
    <row r="619" spans="1:16" x14ac:dyDescent="0.2">
      <c r="A619" t="s">
        <v>1845</v>
      </c>
      <c r="B619" t="s">
        <v>3855</v>
      </c>
      <c r="C619" t="s">
        <v>3201</v>
      </c>
      <c r="D619" t="s">
        <v>2307</v>
      </c>
      <c r="E619">
        <v>98270</v>
      </c>
      <c r="F619" t="s">
        <v>1587</v>
      </c>
      <c r="G619" t="s">
        <v>1971</v>
      </c>
      <c r="H619" t="s">
        <v>5438</v>
      </c>
      <c r="I619">
        <v>48.050263999999999</v>
      </c>
      <c r="J619">
        <v>-122.18303400000001</v>
      </c>
      <c r="K619" t="s">
        <v>3936</v>
      </c>
      <c r="L619" t="s">
        <v>3946</v>
      </c>
      <c r="M619" t="s">
        <v>4888</v>
      </c>
      <c r="P619" t="s">
        <v>3855</v>
      </c>
    </row>
    <row r="620" spans="1:16" x14ac:dyDescent="0.2">
      <c r="A620" t="s">
        <v>1846</v>
      </c>
      <c r="B620" t="s">
        <v>3856</v>
      </c>
      <c r="C620" t="s">
        <v>3067</v>
      </c>
      <c r="D620" t="s">
        <v>2307</v>
      </c>
      <c r="E620">
        <v>98409</v>
      </c>
      <c r="F620" t="s">
        <v>1583</v>
      </c>
      <c r="G620" t="s">
        <v>1980</v>
      </c>
      <c r="H620" t="s">
        <v>4182</v>
      </c>
      <c r="I620">
        <v>47.205807</v>
      </c>
      <c r="J620">
        <v>-122.48352300000001</v>
      </c>
      <c r="K620" t="s">
        <v>3936</v>
      </c>
      <c r="L620" t="s">
        <v>3946</v>
      </c>
      <c r="M620" t="s">
        <v>4888</v>
      </c>
      <c r="P620" t="s">
        <v>3856</v>
      </c>
    </row>
    <row r="621" spans="1:16" x14ac:dyDescent="0.2">
      <c r="A621" t="s">
        <v>1847</v>
      </c>
      <c r="B621" t="s">
        <v>3857</v>
      </c>
      <c r="C621" t="s">
        <v>3193</v>
      </c>
      <c r="D621" t="s">
        <v>2307</v>
      </c>
      <c r="E621">
        <v>98390</v>
      </c>
      <c r="F621" t="s">
        <v>1591</v>
      </c>
      <c r="G621" t="s">
        <v>1969</v>
      </c>
      <c r="H621" t="s">
        <v>4183</v>
      </c>
      <c r="I621">
        <v>47.202823000000002</v>
      </c>
      <c r="J621">
        <v>-122.218824</v>
      </c>
      <c r="K621" t="s">
        <v>3936</v>
      </c>
      <c r="L621" t="s">
        <v>3946</v>
      </c>
      <c r="M621" t="s">
        <v>4888</v>
      </c>
      <c r="P621" t="s">
        <v>3857</v>
      </c>
    </row>
    <row r="622" spans="1:16" x14ac:dyDescent="0.2">
      <c r="A622" t="s">
        <v>1849</v>
      </c>
      <c r="B622" t="s">
        <v>3527</v>
      </c>
      <c r="C622" t="s">
        <v>3201</v>
      </c>
      <c r="D622" t="s">
        <v>2307</v>
      </c>
      <c r="E622">
        <v>98271</v>
      </c>
      <c r="F622" t="s">
        <v>1583</v>
      </c>
      <c r="G622" t="s">
        <v>1980</v>
      </c>
      <c r="H622" t="s">
        <v>5439</v>
      </c>
      <c r="I622">
        <v>48.053491999999999</v>
      </c>
      <c r="J622">
        <v>-122.188784</v>
      </c>
      <c r="K622" t="s">
        <v>3936</v>
      </c>
      <c r="L622" t="s">
        <v>3946</v>
      </c>
      <c r="M622" t="s">
        <v>4888</v>
      </c>
      <c r="P622" t="s">
        <v>3527</v>
      </c>
    </row>
    <row r="623" spans="1:16" x14ac:dyDescent="0.2">
      <c r="A623" t="s">
        <v>1850</v>
      </c>
      <c r="B623" t="s">
        <v>3859</v>
      </c>
      <c r="C623" t="s">
        <v>3201</v>
      </c>
      <c r="D623" t="s">
        <v>2307</v>
      </c>
      <c r="E623">
        <v>98270</v>
      </c>
      <c r="F623" t="s">
        <v>1591</v>
      </c>
      <c r="G623" t="s">
        <v>1969</v>
      </c>
      <c r="H623" t="s">
        <v>4186</v>
      </c>
      <c r="I623">
        <v>48.052878999999997</v>
      </c>
      <c r="J623">
        <v>-122.18051199999999</v>
      </c>
      <c r="K623" t="s">
        <v>3936</v>
      </c>
      <c r="L623" t="s">
        <v>3946</v>
      </c>
      <c r="M623" t="s">
        <v>4888</v>
      </c>
      <c r="P623" t="s">
        <v>5674</v>
      </c>
    </row>
    <row r="624" spans="1:16" x14ac:dyDescent="0.2">
      <c r="A624" t="s">
        <v>2280</v>
      </c>
      <c r="B624" t="s">
        <v>3215</v>
      </c>
      <c r="C624" t="s">
        <v>3186</v>
      </c>
      <c r="D624" t="s">
        <v>2307</v>
      </c>
      <c r="E624">
        <v>98371</v>
      </c>
      <c r="F624" t="s">
        <v>1583</v>
      </c>
      <c r="G624" t="s">
        <v>1980</v>
      </c>
      <c r="H624" t="s">
        <v>4752</v>
      </c>
      <c r="I624">
        <v>47.190781000000001</v>
      </c>
      <c r="J624">
        <v>-122.293935</v>
      </c>
      <c r="K624" t="s">
        <v>3936</v>
      </c>
      <c r="L624" t="s">
        <v>3946</v>
      </c>
      <c r="M624" t="s">
        <v>4888</v>
      </c>
      <c r="P624" t="s">
        <v>3215</v>
      </c>
    </row>
    <row r="625" spans="1:16" x14ac:dyDescent="0.2">
      <c r="A625" t="s">
        <v>3953</v>
      </c>
      <c r="B625" t="s">
        <v>3217</v>
      </c>
      <c r="C625" t="s">
        <v>3186</v>
      </c>
      <c r="D625" t="s">
        <v>2307</v>
      </c>
      <c r="E625">
        <v>98372</v>
      </c>
      <c r="F625" t="s">
        <v>1600</v>
      </c>
      <c r="G625" t="s">
        <v>2112</v>
      </c>
      <c r="H625" t="s">
        <v>4754</v>
      </c>
      <c r="I625">
        <v>47.191738999999998</v>
      </c>
      <c r="J625">
        <v>-122.275346</v>
      </c>
      <c r="K625" t="s">
        <v>3936</v>
      </c>
      <c r="L625" t="s">
        <v>3946</v>
      </c>
      <c r="M625" t="s">
        <v>4888</v>
      </c>
      <c r="P625" t="s">
        <v>3217</v>
      </c>
    </row>
    <row r="626" spans="1:16" x14ac:dyDescent="0.2">
      <c r="A626" t="s">
        <v>1851</v>
      </c>
      <c r="B626" t="s">
        <v>3861</v>
      </c>
      <c r="C626" t="s">
        <v>3186</v>
      </c>
      <c r="D626" t="s">
        <v>2307</v>
      </c>
      <c r="E626">
        <v>98371</v>
      </c>
      <c r="F626" t="s">
        <v>1583</v>
      </c>
      <c r="G626" t="s">
        <v>1980</v>
      </c>
      <c r="H626" t="s">
        <v>4187</v>
      </c>
      <c r="I626">
        <v>47.187030999999998</v>
      </c>
      <c r="J626">
        <v>-122.298789</v>
      </c>
      <c r="K626" t="s">
        <v>3936</v>
      </c>
      <c r="L626" t="s">
        <v>3946</v>
      </c>
      <c r="M626" t="s">
        <v>4888</v>
      </c>
      <c r="P626" t="s">
        <v>3861</v>
      </c>
    </row>
    <row r="627" spans="1:16" x14ac:dyDescent="0.2">
      <c r="A627" t="s">
        <v>1667</v>
      </c>
      <c r="B627" t="s">
        <v>3862</v>
      </c>
      <c r="C627" t="s">
        <v>3067</v>
      </c>
      <c r="D627" t="s">
        <v>2307</v>
      </c>
      <c r="E627">
        <v>98408</v>
      </c>
      <c r="F627" t="s">
        <v>1658</v>
      </c>
      <c r="G627" t="s">
        <v>1994</v>
      </c>
      <c r="H627" t="s">
        <v>4188</v>
      </c>
      <c r="I627">
        <v>47.192008000000001</v>
      </c>
      <c r="J627">
        <v>-122.45950999999999</v>
      </c>
      <c r="K627" t="s">
        <v>3936</v>
      </c>
      <c r="L627" t="s">
        <v>3946</v>
      </c>
      <c r="M627" t="s">
        <v>4888</v>
      </c>
      <c r="P627" t="s">
        <v>3862</v>
      </c>
    </row>
    <row r="628" spans="1:16" x14ac:dyDescent="0.2">
      <c r="A628" t="s">
        <v>2158</v>
      </c>
      <c r="B628" t="s">
        <v>3224</v>
      </c>
      <c r="C628" t="s">
        <v>3067</v>
      </c>
      <c r="D628" t="s">
        <v>2307</v>
      </c>
      <c r="E628">
        <v>98408</v>
      </c>
      <c r="F628" t="s">
        <v>1716</v>
      </c>
      <c r="G628" t="s">
        <v>2000</v>
      </c>
      <c r="H628" t="s">
        <v>4758</v>
      </c>
      <c r="I628">
        <v>47.192013000000003</v>
      </c>
      <c r="J628">
        <v>-122.459459</v>
      </c>
      <c r="K628" t="s">
        <v>3936</v>
      </c>
      <c r="L628" t="s">
        <v>3946</v>
      </c>
      <c r="M628" t="s">
        <v>4888</v>
      </c>
      <c r="P628" t="s">
        <v>5701</v>
      </c>
    </row>
    <row r="629" spans="1:16" x14ac:dyDescent="0.2">
      <c r="A629" t="s">
        <v>5131</v>
      </c>
      <c r="B629" t="s">
        <v>5132</v>
      </c>
      <c r="C629" t="s">
        <v>3237</v>
      </c>
      <c r="D629" t="s">
        <v>2307</v>
      </c>
      <c r="E629">
        <v>98499</v>
      </c>
      <c r="F629" t="s">
        <v>1583</v>
      </c>
      <c r="G629" t="s">
        <v>1980</v>
      </c>
      <c r="H629" t="s">
        <v>5133</v>
      </c>
      <c r="I629">
        <v>47.187207999999998</v>
      </c>
      <c r="J629">
        <v>-122.516868</v>
      </c>
      <c r="K629" t="s">
        <v>3936</v>
      </c>
      <c r="L629" t="s">
        <v>3946</v>
      </c>
      <c r="M629" t="s">
        <v>4888</v>
      </c>
      <c r="P629" t="s">
        <v>5132</v>
      </c>
    </row>
    <row r="630" spans="1:16" x14ac:dyDescent="0.2">
      <c r="A630" t="s">
        <v>1953</v>
      </c>
      <c r="B630" t="s">
        <v>3528</v>
      </c>
      <c r="C630" t="s">
        <v>3255</v>
      </c>
      <c r="D630" t="s">
        <v>2307</v>
      </c>
      <c r="E630">
        <v>98271</v>
      </c>
      <c r="F630" t="s">
        <v>1573</v>
      </c>
      <c r="G630" t="s">
        <v>1982</v>
      </c>
      <c r="H630" t="s">
        <v>5134</v>
      </c>
      <c r="I630">
        <v>48.078888999999997</v>
      </c>
      <c r="J630">
        <v>-122.190054</v>
      </c>
      <c r="K630" t="s">
        <v>3936</v>
      </c>
      <c r="L630" t="s">
        <v>3946</v>
      </c>
      <c r="M630" t="s">
        <v>4888</v>
      </c>
      <c r="P630" t="s">
        <v>3528</v>
      </c>
    </row>
    <row r="631" spans="1:16" x14ac:dyDescent="0.2">
      <c r="A631" t="s">
        <v>5135</v>
      </c>
      <c r="B631" t="s">
        <v>5136</v>
      </c>
      <c r="C631" t="s">
        <v>3255</v>
      </c>
      <c r="D631" t="s">
        <v>2307</v>
      </c>
      <c r="E631">
        <v>98271</v>
      </c>
      <c r="F631" t="s">
        <v>1573</v>
      </c>
      <c r="G631" t="s">
        <v>1982</v>
      </c>
      <c r="H631" t="s">
        <v>5137</v>
      </c>
      <c r="I631">
        <v>48.078888999999997</v>
      </c>
      <c r="J631">
        <v>-122.190054</v>
      </c>
      <c r="K631" t="s">
        <v>3936</v>
      </c>
      <c r="L631" t="s">
        <v>3946</v>
      </c>
      <c r="M631" t="s">
        <v>4888</v>
      </c>
      <c r="P631" t="s">
        <v>5136</v>
      </c>
    </row>
    <row r="632" spans="1:16" x14ac:dyDescent="0.2">
      <c r="A632" t="s">
        <v>1854</v>
      </c>
      <c r="B632" t="s">
        <v>3865</v>
      </c>
      <c r="C632" t="s">
        <v>3201</v>
      </c>
      <c r="D632" t="s">
        <v>2307</v>
      </c>
      <c r="E632">
        <v>98270</v>
      </c>
      <c r="F632" t="s">
        <v>1583</v>
      </c>
      <c r="G632" t="s">
        <v>1980</v>
      </c>
      <c r="H632" t="s">
        <v>5138</v>
      </c>
      <c r="I632">
        <v>48.071581999999999</v>
      </c>
      <c r="J632">
        <v>-122.139978</v>
      </c>
      <c r="K632" t="s">
        <v>3936</v>
      </c>
      <c r="L632" t="s">
        <v>3946</v>
      </c>
      <c r="M632" t="s">
        <v>4888</v>
      </c>
      <c r="P632" t="s">
        <v>3865</v>
      </c>
    </row>
    <row r="633" spans="1:16" x14ac:dyDescent="0.2">
      <c r="A633" t="s">
        <v>1855</v>
      </c>
      <c r="B633" t="s">
        <v>3867</v>
      </c>
      <c r="C633" t="s">
        <v>3237</v>
      </c>
      <c r="D633" t="s">
        <v>2307</v>
      </c>
      <c r="E633">
        <v>98499</v>
      </c>
      <c r="F633" t="s">
        <v>1591</v>
      </c>
      <c r="G633" t="s">
        <v>1969</v>
      </c>
      <c r="H633" t="s">
        <v>4190</v>
      </c>
      <c r="I633">
        <v>47.176302</v>
      </c>
      <c r="J633">
        <v>-122.488446</v>
      </c>
      <c r="K633" t="s">
        <v>3936</v>
      </c>
      <c r="L633" t="s">
        <v>3946</v>
      </c>
      <c r="M633" t="s">
        <v>4888</v>
      </c>
      <c r="P633" t="s">
        <v>3867</v>
      </c>
    </row>
    <row r="634" spans="1:16" x14ac:dyDescent="0.2">
      <c r="A634" t="s">
        <v>2281</v>
      </c>
      <c r="B634" t="s">
        <v>3243</v>
      </c>
      <c r="C634" t="s">
        <v>3201</v>
      </c>
      <c r="D634" t="s">
        <v>2307</v>
      </c>
      <c r="E634">
        <v>98270</v>
      </c>
      <c r="F634" t="s">
        <v>1716</v>
      </c>
      <c r="G634" t="s">
        <v>1995</v>
      </c>
      <c r="H634" t="s">
        <v>5608</v>
      </c>
      <c r="I634">
        <v>48.08117</v>
      </c>
      <c r="J634">
        <v>-122.174477</v>
      </c>
      <c r="K634" t="s">
        <v>3936</v>
      </c>
      <c r="L634" t="s">
        <v>3946</v>
      </c>
      <c r="M634" t="s">
        <v>4888</v>
      </c>
      <c r="P634" t="s">
        <v>5675</v>
      </c>
    </row>
    <row r="635" spans="1:16" x14ac:dyDescent="0.2">
      <c r="A635" t="s">
        <v>1857</v>
      </c>
      <c r="B635" t="s">
        <v>3871</v>
      </c>
      <c r="C635" t="s">
        <v>3237</v>
      </c>
      <c r="D635" t="s">
        <v>2307</v>
      </c>
      <c r="E635">
        <v>98498</v>
      </c>
      <c r="F635" t="s">
        <v>1583</v>
      </c>
      <c r="G635" t="s">
        <v>1980</v>
      </c>
      <c r="H635" t="s">
        <v>4191</v>
      </c>
      <c r="I635">
        <v>47.181503999999997</v>
      </c>
      <c r="J635">
        <v>-122.547489</v>
      </c>
      <c r="K635" t="s">
        <v>3936</v>
      </c>
      <c r="L635" t="s">
        <v>3946</v>
      </c>
      <c r="M635" t="s">
        <v>4888</v>
      </c>
      <c r="P635" t="s">
        <v>3871</v>
      </c>
    </row>
    <row r="636" spans="1:16" x14ac:dyDescent="0.2">
      <c r="A636" t="s">
        <v>1667</v>
      </c>
      <c r="B636" t="s">
        <v>3873</v>
      </c>
      <c r="C636" t="s">
        <v>3186</v>
      </c>
      <c r="D636" t="s">
        <v>2307</v>
      </c>
      <c r="E636">
        <v>98373</v>
      </c>
      <c r="F636" t="s">
        <v>1658</v>
      </c>
      <c r="G636" t="s">
        <v>1994</v>
      </c>
      <c r="H636" t="s">
        <v>4193</v>
      </c>
      <c r="I636">
        <v>47.156443000000003</v>
      </c>
      <c r="J636">
        <v>-122.357404</v>
      </c>
      <c r="K636" t="s">
        <v>3936</v>
      </c>
      <c r="L636" t="s">
        <v>3946</v>
      </c>
      <c r="M636" t="s">
        <v>4888</v>
      </c>
      <c r="P636" t="s">
        <v>3873</v>
      </c>
    </row>
    <row r="637" spans="1:16" x14ac:dyDescent="0.2">
      <c r="A637" t="s">
        <v>3953</v>
      </c>
      <c r="B637" t="s">
        <v>3259</v>
      </c>
      <c r="C637" t="s">
        <v>3186</v>
      </c>
      <c r="D637" t="s">
        <v>2307</v>
      </c>
      <c r="E637">
        <v>98373</v>
      </c>
      <c r="F637" t="s">
        <v>1600</v>
      </c>
      <c r="G637" t="s">
        <v>2207</v>
      </c>
      <c r="H637" t="s">
        <v>5440</v>
      </c>
      <c r="I637">
        <v>47.155791000000001</v>
      </c>
      <c r="J637">
        <v>-122.35740199999999</v>
      </c>
      <c r="K637" t="s">
        <v>3936</v>
      </c>
      <c r="L637" t="s">
        <v>3946</v>
      </c>
      <c r="M637" t="s">
        <v>4888</v>
      </c>
      <c r="P637" t="s">
        <v>3259</v>
      </c>
    </row>
    <row r="638" spans="1:16" x14ac:dyDescent="0.2">
      <c r="A638" t="s">
        <v>1667</v>
      </c>
      <c r="B638" t="s">
        <v>3874</v>
      </c>
      <c r="C638" t="s">
        <v>3186</v>
      </c>
      <c r="D638" t="s">
        <v>2307</v>
      </c>
      <c r="E638">
        <v>98374</v>
      </c>
      <c r="F638" t="s">
        <v>1658</v>
      </c>
      <c r="G638" t="s">
        <v>1994</v>
      </c>
      <c r="H638" t="s">
        <v>4194</v>
      </c>
      <c r="I638">
        <v>47.156782</v>
      </c>
      <c r="J638">
        <v>-122.29214899999999</v>
      </c>
      <c r="K638" t="s">
        <v>3936</v>
      </c>
      <c r="L638" t="s">
        <v>3946</v>
      </c>
      <c r="M638" t="s">
        <v>4888</v>
      </c>
      <c r="P638" t="s">
        <v>3874</v>
      </c>
    </row>
    <row r="639" spans="1:16" x14ac:dyDescent="0.2">
      <c r="A639" t="s">
        <v>1597</v>
      </c>
      <c r="B639" t="s">
        <v>3875</v>
      </c>
      <c r="C639" t="s">
        <v>3067</v>
      </c>
      <c r="D639" t="s">
        <v>2307</v>
      </c>
      <c r="E639">
        <v>98499</v>
      </c>
      <c r="F639" t="s">
        <v>1573</v>
      </c>
      <c r="G639" t="s">
        <v>1990</v>
      </c>
      <c r="H639" t="s">
        <v>5318</v>
      </c>
      <c r="I639">
        <v>47.165149</v>
      </c>
      <c r="J639">
        <v>-122.483808</v>
      </c>
      <c r="K639" t="s">
        <v>3936</v>
      </c>
      <c r="L639" t="s">
        <v>3946</v>
      </c>
      <c r="M639" t="s">
        <v>4888</v>
      </c>
      <c r="P639" t="s">
        <v>3875</v>
      </c>
    </row>
    <row r="640" spans="1:16" x14ac:dyDescent="0.2">
      <c r="A640" t="s">
        <v>3953</v>
      </c>
      <c r="B640" t="s">
        <v>6246</v>
      </c>
      <c r="C640" t="s">
        <v>3186</v>
      </c>
      <c r="D640" t="s">
        <v>2307</v>
      </c>
      <c r="E640">
        <v>98373</v>
      </c>
      <c r="F640" t="s">
        <v>1600</v>
      </c>
      <c r="G640" t="s">
        <v>2207</v>
      </c>
      <c r="H640" t="s">
        <v>5139</v>
      </c>
      <c r="I640">
        <v>47.155656999999998</v>
      </c>
      <c r="J640">
        <v>-122.29325300000001</v>
      </c>
      <c r="K640" t="s">
        <v>3936</v>
      </c>
      <c r="L640" t="s">
        <v>3946</v>
      </c>
      <c r="M640" t="s">
        <v>4888</v>
      </c>
      <c r="P640" t="s">
        <v>6044</v>
      </c>
    </row>
    <row r="641" spans="1:16" x14ac:dyDescent="0.2">
      <c r="A641" t="s">
        <v>1704</v>
      </c>
      <c r="B641" t="s">
        <v>3876</v>
      </c>
      <c r="C641" t="s">
        <v>3186</v>
      </c>
      <c r="D641" t="s">
        <v>2307</v>
      </c>
      <c r="E641">
        <v>98373</v>
      </c>
      <c r="F641" t="s">
        <v>1600</v>
      </c>
      <c r="G641" t="s">
        <v>2004</v>
      </c>
      <c r="H641" t="s">
        <v>5319</v>
      </c>
      <c r="I641">
        <v>47.153928999999998</v>
      </c>
      <c r="J641">
        <v>-122.293094</v>
      </c>
      <c r="K641" t="s">
        <v>3936</v>
      </c>
      <c r="L641" t="s">
        <v>3946</v>
      </c>
      <c r="M641" t="s">
        <v>4888</v>
      </c>
      <c r="P641" t="s">
        <v>3876</v>
      </c>
    </row>
    <row r="642" spans="1:16" x14ac:dyDescent="0.2">
      <c r="A642" t="s">
        <v>2101</v>
      </c>
      <c r="B642" t="s">
        <v>3270</v>
      </c>
      <c r="C642" t="s">
        <v>3067</v>
      </c>
      <c r="D642" t="s">
        <v>2307</v>
      </c>
      <c r="E642">
        <v>98499</v>
      </c>
      <c r="F642" t="s">
        <v>1600</v>
      </c>
      <c r="G642" t="s">
        <v>2142</v>
      </c>
      <c r="H642" t="s">
        <v>5441</v>
      </c>
      <c r="I642">
        <v>47.168194</v>
      </c>
      <c r="J642">
        <v>-122.520595</v>
      </c>
      <c r="K642" t="s">
        <v>3936</v>
      </c>
      <c r="L642" t="s">
        <v>3946</v>
      </c>
      <c r="M642" t="s">
        <v>4888</v>
      </c>
      <c r="P642" t="s">
        <v>3270</v>
      </c>
    </row>
    <row r="643" spans="1:16" x14ac:dyDescent="0.2">
      <c r="A643" t="s">
        <v>1667</v>
      </c>
      <c r="B643" t="s">
        <v>3879</v>
      </c>
      <c r="C643" t="s">
        <v>3191</v>
      </c>
      <c r="D643" t="s">
        <v>2307</v>
      </c>
      <c r="E643">
        <v>98390</v>
      </c>
      <c r="F643" t="s">
        <v>1658</v>
      </c>
      <c r="G643" t="s">
        <v>1994</v>
      </c>
      <c r="H643" t="s">
        <v>4196</v>
      </c>
      <c r="I643">
        <v>47.168205</v>
      </c>
      <c r="J643">
        <v>-122.152739</v>
      </c>
      <c r="K643" t="s">
        <v>3936</v>
      </c>
      <c r="L643" t="s">
        <v>3946</v>
      </c>
      <c r="M643" t="s">
        <v>4888</v>
      </c>
      <c r="P643" t="s">
        <v>3879</v>
      </c>
    </row>
    <row r="644" spans="1:16" x14ac:dyDescent="0.2">
      <c r="A644" t="s">
        <v>1859</v>
      </c>
      <c r="B644" t="s">
        <v>3881</v>
      </c>
      <c r="C644" t="s">
        <v>3191</v>
      </c>
      <c r="D644" t="s">
        <v>2307</v>
      </c>
      <c r="E644">
        <v>98391</v>
      </c>
      <c r="F644" t="s">
        <v>1583</v>
      </c>
      <c r="G644" t="s">
        <v>1980</v>
      </c>
      <c r="H644" t="s">
        <v>4198</v>
      </c>
      <c r="I644">
        <v>47.167724999999997</v>
      </c>
      <c r="J644">
        <v>-122.145595</v>
      </c>
      <c r="K644" t="s">
        <v>3936</v>
      </c>
      <c r="L644" t="s">
        <v>3946</v>
      </c>
      <c r="M644" t="s">
        <v>4888</v>
      </c>
      <c r="P644" t="s">
        <v>3881</v>
      </c>
    </row>
    <row r="645" spans="1:16" x14ac:dyDescent="0.2">
      <c r="A645" t="s">
        <v>1889</v>
      </c>
      <c r="B645" t="s">
        <v>3279</v>
      </c>
      <c r="C645" t="s">
        <v>3201</v>
      </c>
      <c r="D645" t="s">
        <v>2307</v>
      </c>
      <c r="E645">
        <v>98271</v>
      </c>
      <c r="F645" t="s">
        <v>1658</v>
      </c>
      <c r="G645" t="s">
        <v>1987</v>
      </c>
      <c r="H645" t="s">
        <v>4790</v>
      </c>
      <c r="I645">
        <v>48.098934999999997</v>
      </c>
      <c r="J645">
        <v>-122.17462500000001</v>
      </c>
      <c r="K645" t="s">
        <v>3936</v>
      </c>
      <c r="L645" t="s">
        <v>3946</v>
      </c>
      <c r="M645" t="s">
        <v>4888</v>
      </c>
      <c r="P645" t="s">
        <v>3279</v>
      </c>
    </row>
    <row r="646" spans="1:16" x14ac:dyDescent="0.2">
      <c r="A646" t="s">
        <v>2283</v>
      </c>
      <c r="B646" t="s">
        <v>6247</v>
      </c>
      <c r="C646" t="s">
        <v>3201</v>
      </c>
      <c r="D646" t="s">
        <v>2307</v>
      </c>
      <c r="E646">
        <v>98271</v>
      </c>
      <c r="F646" t="s">
        <v>2268</v>
      </c>
      <c r="G646" t="s">
        <v>1969</v>
      </c>
      <c r="H646" t="s">
        <v>5442</v>
      </c>
      <c r="I646">
        <v>48.098934999999997</v>
      </c>
      <c r="J646">
        <v>-122.17462500000001</v>
      </c>
      <c r="K646" t="s">
        <v>3936</v>
      </c>
      <c r="L646" t="s">
        <v>3946</v>
      </c>
      <c r="M646" t="s">
        <v>4888</v>
      </c>
      <c r="P646" t="s">
        <v>6045</v>
      </c>
    </row>
    <row r="647" spans="1:16" x14ac:dyDescent="0.2">
      <c r="A647" t="s">
        <v>1860</v>
      </c>
      <c r="B647" t="s">
        <v>3882</v>
      </c>
      <c r="C647" t="s">
        <v>3191</v>
      </c>
      <c r="D647" t="s">
        <v>2307</v>
      </c>
      <c r="E647">
        <v>98391</v>
      </c>
      <c r="F647" t="s">
        <v>1583</v>
      </c>
      <c r="G647" t="s">
        <v>1980</v>
      </c>
      <c r="H647" t="s">
        <v>4199</v>
      </c>
      <c r="I647">
        <v>47.166848000000002</v>
      </c>
      <c r="J647">
        <v>-122.137342</v>
      </c>
      <c r="K647" t="s">
        <v>3936</v>
      </c>
      <c r="L647" t="s">
        <v>3946</v>
      </c>
      <c r="M647" t="s">
        <v>4888</v>
      </c>
      <c r="P647" t="s">
        <v>3882</v>
      </c>
    </row>
    <row r="648" spans="1:16" x14ac:dyDescent="0.2">
      <c r="A648" t="s">
        <v>2284</v>
      </c>
      <c r="B648" t="s">
        <v>3283</v>
      </c>
      <c r="C648" t="s">
        <v>3201</v>
      </c>
      <c r="D648" t="s">
        <v>2307</v>
      </c>
      <c r="E648">
        <v>98271</v>
      </c>
      <c r="F648" t="s">
        <v>1583</v>
      </c>
      <c r="G648" t="s">
        <v>1980</v>
      </c>
      <c r="H648" t="s">
        <v>4792</v>
      </c>
      <c r="I648">
        <v>48.100186999999998</v>
      </c>
      <c r="J648">
        <v>-122.17505800000001</v>
      </c>
      <c r="K648" t="s">
        <v>3936</v>
      </c>
      <c r="L648" t="s">
        <v>3946</v>
      </c>
      <c r="M648" t="s">
        <v>4888</v>
      </c>
      <c r="P648" t="s">
        <v>3283</v>
      </c>
    </row>
    <row r="649" spans="1:16" x14ac:dyDescent="0.2">
      <c r="A649" t="s">
        <v>1861</v>
      </c>
      <c r="B649" t="s">
        <v>3883</v>
      </c>
      <c r="C649" t="s">
        <v>3186</v>
      </c>
      <c r="D649" t="s">
        <v>2307</v>
      </c>
      <c r="E649">
        <v>98374</v>
      </c>
      <c r="F649" t="s">
        <v>1583</v>
      </c>
      <c r="G649" t="s">
        <v>1980</v>
      </c>
      <c r="H649" t="s">
        <v>4200</v>
      </c>
      <c r="I649">
        <v>47.147329999999997</v>
      </c>
      <c r="J649">
        <v>-122.29183399999999</v>
      </c>
      <c r="K649" t="s">
        <v>3936</v>
      </c>
      <c r="L649" t="s">
        <v>3946</v>
      </c>
      <c r="M649" t="s">
        <v>4888</v>
      </c>
      <c r="P649" t="s">
        <v>5702</v>
      </c>
    </row>
    <row r="650" spans="1:16" x14ac:dyDescent="0.2">
      <c r="A650" t="s">
        <v>2286</v>
      </c>
      <c r="B650" t="s">
        <v>3290</v>
      </c>
      <c r="C650" t="s">
        <v>3201</v>
      </c>
      <c r="D650" t="s">
        <v>2307</v>
      </c>
      <c r="E650">
        <v>98271</v>
      </c>
      <c r="F650" t="s">
        <v>1602</v>
      </c>
      <c r="G650" t="s">
        <v>2005</v>
      </c>
      <c r="H650" t="s">
        <v>4795</v>
      </c>
      <c r="I650">
        <v>48.106195999999997</v>
      </c>
      <c r="J650">
        <v>-122.177301</v>
      </c>
      <c r="K650" t="s">
        <v>3936</v>
      </c>
      <c r="L650" t="s">
        <v>3946</v>
      </c>
      <c r="M650" t="s">
        <v>4888</v>
      </c>
      <c r="P650" t="s">
        <v>3290</v>
      </c>
    </row>
    <row r="651" spans="1:16" x14ac:dyDescent="0.2">
      <c r="A651" t="s">
        <v>2287</v>
      </c>
      <c r="B651" t="s">
        <v>3295</v>
      </c>
      <c r="C651" t="s">
        <v>3296</v>
      </c>
      <c r="D651" t="s">
        <v>2307</v>
      </c>
      <c r="E651">
        <v>98388</v>
      </c>
      <c r="F651" t="s">
        <v>2035</v>
      </c>
      <c r="G651" t="s">
        <v>2005</v>
      </c>
      <c r="H651" t="s">
        <v>4797</v>
      </c>
      <c r="I651">
        <v>47.169533000000001</v>
      </c>
      <c r="J651">
        <v>-122.602817</v>
      </c>
      <c r="K651" t="s">
        <v>3936</v>
      </c>
      <c r="L651" t="s">
        <v>3946</v>
      </c>
      <c r="M651" t="s">
        <v>4888</v>
      </c>
      <c r="P651" t="s">
        <v>3295</v>
      </c>
    </row>
    <row r="652" spans="1:16" x14ac:dyDescent="0.2">
      <c r="A652" t="s">
        <v>2288</v>
      </c>
      <c r="B652" t="s">
        <v>3297</v>
      </c>
      <c r="C652" t="s">
        <v>3296</v>
      </c>
      <c r="D652" t="s">
        <v>2307</v>
      </c>
      <c r="E652">
        <v>98388</v>
      </c>
      <c r="F652" t="s">
        <v>1583</v>
      </c>
      <c r="G652" t="s">
        <v>1980</v>
      </c>
      <c r="H652" t="s">
        <v>4798</v>
      </c>
      <c r="I652">
        <v>47.169727000000002</v>
      </c>
      <c r="J652">
        <v>-122.602817</v>
      </c>
      <c r="K652" t="s">
        <v>3936</v>
      </c>
      <c r="L652" t="s">
        <v>3946</v>
      </c>
      <c r="M652" t="s">
        <v>4888</v>
      </c>
      <c r="P652" t="s">
        <v>3297</v>
      </c>
    </row>
    <row r="653" spans="1:16" x14ac:dyDescent="0.2">
      <c r="A653" t="s">
        <v>1704</v>
      </c>
      <c r="B653" t="s">
        <v>3887</v>
      </c>
      <c r="C653" t="s">
        <v>3067</v>
      </c>
      <c r="D653" t="s">
        <v>2307</v>
      </c>
      <c r="E653">
        <v>98444</v>
      </c>
      <c r="F653" t="s">
        <v>1600</v>
      </c>
      <c r="G653" t="s">
        <v>2004</v>
      </c>
      <c r="H653" t="s">
        <v>4203</v>
      </c>
      <c r="I653">
        <v>47.132192000000003</v>
      </c>
      <c r="J653">
        <v>-122.434488</v>
      </c>
      <c r="K653" t="s">
        <v>3936</v>
      </c>
      <c r="L653" t="s">
        <v>3946</v>
      </c>
      <c r="M653" t="s">
        <v>4888</v>
      </c>
      <c r="P653" t="s">
        <v>3887</v>
      </c>
    </row>
    <row r="654" spans="1:16" x14ac:dyDescent="0.2">
      <c r="A654" t="s">
        <v>2073</v>
      </c>
      <c r="B654" t="s">
        <v>3302</v>
      </c>
      <c r="C654" t="s">
        <v>3186</v>
      </c>
      <c r="D654" t="s">
        <v>2307</v>
      </c>
      <c r="E654">
        <v>98373</v>
      </c>
      <c r="F654" t="s">
        <v>1658</v>
      </c>
      <c r="G654" t="s">
        <v>2074</v>
      </c>
      <c r="H654" t="s">
        <v>5443</v>
      </c>
      <c r="I654">
        <v>47.127147000000001</v>
      </c>
      <c r="J654">
        <v>-122.292858</v>
      </c>
      <c r="K654" t="s">
        <v>3936</v>
      </c>
      <c r="L654" t="s">
        <v>3946</v>
      </c>
      <c r="M654" t="s">
        <v>4888</v>
      </c>
      <c r="P654" t="s">
        <v>3302</v>
      </c>
    </row>
    <row r="655" spans="1:16" x14ac:dyDescent="0.2">
      <c r="A655" t="s">
        <v>5140</v>
      </c>
      <c r="B655" t="s">
        <v>5141</v>
      </c>
      <c r="C655" t="s">
        <v>3364</v>
      </c>
      <c r="D655" t="s">
        <v>2307</v>
      </c>
      <c r="E655">
        <v>98292</v>
      </c>
      <c r="F655" t="s">
        <v>1573</v>
      </c>
      <c r="G655" t="s">
        <v>1969</v>
      </c>
      <c r="H655" t="s">
        <v>5142</v>
      </c>
      <c r="I655">
        <v>48.139305999999998</v>
      </c>
      <c r="J655">
        <v>-122.35847</v>
      </c>
      <c r="K655" t="s">
        <v>3936</v>
      </c>
      <c r="L655" t="s">
        <v>3946</v>
      </c>
      <c r="M655" t="s">
        <v>4888</v>
      </c>
      <c r="P655" t="s">
        <v>5141</v>
      </c>
    </row>
    <row r="656" spans="1:16" x14ac:dyDescent="0.2">
      <c r="A656" t="s">
        <v>2290</v>
      </c>
      <c r="B656" t="s">
        <v>3309</v>
      </c>
      <c r="C656" t="s">
        <v>3307</v>
      </c>
      <c r="D656" t="s">
        <v>2307</v>
      </c>
      <c r="E656">
        <v>98321</v>
      </c>
      <c r="F656" t="s">
        <v>1583</v>
      </c>
      <c r="G656" t="s">
        <v>1980</v>
      </c>
      <c r="H656" t="s">
        <v>4807</v>
      </c>
      <c r="I656">
        <v>47.162913000000003</v>
      </c>
      <c r="J656">
        <v>-122.028408</v>
      </c>
      <c r="K656" t="s">
        <v>3936</v>
      </c>
      <c r="L656" t="s">
        <v>3946</v>
      </c>
      <c r="M656" t="s">
        <v>4888</v>
      </c>
      <c r="P656" t="s">
        <v>3309</v>
      </c>
    </row>
    <row r="657" spans="1:16" x14ac:dyDescent="0.2">
      <c r="A657" t="s">
        <v>2183</v>
      </c>
      <c r="B657" t="s">
        <v>3322</v>
      </c>
      <c r="C657" t="s">
        <v>3186</v>
      </c>
      <c r="D657" t="s">
        <v>2307</v>
      </c>
      <c r="E657">
        <v>98375</v>
      </c>
      <c r="F657" t="s">
        <v>1716</v>
      </c>
      <c r="G657" t="s">
        <v>2000</v>
      </c>
      <c r="H657" t="s">
        <v>4814</v>
      </c>
      <c r="I657">
        <v>47.107263000000003</v>
      </c>
      <c r="J657">
        <v>-122.293628</v>
      </c>
      <c r="K657" t="s">
        <v>3936</v>
      </c>
      <c r="L657" t="s">
        <v>3946</v>
      </c>
      <c r="M657" t="s">
        <v>4888</v>
      </c>
      <c r="P657" t="s">
        <v>3322</v>
      </c>
    </row>
    <row r="658" spans="1:16" x14ac:dyDescent="0.2">
      <c r="A658" t="s">
        <v>1964</v>
      </c>
      <c r="B658" t="s">
        <v>3529</v>
      </c>
      <c r="C658" t="s">
        <v>3329</v>
      </c>
      <c r="D658" t="s">
        <v>2307</v>
      </c>
      <c r="E658">
        <v>98223</v>
      </c>
      <c r="F658" t="s">
        <v>1591</v>
      </c>
      <c r="G658" t="s">
        <v>1969</v>
      </c>
      <c r="H658" t="s">
        <v>4033</v>
      </c>
      <c r="I658">
        <v>48.147981000000001</v>
      </c>
      <c r="J658">
        <v>-122.183136</v>
      </c>
      <c r="K658" t="s">
        <v>3936</v>
      </c>
      <c r="L658" t="s">
        <v>3946</v>
      </c>
      <c r="M658" t="s">
        <v>4888</v>
      </c>
      <c r="P658" t="s">
        <v>3529</v>
      </c>
    </row>
    <row r="659" spans="1:16" x14ac:dyDescent="0.2">
      <c r="A659" t="s">
        <v>3953</v>
      </c>
      <c r="B659" t="s">
        <v>3331</v>
      </c>
      <c r="C659" t="s">
        <v>3186</v>
      </c>
      <c r="D659" t="s">
        <v>2307</v>
      </c>
      <c r="E659">
        <v>98375</v>
      </c>
      <c r="F659" t="s">
        <v>1600</v>
      </c>
      <c r="G659" t="s">
        <v>2207</v>
      </c>
      <c r="H659" t="s">
        <v>5143</v>
      </c>
      <c r="I659">
        <v>47.099305000000001</v>
      </c>
      <c r="J659">
        <v>-122.29372499999999</v>
      </c>
      <c r="K659" t="s">
        <v>3936</v>
      </c>
      <c r="L659" t="s">
        <v>3946</v>
      </c>
      <c r="M659" t="s">
        <v>4888</v>
      </c>
      <c r="P659" t="s">
        <v>3331</v>
      </c>
    </row>
    <row r="660" spans="1:16" x14ac:dyDescent="0.2">
      <c r="A660" t="s">
        <v>2292</v>
      </c>
      <c r="B660" t="s">
        <v>3335</v>
      </c>
      <c r="C660" t="s">
        <v>3329</v>
      </c>
      <c r="D660" t="s">
        <v>2307</v>
      </c>
      <c r="E660">
        <v>98223</v>
      </c>
      <c r="F660" t="s">
        <v>1583</v>
      </c>
      <c r="G660" t="s">
        <v>1980</v>
      </c>
      <c r="H660" t="s">
        <v>4823</v>
      </c>
      <c r="I660">
        <v>48.153387000000002</v>
      </c>
      <c r="J660">
        <v>-122.18275</v>
      </c>
      <c r="K660" t="s">
        <v>3936</v>
      </c>
      <c r="L660" t="s">
        <v>3946</v>
      </c>
      <c r="M660" t="s">
        <v>4888</v>
      </c>
      <c r="P660" t="s">
        <v>3335</v>
      </c>
    </row>
    <row r="661" spans="1:16" x14ac:dyDescent="0.2">
      <c r="A661" t="s">
        <v>1870</v>
      </c>
      <c r="B661" t="s">
        <v>3899</v>
      </c>
      <c r="C661" t="s">
        <v>3329</v>
      </c>
      <c r="D661" t="s">
        <v>2307</v>
      </c>
      <c r="E661">
        <v>98223</v>
      </c>
      <c r="F661" t="s">
        <v>1591</v>
      </c>
      <c r="G661" t="s">
        <v>1969</v>
      </c>
      <c r="H661" t="s">
        <v>4210</v>
      </c>
      <c r="I661">
        <v>48.15484</v>
      </c>
      <c r="J661">
        <v>-122.187319</v>
      </c>
      <c r="K661" t="s">
        <v>3936</v>
      </c>
      <c r="L661" t="s">
        <v>3946</v>
      </c>
      <c r="M661" t="s">
        <v>4888</v>
      </c>
      <c r="P661" t="s">
        <v>3899</v>
      </c>
    </row>
    <row r="662" spans="1:16" x14ac:dyDescent="0.2">
      <c r="A662" t="s">
        <v>1871</v>
      </c>
      <c r="B662" t="s">
        <v>6248</v>
      </c>
      <c r="C662" t="s">
        <v>3329</v>
      </c>
      <c r="D662" t="s">
        <v>2307</v>
      </c>
      <c r="E662">
        <v>98223</v>
      </c>
      <c r="F662" t="s">
        <v>1591</v>
      </c>
      <c r="G662" t="s">
        <v>1993</v>
      </c>
      <c r="H662" t="s">
        <v>4211</v>
      </c>
      <c r="I662">
        <v>48.151986000000001</v>
      </c>
      <c r="J662">
        <v>-122.159503</v>
      </c>
      <c r="K662" t="s">
        <v>3936</v>
      </c>
      <c r="L662" t="s">
        <v>3946</v>
      </c>
      <c r="M662" t="s">
        <v>4888</v>
      </c>
      <c r="P662" t="s">
        <v>6046</v>
      </c>
    </row>
    <row r="663" spans="1:16" x14ac:dyDescent="0.2">
      <c r="A663" t="s">
        <v>5144</v>
      </c>
      <c r="B663" t="s">
        <v>5145</v>
      </c>
      <c r="C663" t="s">
        <v>3329</v>
      </c>
      <c r="D663" t="s">
        <v>2307</v>
      </c>
      <c r="E663">
        <v>98223</v>
      </c>
      <c r="F663" t="s">
        <v>1583</v>
      </c>
      <c r="G663" t="s">
        <v>1980</v>
      </c>
      <c r="H663" t="s">
        <v>5146</v>
      </c>
      <c r="I663">
        <v>48.156713000000003</v>
      </c>
      <c r="J663">
        <v>-122.127531</v>
      </c>
      <c r="K663" t="s">
        <v>3936</v>
      </c>
      <c r="L663" t="s">
        <v>3946</v>
      </c>
      <c r="M663" t="s">
        <v>4888</v>
      </c>
      <c r="P663" t="s">
        <v>5145</v>
      </c>
    </row>
    <row r="664" spans="1:16" x14ac:dyDescent="0.2">
      <c r="A664" t="s">
        <v>2293</v>
      </c>
      <c r="B664" t="s">
        <v>3343</v>
      </c>
      <c r="C664" t="s">
        <v>3329</v>
      </c>
      <c r="D664" t="s">
        <v>2307</v>
      </c>
      <c r="E664">
        <v>98223</v>
      </c>
      <c r="F664" t="s">
        <v>1583</v>
      </c>
      <c r="G664" t="s">
        <v>1980</v>
      </c>
      <c r="H664" t="s">
        <v>4826</v>
      </c>
      <c r="I664">
        <v>48.167189999999998</v>
      </c>
      <c r="J664">
        <v>-122.151787</v>
      </c>
      <c r="K664" t="s">
        <v>3936</v>
      </c>
      <c r="L664" t="s">
        <v>3946</v>
      </c>
      <c r="M664" t="s">
        <v>4888</v>
      </c>
      <c r="P664" t="s">
        <v>3343</v>
      </c>
    </row>
    <row r="665" spans="1:16" x14ac:dyDescent="0.2">
      <c r="A665" t="s">
        <v>1693</v>
      </c>
      <c r="B665" t="s">
        <v>3900</v>
      </c>
      <c r="C665" t="s">
        <v>3345</v>
      </c>
      <c r="D665" t="s">
        <v>2307</v>
      </c>
      <c r="E665">
        <v>98387</v>
      </c>
      <c r="F665" t="s">
        <v>1587</v>
      </c>
      <c r="G665" t="s">
        <v>1989</v>
      </c>
      <c r="H665" t="s">
        <v>4212</v>
      </c>
      <c r="I665">
        <v>47.072035</v>
      </c>
      <c r="J665">
        <v>-122.41976</v>
      </c>
      <c r="K665" t="s">
        <v>3936</v>
      </c>
      <c r="L665" t="s">
        <v>3946</v>
      </c>
      <c r="M665" t="s">
        <v>4888</v>
      </c>
      <c r="P665" t="s">
        <v>3900</v>
      </c>
    </row>
    <row r="666" spans="1:16" x14ac:dyDescent="0.2">
      <c r="A666" t="s">
        <v>1873</v>
      </c>
      <c r="B666" t="s">
        <v>3902</v>
      </c>
      <c r="C666" t="s">
        <v>3329</v>
      </c>
      <c r="D666" t="s">
        <v>2307</v>
      </c>
      <c r="E666">
        <v>98223</v>
      </c>
      <c r="F666" t="s">
        <v>1583</v>
      </c>
      <c r="G666" t="s">
        <v>1980</v>
      </c>
      <c r="H666" t="s">
        <v>4214</v>
      </c>
      <c r="I666">
        <v>48.196564000000002</v>
      </c>
      <c r="J666">
        <v>-122.126542</v>
      </c>
      <c r="K666" t="s">
        <v>3936</v>
      </c>
      <c r="L666" t="s">
        <v>3946</v>
      </c>
      <c r="M666" t="s">
        <v>4888</v>
      </c>
      <c r="P666" t="s">
        <v>3902</v>
      </c>
    </row>
    <row r="667" spans="1:16" x14ac:dyDescent="0.2">
      <c r="A667" t="s">
        <v>2297</v>
      </c>
      <c r="B667" t="s">
        <v>3371</v>
      </c>
      <c r="C667" t="s">
        <v>3364</v>
      </c>
      <c r="D667" t="s">
        <v>2307</v>
      </c>
      <c r="E667">
        <v>98292</v>
      </c>
      <c r="F667" t="s">
        <v>1591</v>
      </c>
      <c r="G667" t="s">
        <v>1969</v>
      </c>
      <c r="H667" t="s">
        <v>4843</v>
      </c>
      <c r="I667">
        <v>48.241385999999999</v>
      </c>
      <c r="J667">
        <v>-122.366997</v>
      </c>
      <c r="K667" t="s">
        <v>3936</v>
      </c>
      <c r="L667" t="s">
        <v>3946</v>
      </c>
      <c r="M667" t="s">
        <v>4888</v>
      </c>
      <c r="P667" t="s">
        <v>3371</v>
      </c>
    </row>
    <row r="668" spans="1:16" x14ac:dyDescent="0.2">
      <c r="A668" t="s">
        <v>1877</v>
      </c>
      <c r="B668" t="s">
        <v>3907</v>
      </c>
      <c r="C668" t="s">
        <v>3364</v>
      </c>
      <c r="D668" t="s">
        <v>2307</v>
      </c>
      <c r="E668">
        <v>98292</v>
      </c>
      <c r="F668" t="s">
        <v>1583</v>
      </c>
      <c r="G668" t="s">
        <v>1980</v>
      </c>
      <c r="H668" t="s">
        <v>4218</v>
      </c>
      <c r="I668">
        <v>48.241795000000003</v>
      </c>
      <c r="J668">
        <v>-122.37044400000001</v>
      </c>
      <c r="K668" t="s">
        <v>3936</v>
      </c>
      <c r="L668" t="s">
        <v>3946</v>
      </c>
      <c r="M668" t="s">
        <v>4888</v>
      </c>
      <c r="P668" t="s">
        <v>3907</v>
      </c>
    </row>
    <row r="669" spans="1:16" x14ac:dyDescent="0.2">
      <c r="A669" t="s">
        <v>2261</v>
      </c>
      <c r="B669" t="s">
        <v>3372</v>
      </c>
      <c r="C669" t="s">
        <v>3364</v>
      </c>
      <c r="D669" t="s">
        <v>2307</v>
      </c>
      <c r="E669">
        <v>98292</v>
      </c>
      <c r="F669" t="s">
        <v>1571</v>
      </c>
      <c r="G669" t="s">
        <v>1987</v>
      </c>
      <c r="H669" t="s">
        <v>5147</v>
      </c>
      <c r="I669">
        <v>48.241796000000001</v>
      </c>
      <c r="J669">
        <v>-122.370772</v>
      </c>
      <c r="K669" t="s">
        <v>3936</v>
      </c>
      <c r="L669" t="s">
        <v>3946</v>
      </c>
      <c r="M669" t="s">
        <v>4888</v>
      </c>
      <c r="P669" t="s">
        <v>3372</v>
      </c>
    </row>
    <row r="670" spans="1:16" x14ac:dyDescent="0.2">
      <c r="A670" t="s">
        <v>1878</v>
      </c>
      <c r="B670" t="s">
        <v>3908</v>
      </c>
      <c r="C670" t="s">
        <v>3364</v>
      </c>
      <c r="D670" t="s">
        <v>2307</v>
      </c>
      <c r="E670">
        <v>98292</v>
      </c>
      <c r="F670" t="s">
        <v>1583</v>
      </c>
      <c r="G670" t="s">
        <v>1980</v>
      </c>
      <c r="H670" t="s">
        <v>4219</v>
      </c>
      <c r="I670">
        <v>48.241957999999997</v>
      </c>
      <c r="J670">
        <v>-122.351516</v>
      </c>
      <c r="K670" t="s">
        <v>3936</v>
      </c>
      <c r="L670" t="s">
        <v>3946</v>
      </c>
      <c r="M670" t="s">
        <v>4888</v>
      </c>
      <c r="P670" t="s">
        <v>3908</v>
      </c>
    </row>
    <row r="671" spans="1:16" x14ac:dyDescent="0.2">
      <c r="A671" t="s">
        <v>1874</v>
      </c>
      <c r="B671" t="s">
        <v>6249</v>
      </c>
      <c r="C671" t="s">
        <v>3909</v>
      </c>
      <c r="D671" t="s">
        <v>2307</v>
      </c>
      <c r="E671">
        <v>98239</v>
      </c>
      <c r="F671" t="s">
        <v>1583</v>
      </c>
      <c r="G671" t="s">
        <v>1980</v>
      </c>
      <c r="H671" t="s">
        <v>4220</v>
      </c>
      <c r="I671">
        <v>48.211019999999998</v>
      </c>
      <c r="J671">
        <v>-122.685929</v>
      </c>
      <c r="K671" t="s">
        <v>3936</v>
      </c>
      <c r="L671" t="s">
        <v>3946</v>
      </c>
      <c r="M671" t="s">
        <v>4888</v>
      </c>
      <c r="P671" t="s">
        <v>6048</v>
      </c>
    </row>
    <row r="672" spans="1:16" x14ac:dyDescent="0.2">
      <c r="A672" t="s">
        <v>1879</v>
      </c>
      <c r="B672" t="s">
        <v>3910</v>
      </c>
      <c r="C672" t="s">
        <v>3911</v>
      </c>
      <c r="D672" t="s">
        <v>2307</v>
      </c>
      <c r="E672">
        <v>98584</v>
      </c>
      <c r="F672" t="s">
        <v>1583</v>
      </c>
      <c r="G672" t="s">
        <v>1980</v>
      </c>
      <c r="H672" t="s">
        <v>4221</v>
      </c>
      <c r="I672">
        <v>47.335146000000002</v>
      </c>
      <c r="J672">
        <v>-123.160735</v>
      </c>
      <c r="K672" t="s">
        <v>3936</v>
      </c>
      <c r="L672" t="s">
        <v>3946</v>
      </c>
      <c r="M672" t="s">
        <v>4888</v>
      </c>
      <c r="P672" t="s">
        <v>3910</v>
      </c>
    </row>
    <row r="673" spans="1:16" x14ac:dyDescent="0.2">
      <c r="A673" t="s">
        <v>1882</v>
      </c>
      <c r="B673" t="s">
        <v>3914</v>
      </c>
      <c r="C673" t="s">
        <v>3376</v>
      </c>
      <c r="D673" t="s">
        <v>2307</v>
      </c>
      <c r="E673">
        <v>98516</v>
      </c>
      <c r="F673" t="s">
        <v>1583</v>
      </c>
      <c r="G673" t="s">
        <v>1980</v>
      </c>
      <c r="H673" t="s">
        <v>4224</v>
      </c>
      <c r="I673">
        <v>47.059474000000002</v>
      </c>
      <c r="J673">
        <v>-122.754003</v>
      </c>
      <c r="K673" t="s">
        <v>3936</v>
      </c>
      <c r="L673" t="s">
        <v>3946</v>
      </c>
      <c r="M673" t="s">
        <v>4888</v>
      </c>
      <c r="P673" t="s">
        <v>3914</v>
      </c>
    </row>
    <row r="674" spans="1:16" x14ac:dyDescent="0.2">
      <c r="A674" t="s">
        <v>2298</v>
      </c>
      <c r="B674" t="s">
        <v>3382</v>
      </c>
      <c r="C674" t="s">
        <v>3383</v>
      </c>
      <c r="D674" t="s">
        <v>2307</v>
      </c>
      <c r="E674">
        <v>98516</v>
      </c>
      <c r="F674" t="s">
        <v>1583</v>
      </c>
      <c r="G674" t="s">
        <v>1980</v>
      </c>
      <c r="H674" t="s">
        <v>4848</v>
      </c>
      <c r="I674">
        <v>47.052563999999997</v>
      </c>
      <c r="J674">
        <v>-122.78473</v>
      </c>
      <c r="K674" t="s">
        <v>3936</v>
      </c>
      <c r="L674" t="s">
        <v>3946</v>
      </c>
      <c r="M674" t="s">
        <v>4888</v>
      </c>
      <c r="P674" t="s">
        <v>3382</v>
      </c>
    </row>
    <row r="675" spans="1:16" x14ac:dyDescent="0.2">
      <c r="A675" t="s">
        <v>1667</v>
      </c>
      <c r="B675" t="s">
        <v>3915</v>
      </c>
      <c r="C675" t="s">
        <v>3383</v>
      </c>
      <c r="D675" t="s">
        <v>2307</v>
      </c>
      <c r="E675">
        <v>98516</v>
      </c>
      <c r="F675" t="s">
        <v>1658</v>
      </c>
      <c r="G675" t="s">
        <v>1994</v>
      </c>
      <c r="H675" t="s">
        <v>4225</v>
      </c>
      <c r="I675">
        <v>47.048445999999998</v>
      </c>
      <c r="J675">
        <v>-122.824656</v>
      </c>
      <c r="K675" t="s">
        <v>3936</v>
      </c>
      <c r="L675" t="s">
        <v>3946</v>
      </c>
      <c r="M675" t="s">
        <v>4888</v>
      </c>
      <c r="P675" t="s">
        <v>3915</v>
      </c>
    </row>
    <row r="676" spans="1:16" x14ac:dyDescent="0.2">
      <c r="A676" t="s">
        <v>1704</v>
      </c>
      <c r="B676" t="s">
        <v>3920</v>
      </c>
      <c r="C676" t="s">
        <v>3376</v>
      </c>
      <c r="D676" t="s">
        <v>2307</v>
      </c>
      <c r="E676">
        <v>98503</v>
      </c>
      <c r="F676" t="s">
        <v>1600</v>
      </c>
      <c r="G676" t="s">
        <v>1998</v>
      </c>
      <c r="H676" t="s">
        <v>5320</v>
      </c>
      <c r="I676">
        <v>47.040232000000003</v>
      </c>
      <c r="J676">
        <v>-122.837659</v>
      </c>
      <c r="K676" t="s">
        <v>3936</v>
      </c>
      <c r="L676" t="s">
        <v>3946</v>
      </c>
      <c r="M676" t="s">
        <v>4888</v>
      </c>
      <c r="P676" t="s">
        <v>3920</v>
      </c>
    </row>
    <row r="677" spans="1:16" x14ac:dyDescent="0.2">
      <c r="A677" t="s">
        <v>1667</v>
      </c>
      <c r="B677" t="s">
        <v>3921</v>
      </c>
      <c r="C677" t="s">
        <v>3383</v>
      </c>
      <c r="D677" t="s">
        <v>2307</v>
      </c>
      <c r="E677">
        <v>98501</v>
      </c>
      <c r="F677" t="s">
        <v>1658</v>
      </c>
      <c r="G677" t="s">
        <v>1994</v>
      </c>
      <c r="H677" t="s">
        <v>4229</v>
      </c>
      <c r="I677">
        <v>47.041626000000001</v>
      </c>
      <c r="J677">
        <v>-122.847724</v>
      </c>
      <c r="K677" t="s">
        <v>3936</v>
      </c>
      <c r="L677" t="s">
        <v>3946</v>
      </c>
      <c r="M677" t="s">
        <v>4888</v>
      </c>
      <c r="P677" t="s">
        <v>3921</v>
      </c>
    </row>
    <row r="678" spans="1:16" x14ac:dyDescent="0.2">
      <c r="A678" t="s">
        <v>2299</v>
      </c>
      <c r="B678" t="s">
        <v>3401</v>
      </c>
      <c r="C678" t="s">
        <v>3402</v>
      </c>
      <c r="D678" t="s">
        <v>2307</v>
      </c>
      <c r="E678">
        <v>98382</v>
      </c>
      <c r="F678" t="s">
        <v>2035</v>
      </c>
      <c r="G678" t="s">
        <v>2005</v>
      </c>
      <c r="H678" t="s">
        <v>4858</v>
      </c>
      <c r="I678">
        <v>48.079954000000001</v>
      </c>
      <c r="J678">
        <v>-123.102131</v>
      </c>
      <c r="K678" t="s">
        <v>3936</v>
      </c>
      <c r="L678" t="s">
        <v>3946</v>
      </c>
      <c r="M678" t="s">
        <v>4888</v>
      </c>
      <c r="P678" t="s">
        <v>3401</v>
      </c>
    </row>
    <row r="679" spans="1:16" x14ac:dyDescent="0.2">
      <c r="A679" t="s">
        <v>1887</v>
      </c>
      <c r="B679" t="s">
        <v>3924</v>
      </c>
      <c r="C679" t="s">
        <v>3409</v>
      </c>
      <c r="D679" t="s">
        <v>2307</v>
      </c>
      <c r="E679">
        <v>98277</v>
      </c>
      <c r="F679" t="s">
        <v>1591</v>
      </c>
      <c r="G679" t="s">
        <v>1993</v>
      </c>
      <c r="H679" t="s">
        <v>4232</v>
      </c>
      <c r="I679">
        <v>48.289071</v>
      </c>
      <c r="J679">
        <v>-122.646191</v>
      </c>
      <c r="K679" t="s">
        <v>3936</v>
      </c>
      <c r="L679" t="s">
        <v>3946</v>
      </c>
      <c r="M679" t="s">
        <v>4888</v>
      </c>
      <c r="P679" t="s">
        <v>3924</v>
      </c>
    </row>
    <row r="680" spans="1:16" x14ac:dyDescent="0.2">
      <c r="A680" t="s">
        <v>1888</v>
      </c>
      <c r="B680" t="s">
        <v>3925</v>
      </c>
      <c r="C680" t="s">
        <v>3409</v>
      </c>
      <c r="D680" t="s">
        <v>2307</v>
      </c>
      <c r="E680">
        <v>98277</v>
      </c>
      <c r="F680" t="s">
        <v>1583</v>
      </c>
      <c r="G680" t="s">
        <v>1980</v>
      </c>
      <c r="H680" t="s">
        <v>4233</v>
      </c>
      <c r="I680">
        <v>48.288173999999998</v>
      </c>
      <c r="J680">
        <v>-122.652186</v>
      </c>
      <c r="K680" t="s">
        <v>3936</v>
      </c>
      <c r="L680" t="s">
        <v>3946</v>
      </c>
      <c r="M680" t="s">
        <v>4888</v>
      </c>
      <c r="P680" t="s">
        <v>3925</v>
      </c>
    </row>
    <row r="681" spans="1:16" x14ac:dyDescent="0.2">
      <c r="A681" t="s">
        <v>2301</v>
      </c>
      <c r="B681" t="s">
        <v>3410</v>
      </c>
      <c r="C681" t="s">
        <v>3409</v>
      </c>
      <c r="D681" t="s">
        <v>2307</v>
      </c>
      <c r="E681">
        <v>98277</v>
      </c>
      <c r="F681" t="s">
        <v>1583</v>
      </c>
      <c r="G681" t="s">
        <v>1980</v>
      </c>
      <c r="H681" t="s">
        <v>4961</v>
      </c>
      <c r="I681">
        <v>48.289174000000003</v>
      </c>
      <c r="J681">
        <v>-122.64856</v>
      </c>
      <c r="K681" t="s">
        <v>3936</v>
      </c>
      <c r="L681" t="s">
        <v>3946</v>
      </c>
      <c r="M681" t="s">
        <v>4888</v>
      </c>
      <c r="P681" t="s">
        <v>5676</v>
      </c>
    </row>
    <row r="682" spans="1:16" x14ac:dyDescent="0.2">
      <c r="A682" t="s">
        <v>2183</v>
      </c>
      <c r="B682" t="s">
        <v>3417</v>
      </c>
      <c r="C682" t="s">
        <v>3402</v>
      </c>
      <c r="D682" t="s">
        <v>2307</v>
      </c>
      <c r="E682">
        <v>98382</v>
      </c>
      <c r="F682" t="s">
        <v>1716</v>
      </c>
      <c r="G682" t="s">
        <v>2000</v>
      </c>
      <c r="H682" t="s">
        <v>4864</v>
      </c>
      <c r="I682">
        <v>48.077939999999998</v>
      </c>
      <c r="J682">
        <v>-123.133129</v>
      </c>
      <c r="K682" t="s">
        <v>3936</v>
      </c>
      <c r="L682" t="s">
        <v>3946</v>
      </c>
      <c r="M682" t="s">
        <v>4888</v>
      </c>
      <c r="P682" t="s">
        <v>3417</v>
      </c>
    </row>
    <row r="683" spans="1:16" x14ac:dyDescent="0.2">
      <c r="A683" t="s">
        <v>2303</v>
      </c>
      <c r="B683" t="s">
        <v>3420</v>
      </c>
      <c r="C683" t="s">
        <v>3383</v>
      </c>
      <c r="D683" t="s">
        <v>2307</v>
      </c>
      <c r="E683">
        <v>98501</v>
      </c>
      <c r="F683" t="s">
        <v>1583</v>
      </c>
      <c r="G683" t="s">
        <v>1980</v>
      </c>
      <c r="H683" t="s">
        <v>4866</v>
      </c>
      <c r="I683">
        <v>47.044925999999997</v>
      </c>
      <c r="J683">
        <v>-122.900274</v>
      </c>
      <c r="K683" t="s">
        <v>3936</v>
      </c>
      <c r="L683" t="s">
        <v>3946</v>
      </c>
      <c r="M683" t="s">
        <v>4888</v>
      </c>
      <c r="P683" t="s">
        <v>3420</v>
      </c>
    </row>
    <row r="684" spans="1:16" x14ac:dyDescent="0.2">
      <c r="A684" t="s">
        <v>2175</v>
      </c>
      <c r="B684" t="s">
        <v>3435</v>
      </c>
      <c r="C684" t="s">
        <v>3383</v>
      </c>
      <c r="D684" t="s">
        <v>2307</v>
      </c>
      <c r="E684">
        <v>98502</v>
      </c>
      <c r="F684" t="s">
        <v>1600</v>
      </c>
      <c r="G684" t="s">
        <v>2207</v>
      </c>
      <c r="H684" t="s">
        <v>5444</v>
      </c>
      <c r="I684">
        <v>47.047277000000001</v>
      </c>
      <c r="J684">
        <v>-122.939599</v>
      </c>
      <c r="K684" t="s">
        <v>3936</v>
      </c>
      <c r="L684" t="s">
        <v>3946</v>
      </c>
      <c r="M684" t="s">
        <v>4888</v>
      </c>
      <c r="P684" t="s">
        <v>3435</v>
      </c>
    </row>
    <row r="685" spans="1:16" x14ac:dyDescent="0.2">
      <c r="A685" t="s">
        <v>1859</v>
      </c>
      <c r="B685" t="s">
        <v>3930</v>
      </c>
      <c r="C685" t="s">
        <v>3376</v>
      </c>
      <c r="D685" t="s">
        <v>2307</v>
      </c>
      <c r="E685">
        <v>98503</v>
      </c>
      <c r="F685" t="s">
        <v>1583</v>
      </c>
      <c r="G685" t="s">
        <v>1980</v>
      </c>
      <c r="H685" t="s">
        <v>4236</v>
      </c>
      <c r="I685">
        <v>46.998714</v>
      </c>
      <c r="J685">
        <v>-122.824049</v>
      </c>
      <c r="K685" t="s">
        <v>3936</v>
      </c>
      <c r="L685" t="s">
        <v>3946</v>
      </c>
      <c r="M685" t="s">
        <v>4888</v>
      </c>
      <c r="P685" t="s">
        <v>3930</v>
      </c>
    </row>
    <row r="686" spans="1:16" x14ac:dyDescent="0.2">
      <c r="A686" t="s">
        <v>5148</v>
      </c>
      <c r="B686" t="s">
        <v>5149</v>
      </c>
      <c r="C686" t="s">
        <v>3430</v>
      </c>
      <c r="D686" t="s">
        <v>2307</v>
      </c>
      <c r="E686">
        <v>98597</v>
      </c>
      <c r="F686" t="s">
        <v>1591</v>
      </c>
      <c r="G686" t="s">
        <v>1969</v>
      </c>
      <c r="H686" t="s">
        <v>5150</v>
      </c>
      <c r="I686">
        <v>46.941744</v>
      </c>
      <c r="J686">
        <v>-122.60648399999999</v>
      </c>
      <c r="K686" t="s">
        <v>3936</v>
      </c>
      <c r="L686" t="s">
        <v>3946</v>
      </c>
      <c r="M686" t="s">
        <v>4888</v>
      </c>
      <c r="P686" t="s">
        <v>5149</v>
      </c>
    </row>
    <row r="687" spans="1:16" x14ac:dyDescent="0.2">
      <c r="A687" t="s">
        <v>2054</v>
      </c>
      <c r="B687" t="s">
        <v>2398</v>
      </c>
      <c r="C687" t="s">
        <v>66</v>
      </c>
      <c r="D687" t="s">
        <v>2307</v>
      </c>
      <c r="E687">
        <v>98122</v>
      </c>
      <c r="F687" t="s">
        <v>1716</v>
      </c>
      <c r="G687" t="s">
        <v>1989</v>
      </c>
      <c r="H687" t="s">
        <v>4305</v>
      </c>
      <c r="I687">
        <v>47.608069999999998</v>
      </c>
      <c r="J687">
        <v>-122.296679</v>
      </c>
      <c r="K687" t="s">
        <v>3936</v>
      </c>
      <c r="L687" t="s">
        <v>3946</v>
      </c>
      <c r="M687" t="s">
        <v>4962</v>
      </c>
      <c r="P687" t="s">
        <v>2398</v>
      </c>
    </row>
    <row r="688" spans="1:16" x14ac:dyDescent="0.2">
      <c r="A688" t="s">
        <v>1691</v>
      </c>
      <c r="B688" t="s">
        <v>3640</v>
      </c>
      <c r="C688" t="s">
        <v>2586</v>
      </c>
      <c r="D688" t="s">
        <v>2307</v>
      </c>
      <c r="E688">
        <v>98052</v>
      </c>
      <c r="F688" t="s">
        <v>1658</v>
      </c>
      <c r="G688" t="s">
        <v>1971</v>
      </c>
      <c r="H688" t="s">
        <v>5153</v>
      </c>
      <c r="I688">
        <v>47.669423999999999</v>
      </c>
      <c r="J688">
        <v>-122.13007399999999</v>
      </c>
      <c r="K688" t="s">
        <v>3936</v>
      </c>
      <c r="L688" t="s">
        <v>3946</v>
      </c>
      <c r="M688" t="s">
        <v>4962</v>
      </c>
      <c r="P688" t="s">
        <v>3640</v>
      </c>
    </row>
    <row r="689" spans="1:16" x14ac:dyDescent="0.2">
      <c r="A689" t="s">
        <v>1691</v>
      </c>
      <c r="B689" t="s">
        <v>3695</v>
      </c>
      <c r="C689" t="s">
        <v>2717</v>
      </c>
      <c r="D689" t="s">
        <v>2307</v>
      </c>
      <c r="E689">
        <v>98036</v>
      </c>
      <c r="F689" t="s">
        <v>1658</v>
      </c>
      <c r="G689" t="s">
        <v>1971</v>
      </c>
      <c r="H689" t="s">
        <v>5445</v>
      </c>
      <c r="I689">
        <v>47.819167999999998</v>
      </c>
      <c r="J689">
        <v>-122.292586</v>
      </c>
      <c r="K689" t="s">
        <v>3936</v>
      </c>
      <c r="L689" t="s">
        <v>3946</v>
      </c>
      <c r="M689" t="s">
        <v>4962</v>
      </c>
      <c r="P689" t="s">
        <v>3695</v>
      </c>
    </row>
    <row r="690" spans="1:16" x14ac:dyDescent="0.2">
      <c r="A690" t="s">
        <v>2054</v>
      </c>
      <c r="B690" t="s">
        <v>2927</v>
      </c>
      <c r="C690" t="s">
        <v>2780</v>
      </c>
      <c r="D690" t="s">
        <v>2307</v>
      </c>
      <c r="E690">
        <v>98030</v>
      </c>
      <c r="F690" t="s">
        <v>1716</v>
      </c>
      <c r="G690" t="s">
        <v>1989</v>
      </c>
      <c r="H690" t="s">
        <v>5446</v>
      </c>
      <c r="I690">
        <v>47.373815999999998</v>
      </c>
      <c r="J690">
        <v>-122.202573</v>
      </c>
      <c r="K690" t="s">
        <v>3936</v>
      </c>
      <c r="L690" t="s">
        <v>3946</v>
      </c>
      <c r="M690" t="s">
        <v>4962</v>
      </c>
      <c r="P690" t="s">
        <v>5703</v>
      </c>
    </row>
    <row r="691" spans="1:16" x14ac:dyDescent="0.2">
      <c r="A691" t="s">
        <v>2251</v>
      </c>
      <c r="B691" t="s">
        <v>3057</v>
      </c>
      <c r="C691" t="s">
        <v>2930</v>
      </c>
      <c r="D691" t="s">
        <v>2307</v>
      </c>
      <c r="E691">
        <v>98023</v>
      </c>
      <c r="F691" t="s">
        <v>1583</v>
      </c>
      <c r="G691" t="s">
        <v>1980</v>
      </c>
      <c r="H691" t="s">
        <v>4667</v>
      </c>
      <c r="I691">
        <v>47.283414</v>
      </c>
      <c r="J691">
        <v>-122.361329</v>
      </c>
      <c r="K691" t="s">
        <v>3936</v>
      </c>
      <c r="L691" t="s">
        <v>3946</v>
      </c>
      <c r="M691" t="s">
        <v>4962</v>
      </c>
      <c r="P691" t="s">
        <v>3057</v>
      </c>
    </row>
    <row r="692" spans="1:16" x14ac:dyDescent="0.2">
      <c r="A692" t="s">
        <v>1645</v>
      </c>
      <c r="B692" t="s">
        <v>3590</v>
      </c>
      <c r="C692" t="s">
        <v>66</v>
      </c>
      <c r="D692" t="s">
        <v>2307</v>
      </c>
      <c r="E692">
        <v>98118</v>
      </c>
      <c r="F692" t="s">
        <v>1604</v>
      </c>
      <c r="G692" t="s">
        <v>1973</v>
      </c>
      <c r="H692" t="s">
        <v>4061</v>
      </c>
      <c r="I692">
        <v>47.558287</v>
      </c>
      <c r="J692">
        <v>-122.28548600000001</v>
      </c>
      <c r="K692" t="s">
        <v>3936</v>
      </c>
      <c r="L692" t="s">
        <v>3946</v>
      </c>
      <c r="M692" t="s">
        <v>4897</v>
      </c>
      <c r="P692" t="s">
        <v>3590</v>
      </c>
    </row>
    <row r="693" spans="1:16" x14ac:dyDescent="0.2">
      <c r="A693" t="s">
        <v>1647</v>
      </c>
      <c r="B693" t="s">
        <v>3592</v>
      </c>
      <c r="C693" t="s">
        <v>66</v>
      </c>
      <c r="D693" t="s">
        <v>2307</v>
      </c>
      <c r="E693">
        <v>98118</v>
      </c>
      <c r="F693" t="s">
        <v>1575</v>
      </c>
      <c r="G693" t="s">
        <v>1968</v>
      </c>
      <c r="H693" t="s">
        <v>4063</v>
      </c>
      <c r="I693">
        <v>47.557991999999999</v>
      </c>
      <c r="J693">
        <v>-122.284631</v>
      </c>
      <c r="K693" t="s">
        <v>3936</v>
      </c>
      <c r="L693" t="s">
        <v>3946</v>
      </c>
      <c r="M693" t="s">
        <v>4897</v>
      </c>
      <c r="P693" t="s">
        <v>3592</v>
      </c>
    </row>
    <row r="694" spans="1:16" x14ac:dyDescent="0.2">
      <c r="A694" t="s">
        <v>2012</v>
      </c>
      <c r="B694" t="s">
        <v>2313</v>
      </c>
      <c r="C694" t="s">
        <v>66</v>
      </c>
      <c r="D694" t="s">
        <v>2307</v>
      </c>
      <c r="E694">
        <v>98109</v>
      </c>
      <c r="F694" t="s">
        <v>1600</v>
      </c>
      <c r="G694" t="s">
        <v>2005</v>
      </c>
      <c r="H694" t="s">
        <v>4246</v>
      </c>
      <c r="I694">
        <v>47.624622000000002</v>
      </c>
      <c r="J694">
        <v>-122.356667</v>
      </c>
      <c r="K694" t="s">
        <v>3936</v>
      </c>
      <c r="L694" t="s">
        <v>3946</v>
      </c>
      <c r="M694" t="s">
        <v>4963</v>
      </c>
      <c r="P694" t="s">
        <v>2313</v>
      </c>
    </row>
    <row r="695" spans="1:16" x14ac:dyDescent="0.2">
      <c r="A695" t="s">
        <v>2012</v>
      </c>
      <c r="B695" t="s">
        <v>2318</v>
      </c>
      <c r="C695" t="s">
        <v>66</v>
      </c>
      <c r="D695" t="s">
        <v>2307</v>
      </c>
      <c r="E695">
        <v>98109</v>
      </c>
      <c r="F695" t="s">
        <v>1600</v>
      </c>
      <c r="G695" t="s">
        <v>2005</v>
      </c>
      <c r="H695" t="s">
        <v>4252</v>
      </c>
      <c r="I695">
        <v>47.638542000000001</v>
      </c>
      <c r="J695">
        <v>-122.35712700000001</v>
      </c>
      <c r="K695" t="s">
        <v>3936</v>
      </c>
      <c r="L695" t="s">
        <v>3946</v>
      </c>
      <c r="M695" t="s">
        <v>4963</v>
      </c>
      <c r="P695" t="s">
        <v>2318</v>
      </c>
    </row>
    <row r="696" spans="1:16" x14ac:dyDescent="0.2">
      <c r="A696" t="s">
        <v>2018</v>
      </c>
      <c r="B696" t="s">
        <v>2322</v>
      </c>
      <c r="C696" t="s">
        <v>66</v>
      </c>
      <c r="D696" t="s">
        <v>2307</v>
      </c>
      <c r="E696">
        <v>98119</v>
      </c>
      <c r="F696" t="s">
        <v>2019</v>
      </c>
      <c r="G696" t="s">
        <v>1991</v>
      </c>
      <c r="H696" t="s">
        <v>4964</v>
      </c>
      <c r="I696">
        <v>47.622255000000003</v>
      </c>
      <c r="J696">
        <v>-122.358715</v>
      </c>
      <c r="K696" t="s">
        <v>3936</v>
      </c>
      <c r="L696" t="s">
        <v>3946</v>
      </c>
      <c r="M696" t="s">
        <v>4963</v>
      </c>
      <c r="P696" t="s">
        <v>2322</v>
      </c>
    </row>
    <row r="697" spans="1:16" x14ac:dyDescent="0.2">
      <c r="A697" t="s">
        <v>2012</v>
      </c>
      <c r="B697" t="s">
        <v>2329</v>
      </c>
      <c r="C697" t="s">
        <v>66</v>
      </c>
      <c r="D697" t="s">
        <v>2307</v>
      </c>
      <c r="E697">
        <v>98101</v>
      </c>
      <c r="F697" t="s">
        <v>1600</v>
      </c>
      <c r="G697" t="s">
        <v>2005</v>
      </c>
      <c r="H697" t="s">
        <v>4262</v>
      </c>
      <c r="I697">
        <v>47.613055000000003</v>
      </c>
      <c r="J697">
        <v>-122.33295</v>
      </c>
      <c r="K697" t="s">
        <v>3936</v>
      </c>
      <c r="L697" t="s">
        <v>3946</v>
      </c>
      <c r="M697" t="s">
        <v>4963</v>
      </c>
      <c r="P697" t="s">
        <v>2329</v>
      </c>
    </row>
    <row r="698" spans="1:16" x14ac:dyDescent="0.2">
      <c r="A698" t="s">
        <v>2018</v>
      </c>
      <c r="B698" t="s">
        <v>2331</v>
      </c>
      <c r="C698" t="s">
        <v>66</v>
      </c>
      <c r="D698" t="s">
        <v>2307</v>
      </c>
      <c r="E698">
        <v>98101</v>
      </c>
      <c r="F698" t="s">
        <v>1600</v>
      </c>
      <c r="G698" t="s">
        <v>2027</v>
      </c>
      <c r="H698" t="s">
        <v>5154</v>
      </c>
      <c r="I698">
        <v>47.611674999999998</v>
      </c>
      <c r="J698">
        <v>-122.33660999999999</v>
      </c>
      <c r="K698" t="s">
        <v>3936</v>
      </c>
      <c r="L698" t="s">
        <v>3946</v>
      </c>
      <c r="M698" t="s">
        <v>4963</v>
      </c>
      <c r="P698" t="s">
        <v>2331</v>
      </c>
    </row>
    <row r="699" spans="1:16" x14ac:dyDescent="0.2">
      <c r="A699" t="s">
        <v>2018</v>
      </c>
      <c r="B699" t="s">
        <v>2336</v>
      </c>
      <c r="C699" t="s">
        <v>66</v>
      </c>
      <c r="D699" t="s">
        <v>2307</v>
      </c>
      <c r="E699">
        <v>98121</v>
      </c>
      <c r="F699" t="s">
        <v>2019</v>
      </c>
      <c r="G699" t="s">
        <v>1991</v>
      </c>
      <c r="H699" t="s">
        <v>5447</v>
      </c>
      <c r="I699">
        <v>47.611184999999999</v>
      </c>
      <c r="J699">
        <v>-122.34267800000001</v>
      </c>
      <c r="K699" t="s">
        <v>3936</v>
      </c>
      <c r="L699" t="s">
        <v>3946</v>
      </c>
      <c r="M699" t="s">
        <v>4963</v>
      </c>
      <c r="P699" t="s">
        <v>2336</v>
      </c>
    </row>
    <row r="700" spans="1:16" x14ac:dyDescent="0.2">
      <c r="A700" t="s">
        <v>2018</v>
      </c>
      <c r="B700" t="s">
        <v>2338</v>
      </c>
      <c r="C700" t="s">
        <v>66</v>
      </c>
      <c r="D700" t="s">
        <v>2307</v>
      </c>
      <c r="E700">
        <v>98101</v>
      </c>
      <c r="F700" t="s">
        <v>2019</v>
      </c>
      <c r="G700" t="s">
        <v>1991</v>
      </c>
      <c r="H700" t="s">
        <v>5448</v>
      </c>
      <c r="I700">
        <v>47.611407999999997</v>
      </c>
      <c r="J700">
        <v>-122.331474</v>
      </c>
      <c r="K700" t="s">
        <v>3936</v>
      </c>
      <c r="L700" t="s">
        <v>3946</v>
      </c>
      <c r="M700" t="s">
        <v>4963</v>
      </c>
      <c r="P700" t="s">
        <v>2338</v>
      </c>
    </row>
    <row r="701" spans="1:16" x14ac:dyDescent="0.2">
      <c r="A701" t="s">
        <v>2018</v>
      </c>
      <c r="B701" t="s">
        <v>2339</v>
      </c>
      <c r="C701" t="s">
        <v>66</v>
      </c>
      <c r="D701" t="s">
        <v>2307</v>
      </c>
      <c r="E701">
        <v>98121</v>
      </c>
      <c r="F701" t="s">
        <v>2019</v>
      </c>
      <c r="G701" t="s">
        <v>1991</v>
      </c>
      <c r="H701" t="s">
        <v>5155</v>
      </c>
      <c r="I701">
        <v>47.610379000000002</v>
      </c>
      <c r="J701">
        <v>-122.343796</v>
      </c>
      <c r="K701" t="s">
        <v>3936</v>
      </c>
      <c r="L701" t="s">
        <v>3946</v>
      </c>
      <c r="M701" t="s">
        <v>4963</v>
      </c>
      <c r="P701" t="s">
        <v>2339</v>
      </c>
    </row>
    <row r="702" spans="1:16" x14ac:dyDescent="0.2">
      <c r="A702" t="s">
        <v>2012</v>
      </c>
      <c r="B702" t="s">
        <v>2340</v>
      </c>
      <c r="C702" t="s">
        <v>66</v>
      </c>
      <c r="D702" t="s">
        <v>2307</v>
      </c>
      <c r="E702">
        <v>98112</v>
      </c>
      <c r="F702" t="s">
        <v>1600</v>
      </c>
      <c r="G702" t="s">
        <v>2005</v>
      </c>
      <c r="H702" t="s">
        <v>4268</v>
      </c>
      <c r="I702">
        <v>47.622480000000003</v>
      </c>
      <c r="J702">
        <v>-122.312764</v>
      </c>
      <c r="K702" t="s">
        <v>3936</v>
      </c>
      <c r="L702" t="s">
        <v>3946</v>
      </c>
      <c r="M702" t="s">
        <v>4963</v>
      </c>
      <c r="P702" t="s">
        <v>5704</v>
      </c>
    </row>
    <row r="703" spans="1:16" x14ac:dyDescent="0.2">
      <c r="A703" t="s">
        <v>2018</v>
      </c>
      <c r="B703" t="s">
        <v>2342</v>
      </c>
      <c r="C703" t="s">
        <v>66</v>
      </c>
      <c r="D703" t="s">
        <v>2307</v>
      </c>
      <c r="E703">
        <v>98122</v>
      </c>
      <c r="F703" t="s">
        <v>1600</v>
      </c>
      <c r="G703" t="s">
        <v>2027</v>
      </c>
      <c r="H703" t="s">
        <v>5449</v>
      </c>
      <c r="I703">
        <v>47.614212000000002</v>
      </c>
      <c r="J703">
        <v>-122.32171</v>
      </c>
      <c r="K703" t="s">
        <v>3936</v>
      </c>
      <c r="L703" t="s">
        <v>3946</v>
      </c>
      <c r="M703" t="s">
        <v>4963</v>
      </c>
      <c r="P703" t="s">
        <v>2342</v>
      </c>
    </row>
    <row r="704" spans="1:16" x14ac:dyDescent="0.2">
      <c r="A704" t="s">
        <v>2018</v>
      </c>
      <c r="B704" t="s">
        <v>2343</v>
      </c>
      <c r="C704" t="s">
        <v>66</v>
      </c>
      <c r="D704" t="s">
        <v>2307</v>
      </c>
      <c r="E704">
        <v>98101</v>
      </c>
      <c r="F704" t="s">
        <v>2019</v>
      </c>
      <c r="G704" t="s">
        <v>1991</v>
      </c>
      <c r="H704" t="s">
        <v>5450</v>
      </c>
      <c r="I704">
        <v>47.610115</v>
      </c>
      <c r="J704">
        <v>-122.333417</v>
      </c>
      <c r="K704" t="s">
        <v>3936</v>
      </c>
      <c r="L704" t="s">
        <v>3946</v>
      </c>
      <c r="M704" t="s">
        <v>4963</v>
      </c>
      <c r="P704" t="s">
        <v>2343</v>
      </c>
    </row>
    <row r="705" spans="1:16" x14ac:dyDescent="0.2">
      <c r="A705" t="s">
        <v>2028</v>
      </c>
      <c r="B705" t="s">
        <v>2344</v>
      </c>
      <c r="C705" t="s">
        <v>66</v>
      </c>
      <c r="D705" t="s">
        <v>2307</v>
      </c>
      <c r="E705">
        <v>98112</v>
      </c>
      <c r="F705" t="s">
        <v>1602</v>
      </c>
      <c r="G705" t="s">
        <v>1995</v>
      </c>
      <c r="H705" t="s">
        <v>4271</v>
      </c>
      <c r="I705">
        <v>47.621403000000001</v>
      </c>
      <c r="J705">
        <v>-122.312466</v>
      </c>
      <c r="K705" t="s">
        <v>3936</v>
      </c>
      <c r="L705" t="s">
        <v>3946</v>
      </c>
      <c r="M705" t="s">
        <v>4963</v>
      </c>
      <c r="P705" t="s">
        <v>2344</v>
      </c>
    </row>
    <row r="706" spans="1:16" x14ac:dyDescent="0.2">
      <c r="A706" t="s">
        <v>2018</v>
      </c>
      <c r="B706" t="s">
        <v>2347</v>
      </c>
      <c r="C706" t="s">
        <v>66</v>
      </c>
      <c r="D706" t="s">
        <v>2307</v>
      </c>
      <c r="E706">
        <v>98101</v>
      </c>
      <c r="F706" t="s">
        <v>2019</v>
      </c>
      <c r="G706" t="s">
        <v>1991</v>
      </c>
      <c r="H706" t="s">
        <v>5451</v>
      </c>
      <c r="I706">
        <v>47.609208000000002</v>
      </c>
      <c r="J706">
        <v>-122.335883</v>
      </c>
      <c r="K706" t="s">
        <v>3936</v>
      </c>
      <c r="L706" t="s">
        <v>3946</v>
      </c>
      <c r="M706" t="s">
        <v>4963</v>
      </c>
      <c r="P706" t="s">
        <v>2347</v>
      </c>
    </row>
    <row r="707" spans="1:16" x14ac:dyDescent="0.2">
      <c r="A707" t="s">
        <v>2018</v>
      </c>
      <c r="B707" t="s">
        <v>2352</v>
      </c>
      <c r="C707" t="s">
        <v>66</v>
      </c>
      <c r="D707" t="s">
        <v>2307</v>
      </c>
      <c r="E707">
        <v>98101</v>
      </c>
      <c r="F707" t="s">
        <v>1600</v>
      </c>
      <c r="G707" t="s">
        <v>2027</v>
      </c>
      <c r="H707" t="s">
        <v>5452</v>
      </c>
      <c r="I707">
        <v>47.609844000000002</v>
      </c>
      <c r="J707">
        <v>-122.328228</v>
      </c>
      <c r="K707" t="s">
        <v>3936</v>
      </c>
      <c r="L707" t="s">
        <v>3946</v>
      </c>
      <c r="M707" t="s">
        <v>4963</v>
      </c>
      <c r="P707" t="s">
        <v>2352</v>
      </c>
    </row>
    <row r="708" spans="1:16" x14ac:dyDescent="0.2">
      <c r="A708" t="s">
        <v>2012</v>
      </c>
      <c r="B708" t="s">
        <v>2354</v>
      </c>
      <c r="C708" t="s">
        <v>66</v>
      </c>
      <c r="D708" t="s">
        <v>2307</v>
      </c>
      <c r="E708">
        <v>98101</v>
      </c>
      <c r="F708" t="s">
        <v>1600</v>
      </c>
      <c r="G708" t="s">
        <v>2005</v>
      </c>
      <c r="H708" t="s">
        <v>4276</v>
      </c>
      <c r="I708">
        <v>47.607868000000003</v>
      </c>
      <c r="J708">
        <v>-122.339094</v>
      </c>
      <c r="K708" t="s">
        <v>3936</v>
      </c>
      <c r="L708" t="s">
        <v>3946</v>
      </c>
      <c r="M708" t="s">
        <v>4963</v>
      </c>
      <c r="P708" t="s">
        <v>2354</v>
      </c>
    </row>
    <row r="709" spans="1:16" x14ac:dyDescent="0.2">
      <c r="A709" t="s">
        <v>2018</v>
      </c>
      <c r="B709" t="s">
        <v>2355</v>
      </c>
      <c r="C709" t="s">
        <v>66</v>
      </c>
      <c r="D709" t="s">
        <v>2307</v>
      </c>
      <c r="E709">
        <v>98109</v>
      </c>
      <c r="F709" t="s">
        <v>2019</v>
      </c>
      <c r="G709" t="s">
        <v>1991</v>
      </c>
      <c r="H709" t="s">
        <v>5453</v>
      </c>
      <c r="I709">
        <v>47.648178999999999</v>
      </c>
      <c r="J709">
        <v>-122.35443100000001</v>
      </c>
      <c r="K709" t="s">
        <v>3936</v>
      </c>
      <c r="L709" t="s">
        <v>3946</v>
      </c>
      <c r="M709" t="s">
        <v>4963</v>
      </c>
      <c r="P709" t="s">
        <v>2355</v>
      </c>
    </row>
    <row r="710" spans="1:16" x14ac:dyDescent="0.2">
      <c r="A710" t="s">
        <v>2018</v>
      </c>
      <c r="B710" t="s">
        <v>2356</v>
      </c>
      <c r="C710" t="s">
        <v>66</v>
      </c>
      <c r="D710" t="s">
        <v>2307</v>
      </c>
      <c r="E710">
        <v>98112</v>
      </c>
      <c r="F710" t="s">
        <v>2019</v>
      </c>
      <c r="G710" t="s">
        <v>1991</v>
      </c>
      <c r="H710" t="s">
        <v>5454</v>
      </c>
      <c r="I710">
        <v>47.626004999999999</v>
      </c>
      <c r="J710">
        <v>-122.307115</v>
      </c>
      <c r="K710" t="s">
        <v>3936</v>
      </c>
      <c r="L710" t="s">
        <v>3946</v>
      </c>
      <c r="M710" t="s">
        <v>4963</v>
      </c>
      <c r="P710" t="s">
        <v>2356</v>
      </c>
    </row>
    <row r="711" spans="1:16" x14ac:dyDescent="0.2">
      <c r="A711" t="s">
        <v>2018</v>
      </c>
      <c r="B711" t="s">
        <v>2359</v>
      </c>
      <c r="C711" t="s">
        <v>66</v>
      </c>
      <c r="D711" t="s">
        <v>2307</v>
      </c>
      <c r="E711">
        <v>98101</v>
      </c>
      <c r="F711" t="s">
        <v>1600</v>
      </c>
      <c r="G711" t="s">
        <v>2027</v>
      </c>
      <c r="H711" t="s">
        <v>5455</v>
      </c>
      <c r="I711">
        <v>47.607619</v>
      </c>
      <c r="J711">
        <v>-122.339663</v>
      </c>
      <c r="K711" t="s">
        <v>3936</v>
      </c>
      <c r="L711" t="s">
        <v>3946</v>
      </c>
      <c r="M711" t="s">
        <v>4963</v>
      </c>
      <c r="P711" t="s">
        <v>2359</v>
      </c>
    </row>
    <row r="712" spans="1:16" x14ac:dyDescent="0.2">
      <c r="A712" t="s">
        <v>2034</v>
      </c>
      <c r="B712" t="s">
        <v>2360</v>
      </c>
      <c r="C712" t="s">
        <v>66</v>
      </c>
      <c r="D712" t="s">
        <v>2307</v>
      </c>
      <c r="E712">
        <v>98104</v>
      </c>
      <c r="F712" t="s">
        <v>2035</v>
      </c>
      <c r="G712" t="s">
        <v>2005</v>
      </c>
      <c r="H712" t="s">
        <v>4280</v>
      </c>
      <c r="I712">
        <v>47.606140000000003</v>
      </c>
      <c r="J712">
        <v>-122.332863</v>
      </c>
      <c r="K712" t="s">
        <v>3936</v>
      </c>
      <c r="L712" t="s">
        <v>3946</v>
      </c>
      <c r="M712" t="s">
        <v>4963</v>
      </c>
      <c r="P712" t="s">
        <v>2360</v>
      </c>
    </row>
    <row r="713" spans="1:16" x14ac:dyDescent="0.2">
      <c r="A713" t="s">
        <v>2012</v>
      </c>
      <c r="B713" t="s">
        <v>2361</v>
      </c>
      <c r="C713" t="s">
        <v>66</v>
      </c>
      <c r="D713" t="s">
        <v>2307</v>
      </c>
      <c r="E713">
        <v>98103</v>
      </c>
      <c r="F713" t="s">
        <v>1600</v>
      </c>
      <c r="G713" t="s">
        <v>2005</v>
      </c>
      <c r="H713" t="s">
        <v>4281</v>
      </c>
      <c r="I713">
        <v>47.652070000000002</v>
      </c>
      <c r="J713">
        <v>-122.353238</v>
      </c>
      <c r="K713" t="s">
        <v>3936</v>
      </c>
      <c r="L713" t="s">
        <v>3946</v>
      </c>
      <c r="M713" t="s">
        <v>4963</v>
      </c>
      <c r="P713" t="s">
        <v>2361</v>
      </c>
    </row>
    <row r="714" spans="1:16" x14ac:dyDescent="0.2">
      <c r="A714" t="s">
        <v>2018</v>
      </c>
      <c r="B714" t="s">
        <v>2362</v>
      </c>
      <c r="C714" t="s">
        <v>66</v>
      </c>
      <c r="D714" t="s">
        <v>2307</v>
      </c>
      <c r="E714">
        <v>98104</v>
      </c>
      <c r="F714" t="s">
        <v>2019</v>
      </c>
      <c r="G714" t="s">
        <v>1991</v>
      </c>
      <c r="H714" t="s">
        <v>5456</v>
      </c>
      <c r="I714">
        <v>47.605666999999997</v>
      </c>
      <c r="J714">
        <v>-122.334254</v>
      </c>
      <c r="K714" t="s">
        <v>3936</v>
      </c>
      <c r="L714" t="s">
        <v>3946</v>
      </c>
      <c r="M714" t="s">
        <v>4963</v>
      </c>
      <c r="P714" t="s">
        <v>2362</v>
      </c>
    </row>
    <row r="715" spans="1:16" x14ac:dyDescent="0.2">
      <c r="A715" t="s">
        <v>2018</v>
      </c>
      <c r="B715" t="s">
        <v>2370</v>
      </c>
      <c r="C715" t="s">
        <v>66</v>
      </c>
      <c r="D715" t="s">
        <v>2307</v>
      </c>
      <c r="E715">
        <v>98104</v>
      </c>
      <c r="F715" t="s">
        <v>2019</v>
      </c>
      <c r="G715" t="s">
        <v>1991</v>
      </c>
      <c r="H715" t="s">
        <v>5156</v>
      </c>
      <c r="I715">
        <v>47.60445</v>
      </c>
      <c r="J715">
        <v>-122.329921</v>
      </c>
      <c r="K715" t="s">
        <v>3936</v>
      </c>
      <c r="L715" t="s">
        <v>3946</v>
      </c>
      <c r="M715" t="s">
        <v>4963</v>
      </c>
      <c r="P715" t="s">
        <v>2370</v>
      </c>
    </row>
    <row r="716" spans="1:16" x14ac:dyDescent="0.2">
      <c r="A716" t="s">
        <v>2018</v>
      </c>
      <c r="B716" t="s">
        <v>2371</v>
      </c>
      <c r="C716" t="s">
        <v>66</v>
      </c>
      <c r="D716" t="s">
        <v>2307</v>
      </c>
      <c r="E716">
        <v>98104</v>
      </c>
      <c r="F716" t="s">
        <v>1600</v>
      </c>
      <c r="G716" t="s">
        <v>2027</v>
      </c>
      <c r="H716" t="s">
        <v>5457</v>
      </c>
      <c r="I716">
        <v>47.604036999999998</v>
      </c>
      <c r="J716">
        <v>-122.334289</v>
      </c>
      <c r="K716" t="s">
        <v>3936</v>
      </c>
      <c r="L716" t="s">
        <v>3946</v>
      </c>
      <c r="M716" t="s">
        <v>4963</v>
      </c>
      <c r="P716" t="s">
        <v>2371</v>
      </c>
    </row>
    <row r="717" spans="1:16" x14ac:dyDescent="0.2">
      <c r="A717" t="s">
        <v>2040</v>
      </c>
      <c r="B717" t="s">
        <v>2373</v>
      </c>
      <c r="C717" t="s">
        <v>66</v>
      </c>
      <c r="D717" t="s">
        <v>2307</v>
      </c>
      <c r="E717">
        <v>98104</v>
      </c>
      <c r="F717" t="s">
        <v>1600</v>
      </c>
      <c r="G717" t="s">
        <v>2005</v>
      </c>
      <c r="H717" t="s">
        <v>4289</v>
      </c>
      <c r="I717">
        <v>47.602406000000002</v>
      </c>
      <c r="J717">
        <v>-122.33257</v>
      </c>
      <c r="K717" t="s">
        <v>3936</v>
      </c>
      <c r="L717" t="s">
        <v>3946</v>
      </c>
      <c r="M717" t="s">
        <v>4963</v>
      </c>
      <c r="P717" t="s">
        <v>2373</v>
      </c>
    </row>
    <row r="718" spans="1:16" x14ac:dyDescent="0.2">
      <c r="A718" t="s">
        <v>2041</v>
      </c>
      <c r="B718" t="s">
        <v>2374</v>
      </c>
      <c r="C718" t="s">
        <v>66</v>
      </c>
      <c r="D718" t="s">
        <v>2307</v>
      </c>
      <c r="E718">
        <v>98122</v>
      </c>
      <c r="F718" t="s">
        <v>1716</v>
      </c>
      <c r="G718" t="s">
        <v>2005</v>
      </c>
      <c r="H718" t="s">
        <v>5157</v>
      </c>
      <c r="I718">
        <v>47.612997999999997</v>
      </c>
      <c r="J718">
        <v>-122.30610799999999</v>
      </c>
      <c r="K718" t="s">
        <v>3936</v>
      </c>
      <c r="L718" t="s">
        <v>3946</v>
      </c>
      <c r="M718" t="s">
        <v>4963</v>
      </c>
      <c r="P718" t="s">
        <v>2374</v>
      </c>
    </row>
    <row r="719" spans="1:16" x14ac:dyDescent="0.2">
      <c r="A719" t="s">
        <v>2018</v>
      </c>
      <c r="B719" t="s">
        <v>2379</v>
      </c>
      <c r="C719" t="s">
        <v>66</v>
      </c>
      <c r="D719" t="s">
        <v>2307</v>
      </c>
      <c r="E719">
        <v>98104</v>
      </c>
      <c r="F719" t="s">
        <v>1600</v>
      </c>
      <c r="G719" t="s">
        <v>2027</v>
      </c>
      <c r="H719" t="s">
        <v>5458</v>
      </c>
      <c r="I719">
        <v>47.599043000000002</v>
      </c>
      <c r="J719">
        <v>-122.331389</v>
      </c>
      <c r="K719" t="s">
        <v>3936</v>
      </c>
      <c r="L719" t="s">
        <v>3946</v>
      </c>
      <c r="M719" t="s">
        <v>4963</v>
      </c>
      <c r="P719" t="s">
        <v>2379</v>
      </c>
    </row>
    <row r="720" spans="1:16" x14ac:dyDescent="0.2">
      <c r="A720" t="s">
        <v>2034</v>
      </c>
      <c r="B720" t="s">
        <v>2381</v>
      </c>
      <c r="C720" t="s">
        <v>66</v>
      </c>
      <c r="D720" t="s">
        <v>2307</v>
      </c>
      <c r="E720">
        <v>98103</v>
      </c>
      <c r="F720" t="s">
        <v>2035</v>
      </c>
      <c r="G720" t="s">
        <v>2005</v>
      </c>
      <c r="H720" t="s">
        <v>4294</v>
      </c>
      <c r="I720">
        <v>47.661546000000001</v>
      </c>
      <c r="J720">
        <v>-122.33716200000001</v>
      </c>
      <c r="K720" t="s">
        <v>3936</v>
      </c>
      <c r="L720" t="s">
        <v>3946</v>
      </c>
      <c r="M720" t="s">
        <v>4963</v>
      </c>
      <c r="P720" t="s">
        <v>2381</v>
      </c>
    </row>
    <row r="721" spans="1:16" x14ac:dyDescent="0.2">
      <c r="A721" t="s">
        <v>2018</v>
      </c>
      <c r="B721" t="s">
        <v>2383</v>
      </c>
      <c r="C721" t="s">
        <v>66</v>
      </c>
      <c r="D721" t="s">
        <v>2307</v>
      </c>
      <c r="E721">
        <v>98103</v>
      </c>
      <c r="F721" t="s">
        <v>2019</v>
      </c>
      <c r="G721" t="s">
        <v>1991</v>
      </c>
      <c r="H721" t="s">
        <v>4965</v>
      </c>
      <c r="I721">
        <v>47.661481999999999</v>
      </c>
      <c r="J721">
        <v>-122.333592</v>
      </c>
      <c r="K721" t="s">
        <v>3936</v>
      </c>
      <c r="L721" t="s">
        <v>3946</v>
      </c>
      <c r="M721" t="s">
        <v>4963</v>
      </c>
      <c r="P721" t="s">
        <v>2383</v>
      </c>
    </row>
    <row r="722" spans="1:16" x14ac:dyDescent="0.2">
      <c r="A722" t="s">
        <v>2018</v>
      </c>
      <c r="B722" t="s">
        <v>2388</v>
      </c>
      <c r="C722" t="s">
        <v>66</v>
      </c>
      <c r="D722" t="s">
        <v>2307</v>
      </c>
      <c r="E722">
        <v>98104</v>
      </c>
      <c r="F722" t="s">
        <v>2019</v>
      </c>
      <c r="G722" t="s">
        <v>1991</v>
      </c>
      <c r="H722" t="s">
        <v>5459</v>
      </c>
      <c r="I722">
        <v>47.597276999999998</v>
      </c>
      <c r="J722">
        <v>-122.327865</v>
      </c>
      <c r="K722" t="s">
        <v>3936</v>
      </c>
      <c r="L722" t="s">
        <v>3946</v>
      </c>
      <c r="M722" t="s">
        <v>4963</v>
      </c>
      <c r="P722" t="s">
        <v>2388</v>
      </c>
    </row>
    <row r="723" spans="1:16" x14ac:dyDescent="0.2">
      <c r="A723" t="s">
        <v>2018</v>
      </c>
      <c r="B723" t="s">
        <v>2397</v>
      </c>
      <c r="C723" t="s">
        <v>66</v>
      </c>
      <c r="D723" t="s">
        <v>2307</v>
      </c>
      <c r="E723">
        <v>98105</v>
      </c>
      <c r="F723" t="s">
        <v>1600</v>
      </c>
      <c r="G723" t="s">
        <v>2027</v>
      </c>
      <c r="H723" t="s">
        <v>5460</v>
      </c>
      <c r="I723">
        <v>47.661476999999998</v>
      </c>
      <c r="J723">
        <v>-122.314413</v>
      </c>
      <c r="K723" t="s">
        <v>3936</v>
      </c>
      <c r="L723" t="s">
        <v>3946</v>
      </c>
      <c r="M723" t="s">
        <v>4963</v>
      </c>
      <c r="P723" t="s">
        <v>2397</v>
      </c>
    </row>
    <row r="724" spans="1:16" x14ac:dyDescent="0.2">
      <c r="A724" t="s">
        <v>2018</v>
      </c>
      <c r="B724" t="s">
        <v>2402</v>
      </c>
      <c r="C724" t="s">
        <v>66</v>
      </c>
      <c r="D724" t="s">
        <v>2307</v>
      </c>
      <c r="E724">
        <v>98105</v>
      </c>
      <c r="F724" t="s">
        <v>2019</v>
      </c>
      <c r="G724" t="s">
        <v>1991</v>
      </c>
      <c r="H724" t="s">
        <v>5461</v>
      </c>
      <c r="I724">
        <v>47.663293000000003</v>
      </c>
      <c r="J724">
        <v>-122.312878</v>
      </c>
      <c r="K724" t="s">
        <v>3936</v>
      </c>
      <c r="L724" t="s">
        <v>3946</v>
      </c>
      <c r="M724" t="s">
        <v>4963</v>
      </c>
      <c r="P724" t="s">
        <v>2402</v>
      </c>
    </row>
    <row r="725" spans="1:16" x14ac:dyDescent="0.2">
      <c r="A725" t="s">
        <v>2018</v>
      </c>
      <c r="B725" t="s">
        <v>2411</v>
      </c>
      <c r="C725" t="s">
        <v>66</v>
      </c>
      <c r="D725" t="s">
        <v>2307</v>
      </c>
      <c r="E725">
        <v>98112</v>
      </c>
      <c r="F725" t="s">
        <v>2019</v>
      </c>
      <c r="G725" t="s">
        <v>1991</v>
      </c>
      <c r="H725" t="s">
        <v>5158</v>
      </c>
      <c r="I725">
        <v>47.633983000000001</v>
      </c>
      <c r="J725">
        <v>-122.280924</v>
      </c>
      <c r="K725" t="s">
        <v>3936</v>
      </c>
      <c r="L725" t="s">
        <v>3946</v>
      </c>
      <c r="M725" t="s">
        <v>4963</v>
      </c>
      <c r="P725" t="s">
        <v>2411</v>
      </c>
    </row>
    <row r="726" spans="1:16" x14ac:dyDescent="0.2">
      <c r="A726" t="s">
        <v>2018</v>
      </c>
      <c r="B726" t="s">
        <v>2412</v>
      </c>
      <c r="C726" t="s">
        <v>66</v>
      </c>
      <c r="D726" t="s">
        <v>2307</v>
      </c>
      <c r="E726">
        <v>98199</v>
      </c>
      <c r="F726" t="s">
        <v>2019</v>
      </c>
      <c r="G726" t="s">
        <v>1991</v>
      </c>
      <c r="H726" t="s">
        <v>5159</v>
      </c>
      <c r="I726">
        <v>47.63937</v>
      </c>
      <c r="J726">
        <v>-122.398735</v>
      </c>
      <c r="K726" t="s">
        <v>3936</v>
      </c>
      <c r="L726" t="s">
        <v>3946</v>
      </c>
      <c r="M726" t="s">
        <v>4963</v>
      </c>
      <c r="P726" t="s">
        <v>2412</v>
      </c>
    </row>
    <row r="727" spans="1:16" x14ac:dyDescent="0.2">
      <c r="A727" t="s">
        <v>2018</v>
      </c>
      <c r="B727" t="s">
        <v>2418</v>
      </c>
      <c r="C727" t="s">
        <v>66</v>
      </c>
      <c r="D727" t="s">
        <v>2307</v>
      </c>
      <c r="E727">
        <v>98105</v>
      </c>
      <c r="F727" t="s">
        <v>2019</v>
      </c>
      <c r="G727" t="s">
        <v>1991</v>
      </c>
      <c r="H727" t="s">
        <v>4966</v>
      </c>
      <c r="I727">
        <v>47.661409999999997</v>
      </c>
      <c r="J727">
        <v>-122.293308</v>
      </c>
      <c r="K727" t="s">
        <v>3936</v>
      </c>
      <c r="L727" t="s">
        <v>3946</v>
      </c>
      <c r="M727" t="s">
        <v>4963</v>
      </c>
      <c r="P727" t="s">
        <v>2418</v>
      </c>
    </row>
    <row r="728" spans="1:16" x14ac:dyDescent="0.2">
      <c r="A728" t="s">
        <v>2018</v>
      </c>
      <c r="B728" t="s">
        <v>2428</v>
      </c>
      <c r="C728" t="s">
        <v>66</v>
      </c>
      <c r="D728" t="s">
        <v>2307</v>
      </c>
      <c r="E728">
        <v>98107</v>
      </c>
      <c r="F728" t="s">
        <v>1600</v>
      </c>
      <c r="G728" t="s">
        <v>2027</v>
      </c>
      <c r="H728" t="s">
        <v>5160</v>
      </c>
      <c r="I728">
        <v>47.66883</v>
      </c>
      <c r="J728">
        <v>-122.383679</v>
      </c>
      <c r="K728" t="s">
        <v>3936</v>
      </c>
      <c r="L728" t="s">
        <v>3946</v>
      </c>
      <c r="M728" t="s">
        <v>4963</v>
      </c>
      <c r="P728" t="s">
        <v>2428</v>
      </c>
    </row>
    <row r="729" spans="1:16" x14ac:dyDescent="0.2">
      <c r="A729" t="s">
        <v>2018</v>
      </c>
      <c r="B729" t="s">
        <v>2433</v>
      </c>
      <c r="C729" t="s">
        <v>66</v>
      </c>
      <c r="D729" t="s">
        <v>2307</v>
      </c>
      <c r="E729">
        <v>98105</v>
      </c>
      <c r="F729" t="s">
        <v>1600</v>
      </c>
      <c r="G729" t="s">
        <v>2027</v>
      </c>
      <c r="H729" t="s">
        <v>5462</v>
      </c>
      <c r="I729">
        <v>47.664214000000001</v>
      </c>
      <c r="J729">
        <v>-122.283288</v>
      </c>
      <c r="K729" t="s">
        <v>3936</v>
      </c>
      <c r="L729" t="s">
        <v>3946</v>
      </c>
      <c r="M729" t="s">
        <v>4963</v>
      </c>
      <c r="P729" t="s">
        <v>2433</v>
      </c>
    </row>
    <row r="730" spans="1:16" x14ac:dyDescent="0.2">
      <c r="A730" t="s">
        <v>2018</v>
      </c>
      <c r="B730" t="s">
        <v>2440</v>
      </c>
      <c r="C730" t="s">
        <v>66</v>
      </c>
      <c r="D730" t="s">
        <v>2307</v>
      </c>
      <c r="E730">
        <v>98134</v>
      </c>
      <c r="F730" t="s">
        <v>2019</v>
      </c>
      <c r="G730" t="s">
        <v>1991</v>
      </c>
      <c r="H730" t="s">
        <v>5463</v>
      </c>
      <c r="I730">
        <v>47.576224000000003</v>
      </c>
      <c r="J730">
        <v>-122.3212</v>
      </c>
      <c r="K730" t="s">
        <v>3936</v>
      </c>
      <c r="L730" t="s">
        <v>3946</v>
      </c>
      <c r="M730" t="s">
        <v>4963</v>
      </c>
      <c r="P730" t="s">
        <v>2440</v>
      </c>
    </row>
    <row r="731" spans="1:16" x14ac:dyDescent="0.2">
      <c r="A731" t="s">
        <v>2034</v>
      </c>
      <c r="B731" t="s">
        <v>2441</v>
      </c>
      <c r="C731" t="s">
        <v>66</v>
      </c>
      <c r="D731" t="s">
        <v>2307</v>
      </c>
      <c r="E731">
        <v>98103</v>
      </c>
      <c r="F731" t="s">
        <v>2035</v>
      </c>
      <c r="G731" t="s">
        <v>2005</v>
      </c>
      <c r="H731" t="s">
        <v>4328</v>
      </c>
      <c r="I731">
        <v>47.684916999999999</v>
      </c>
      <c r="J731">
        <v>-122.344409</v>
      </c>
      <c r="K731" t="s">
        <v>3936</v>
      </c>
      <c r="L731" t="s">
        <v>3946</v>
      </c>
      <c r="M731" t="s">
        <v>4963</v>
      </c>
      <c r="P731" t="s">
        <v>2441</v>
      </c>
    </row>
    <row r="732" spans="1:16" x14ac:dyDescent="0.2">
      <c r="A732" t="s">
        <v>2034</v>
      </c>
      <c r="B732" t="s">
        <v>2442</v>
      </c>
      <c r="C732" t="s">
        <v>66</v>
      </c>
      <c r="D732" t="s">
        <v>2307</v>
      </c>
      <c r="E732">
        <v>98103</v>
      </c>
      <c r="F732" t="s">
        <v>2035</v>
      </c>
      <c r="G732" t="s">
        <v>2005</v>
      </c>
      <c r="H732" t="s">
        <v>4329</v>
      </c>
      <c r="I732">
        <v>47.685408000000002</v>
      </c>
      <c r="J732">
        <v>-122.336039</v>
      </c>
      <c r="K732" t="s">
        <v>3936</v>
      </c>
      <c r="L732" t="s">
        <v>3946</v>
      </c>
      <c r="M732" t="s">
        <v>4963</v>
      </c>
      <c r="P732" t="s">
        <v>2442</v>
      </c>
    </row>
    <row r="733" spans="1:16" x14ac:dyDescent="0.2">
      <c r="A733" t="s">
        <v>2018</v>
      </c>
      <c r="B733" t="s">
        <v>2464</v>
      </c>
      <c r="C733" t="s">
        <v>66</v>
      </c>
      <c r="D733" t="s">
        <v>2307</v>
      </c>
      <c r="E733">
        <v>98116</v>
      </c>
      <c r="F733" t="s">
        <v>2019</v>
      </c>
      <c r="G733" t="s">
        <v>1991</v>
      </c>
      <c r="H733" t="s">
        <v>5464</v>
      </c>
      <c r="I733">
        <v>47.579523000000002</v>
      </c>
      <c r="J733">
        <v>-122.40880900000001</v>
      </c>
      <c r="K733" t="s">
        <v>3936</v>
      </c>
      <c r="L733" t="s">
        <v>3946</v>
      </c>
      <c r="M733" t="s">
        <v>4963</v>
      </c>
      <c r="P733" t="s">
        <v>2464</v>
      </c>
    </row>
    <row r="734" spans="1:16" x14ac:dyDescent="0.2">
      <c r="A734" t="s">
        <v>2097</v>
      </c>
      <c r="B734" t="s">
        <v>2466</v>
      </c>
      <c r="C734" t="s">
        <v>66</v>
      </c>
      <c r="D734" t="s">
        <v>2307</v>
      </c>
      <c r="E734">
        <v>98116</v>
      </c>
      <c r="F734" t="s">
        <v>1591</v>
      </c>
      <c r="G734" t="s">
        <v>1969</v>
      </c>
      <c r="H734" t="s">
        <v>5465</v>
      </c>
      <c r="I734">
        <v>47.564366999999997</v>
      </c>
      <c r="J734">
        <v>-122.38658100000001</v>
      </c>
      <c r="K734" t="s">
        <v>3936</v>
      </c>
      <c r="L734" t="s">
        <v>3946</v>
      </c>
      <c r="M734" t="s">
        <v>4963</v>
      </c>
      <c r="P734" t="s">
        <v>2466</v>
      </c>
    </row>
    <row r="735" spans="1:16" x14ac:dyDescent="0.2">
      <c r="A735" t="s">
        <v>2018</v>
      </c>
      <c r="B735" t="s">
        <v>2468</v>
      </c>
      <c r="C735" t="s">
        <v>66</v>
      </c>
      <c r="D735" t="s">
        <v>2307</v>
      </c>
      <c r="E735">
        <v>98118</v>
      </c>
      <c r="F735" t="s">
        <v>2019</v>
      </c>
      <c r="G735" t="s">
        <v>1991</v>
      </c>
      <c r="H735" t="s">
        <v>5466</v>
      </c>
      <c r="I735">
        <v>47.563993000000004</v>
      </c>
      <c r="J735">
        <v>-122.288006</v>
      </c>
      <c r="K735" t="s">
        <v>3936</v>
      </c>
      <c r="L735" t="s">
        <v>3946</v>
      </c>
      <c r="M735" t="s">
        <v>4963</v>
      </c>
      <c r="P735" t="s">
        <v>2468</v>
      </c>
    </row>
    <row r="736" spans="1:16" x14ac:dyDescent="0.2">
      <c r="A736" t="s">
        <v>2018</v>
      </c>
      <c r="B736" t="s">
        <v>2477</v>
      </c>
      <c r="C736" t="s">
        <v>2478</v>
      </c>
      <c r="D736" t="s">
        <v>2307</v>
      </c>
      <c r="E736">
        <v>98004</v>
      </c>
      <c r="F736" t="s">
        <v>2019</v>
      </c>
      <c r="G736" t="s">
        <v>1991</v>
      </c>
      <c r="H736" t="s">
        <v>5161</v>
      </c>
      <c r="I736">
        <v>47.635672</v>
      </c>
      <c r="J736">
        <v>-122.222526</v>
      </c>
      <c r="K736" t="s">
        <v>3936</v>
      </c>
      <c r="L736" t="s">
        <v>3946</v>
      </c>
      <c r="M736" t="s">
        <v>4963</v>
      </c>
      <c r="P736" t="s">
        <v>2477</v>
      </c>
    </row>
    <row r="737" spans="1:16" x14ac:dyDescent="0.2">
      <c r="A737" t="s">
        <v>2018</v>
      </c>
      <c r="B737" t="s">
        <v>2497</v>
      </c>
      <c r="C737" t="s">
        <v>66</v>
      </c>
      <c r="D737" t="s">
        <v>2307</v>
      </c>
      <c r="E737">
        <v>98136</v>
      </c>
      <c r="F737" t="s">
        <v>2019</v>
      </c>
      <c r="G737" t="s">
        <v>1991</v>
      </c>
      <c r="H737" t="s">
        <v>5467</v>
      </c>
      <c r="I737">
        <v>47.544756999999997</v>
      </c>
      <c r="J737">
        <v>-122.385893</v>
      </c>
      <c r="K737" t="s">
        <v>3936</v>
      </c>
      <c r="L737" t="s">
        <v>3946</v>
      </c>
      <c r="M737" t="s">
        <v>4963</v>
      </c>
      <c r="P737" t="s">
        <v>2497</v>
      </c>
    </row>
    <row r="738" spans="1:16" x14ac:dyDescent="0.2">
      <c r="A738" t="s">
        <v>2018</v>
      </c>
      <c r="B738" t="s">
        <v>2504</v>
      </c>
      <c r="C738" t="s">
        <v>2502</v>
      </c>
      <c r="D738" t="s">
        <v>2307</v>
      </c>
      <c r="E738">
        <v>98004</v>
      </c>
      <c r="F738" t="s">
        <v>2019</v>
      </c>
      <c r="G738" t="s">
        <v>1991</v>
      </c>
      <c r="H738" t="s">
        <v>5468</v>
      </c>
      <c r="I738">
        <v>47.617350000000002</v>
      </c>
      <c r="J738">
        <v>-122.201823</v>
      </c>
      <c r="K738" t="s">
        <v>3936</v>
      </c>
      <c r="L738" t="s">
        <v>3946</v>
      </c>
      <c r="M738" t="s">
        <v>4963</v>
      </c>
      <c r="P738" t="s">
        <v>2504</v>
      </c>
    </row>
    <row r="739" spans="1:16" x14ac:dyDescent="0.2">
      <c r="A739" t="s">
        <v>2018</v>
      </c>
      <c r="B739" t="s">
        <v>2508</v>
      </c>
      <c r="C739" t="s">
        <v>2502</v>
      </c>
      <c r="D739" t="s">
        <v>2307</v>
      </c>
      <c r="E739">
        <v>98004</v>
      </c>
      <c r="F739" t="s">
        <v>2019</v>
      </c>
      <c r="G739" t="s">
        <v>1991</v>
      </c>
      <c r="H739" t="s">
        <v>5469</v>
      </c>
      <c r="I739">
        <v>47.616540000000001</v>
      </c>
      <c r="J739">
        <v>-122.201573</v>
      </c>
      <c r="K739" t="s">
        <v>3936</v>
      </c>
      <c r="L739" t="s">
        <v>3946</v>
      </c>
      <c r="M739" t="s">
        <v>4963</v>
      </c>
      <c r="P739" t="s">
        <v>2508</v>
      </c>
    </row>
    <row r="740" spans="1:16" x14ac:dyDescent="0.2">
      <c r="A740" t="s">
        <v>2018</v>
      </c>
      <c r="B740" t="s">
        <v>2512</v>
      </c>
      <c r="C740" t="s">
        <v>2502</v>
      </c>
      <c r="D740" t="s">
        <v>2307</v>
      </c>
      <c r="E740">
        <v>98004</v>
      </c>
      <c r="F740" t="s">
        <v>1600</v>
      </c>
      <c r="G740" t="s">
        <v>2027</v>
      </c>
      <c r="H740" t="s">
        <v>4967</v>
      </c>
      <c r="I740">
        <v>47.617508000000001</v>
      </c>
      <c r="J740">
        <v>-122.20038599999999</v>
      </c>
      <c r="K740" t="s">
        <v>3936</v>
      </c>
      <c r="L740" t="s">
        <v>3946</v>
      </c>
      <c r="M740" t="s">
        <v>4963</v>
      </c>
      <c r="P740" t="s">
        <v>2512</v>
      </c>
    </row>
    <row r="741" spans="1:16" x14ac:dyDescent="0.2">
      <c r="A741" t="s">
        <v>2012</v>
      </c>
      <c r="B741" t="s">
        <v>2513</v>
      </c>
      <c r="C741" t="s">
        <v>66</v>
      </c>
      <c r="D741" t="s">
        <v>2307</v>
      </c>
      <c r="E741">
        <v>98136</v>
      </c>
      <c r="F741" t="s">
        <v>1600</v>
      </c>
      <c r="G741" t="s">
        <v>2005</v>
      </c>
      <c r="H741" t="s">
        <v>4359</v>
      </c>
      <c r="I741">
        <v>47.540582999999998</v>
      </c>
      <c r="J741">
        <v>-122.387428</v>
      </c>
      <c r="K741" t="s">
        <v>3936</v>
      </c>
      <c r="L741" t="s">
        <v>3946</v>
      </c>
      <c r="M741" t="s">
        <v>4963</v>
      </c>
      <c r="P741" t="s">
        <v>2513</v>
      </c>
    </row>
    <row r="742" spans="1:16" x14ac:dyDescent="0.2">
      <c r="A742" t="s">
        <v>2012</v>
      </c>
      <c r="B742" t="s">
        <v>2525</v>
      </c>
      <c r="C742" t="s">
        <v>2502</v>
      </c>
      <c r="D742" t="s">
        <v>2307</v>
      </c>
      <c r="E742">
        <v>98004</v>
      </c>
      <c r="F742" t="s">
        <v>1600</v>
      </c>
      <c r="G742" t="s">
        <v>2005</v>
      </c>
      <c r="H742" t="s">
        <v>4366</v>
      </c>
      <c r="I742">
        <v>47.613241000000002</v>
      </c>
      <c r="J742">
        <v>-122.19637400000001</v>
      </c>
      <c r="K742" t="s">
        <v>3936</v>
      </c>
      <c r="L742" t="s">
        <v>3946</v>
      </c>
      <c r="M742" t="s">
        <v>4963</v>
      </c>
      <c r="P742" t="s">
        <v>2525</v>
      </c>
    </row>
    <row r="743" spans="1:16" x14ac:dyDescent="0.2">
      <c r="A743" t="s">
        <v>2018</v>
      </c>
      <c r="B743" t="s">
        <v>2526</v>
      </c>
      <c r="C743" t="s">
        <v>2502</v>
      </c>
      <c r="D743" t="s">
        <v>2307</v>
      </c>
      <c r="E743">
        <v>98004</v>
      </c>
      <c r="F743" t="s">
        <v>2019</v>
      </c>
      <c r="G743" t="s">
        <v>1991</v>
      </c>
      <c r="H743" t="s">
        <v>5470</v>
      </c>
      <c r="I743">
        <v>47.610242</v>
      </c>
      <c r="J743">
        <v>-122.195841</v>
      </c>
      <c r="K743" t="s">
        <v>3936</v>
      </c>
      <c r="L743" t="s">
        <v>3946</v>
      </c>
      <c r="M743" t="s">
        <v>4963</v>
      </c>
      <c r="P743" t="s">
        <v>2526</v>
      </c>
    </row>
    <row r="744" spans="1:16" x14ac:dyDescent="0.2">
      <c r="A744" t="s">
        <v>2012</v>
      </c>
      <c r="B744" t="s">
        <v>2529</v>
      </c>
      <c r="C744" t="s">
        <v>2506</v>
      </c>
      <c r="D744" t="s">
        <v>2307</v>
      </c>
      <c r="E744">
        <v>98033</v>
      </c>
      <c r="F744" t="s">
        <v>1600</v>
      </c>
      <c r="G744" t="s">
        <v>2005</v>
      </c>
      <c r="H744" t="s">
        <v>4369</v>
      </c>
      <c r="I744">
        <v>47.676538000000001</v>
      </c>
      <c r="J744">
        <v>-122.20769799999999</v>
      </c>
      <c r="K744" t="s">
        <v>3936</v>
      </c>
      <c r="L744" t="s">
        <v>3946</v>
      </c>
      <c r="M744" t="s">
        <v>4963</v>
      </c>
      <c r="P744" t="s">
        <v>2529</v>
      </c>
    </row>
    <row r="745" spans="1:16" x14ac:dyDescent="0.2">
      <c r="A745" t="s">
        <v>2018</v>
      </c>
      <c r="B745" t="s">
        <v>2530</v>
      </c>
      <c r="C745" t="s">
        <v>2506</v>
      </c>
      <c r="D745" t="s">
        <v>2307</v>
      </c>
      <c r="E745">
        <v>98033</v>
      </c>
      <c r="F745" t="s">
        <v>1600</v>
      </c>
      <c r="G745" t="s">
        <v>2027</v>
      </c>
      <c r="H745" t="s">
        <v>5471</v>
      </c>
      <c r="I745">
        <v>47.674664999999997</v>
      </c>
      <c r="J745">
        <v>-122.205957</v>
      </c>
      <c r="K745" t="s">
        <v>3936</v>
      </c>
      <c r="L745" t="s">
        <v>3946</v>
      </c>
      <c r="M745" t="s">
        <v>4963</v>
      </c>
      <c r="P745" t="s">
        <v>2530</v>
      </c>
    </row>
    <row r="746" spans="1:16" x14ac:dyDescent="0.2">
      <c r="A746" t="s">
        <v>2117</v>
      </c>
      <c r="B746" t="s">
        <v>2533</v>
      </c>
      <c r="C746" t="s">
        <v>2506</v>
      </c>
      <c r="D746" t="s">
        <v>2307</v>
      </c>
      <c r="E746">
        <v>98033</v>
      </c>
      <c r="F746" t="s">
        <v>1716</v>
      </c>
      <c r="G746" t="s">
        <v>2005</v>
      </c>
      <c r="H746" t="s">
        <v>4372</v>
      </c>
      <c r="I746">
        <v>47.675379</v>
      </c>
      <c r="J746">
        <v>-122.202538</v>
      </c>
      <c r="K746" t="s">
        <v>3936</v>
      </c>
      <c r="L746" t="s">
        <v>3946</v>
      </c>
      <c r="M746" t="s">
        <v>4963</v>
      </c>
      <c r="P746" t="s">
        <v>2533</v>
      </c>
    </row>
    <row r="747" spans="1:16" x14ac:dyDescent="0.2">
      <c r="A747" t="s">
        <v>2018</v>
      </c>
      <c r="B747" t="s">
        <v>2558</v>
      </c>
      <c r="C747" t="s">
        <v>2506</v>
      </c>
      <c r="D747" t="s">
        <v>2307</v>
      </c>
      <c r="E747">
        <v>98033</v>
      </c>
      <c r="F747" t="s">
        <v>1600</v>
      </c>
      <c r="G747" t="s">
        <v>2027</v>
      </c>
      <c r="H747" t="s">
        <v>5472</v>
      </c>
      <c r="I747">
        <v>47.667256999999999</v>
      </c>
      <c r="J747">
        <v>-122.165271</v>
      </c>
      <c r="K747" t="s">
        <v>3936</v>
      </c>
      <c r="L747" t="s">
        <v>3946</v>
      </c>
      <c r="M747" t="s">
        <v>4963</v>
      </c>
      <c r="P747" t="s">
        <v>2558</v>
      </c>
    </row>
    <row r="748" spans="1:16" x14ac:dyDescent="0.2">
      <c r="A748" t="s">
        <v>2131</v>
      </c>
      <c r="B748" t="s">
        <v>2568</v>
      </c>
      <c r="C748" t="s">
        <v>2502</v>
      </c>
      <c r="D748" t="s">
        <v>2307</v>
      </c>
      <c r="E748">
        <v>98006</v>
      </c>
      <c r="F748" t="s">
        <v>2019</v>
      </c>
      <c r="G748" t="s">
        <v>2005</v>
      </c>
      <c r="H748" t="s">
        <v>4391</v>
      </c>
      <c r="I748">
        <v>47.574232000000002</v>
      </c>
      <c r="J748">
        <v>-122.169349</v>
      </c>
      <c r="K748" t="s">
        <v>3936</v>
      </c>
      <c r="L748" t="s">
        <v>3946</v>
      </c>
      <c r="M748" t="s">
        <v>4963</v>
      </c>
      <c r="P748" t="s">
        <v>2568</v>
      </c>
    </row>
    <row r="749" spans="1:16" x14ac:dyDescent="0.2">
      <c r="A749" t="s">
        <v>2131</v>
      </c>
      <c r="B749" t="s">
        <v>2585</v>
      </c>
      <c r="C749" t="s">
        <v>2586</v>
      </c>
      <c r="D749" t="s">
        <v>2307</v>
      </c>
      <c r="E749">
        <v>98052</v>
      </c>
      <c r="F749" t="s">
        <v>2019</v>
      </c>
      <c r="G749" t="s">
        <v>2005</v>
      </c>
      <c r="H749" t="s">
        <v>4401</v>
      </c>
      <c r="I749">
        <v>47.630015999999998</v>
      </c>
      <c r="J749">
        <v>-122.143044</v>
      </c>
      <c r="K749" t="s">
        <v>3936</v>
      </c>
      <c r="L749" t="s">
        <v>3946</v>
      </c>
      <c r="M749" t="s">
        <v>4963</v>
      </c>
      <c r="P749" t="s">
        <v>2585</v>
      </c>
    </row>
    <row r="750" spans="1:16" x14ac:dyDescent="0.2">
      <c r="A750" t="s">
        <v>2018</v>
      </c>
      <c r="B750" t="s">
        <v>2606</v>
      </c>
      <c r="C750" t="s">
        <v>2599</v>
      </c>
      <c r="D750" t="s">
        <v>2307</v>
      </c>
      <c r="E750">
        <v>98028</v>
      </c>
      <c r="F750" t="s">
        <v>1600</v>
      </c>
      <c r="G750" t="s">
        <v>2027</v>
      </c>
      <c r="H750" t="s">
        <v>5473</v>
      </c>
      <c r="I750">
        <v>47.758631999999999</v>
      </c>
      <c r="J750">
        <v>-122.251741</v>
      </c>
      <c r="K750" t="s">
        <v>3936</v>
      </c>
      <c r="L750" t="s">
        <v>3946</v>
      </c>
      <c r="M750" t="s">
        <v>4963</v>
      </c>
      <c r="P750" t="s">
        <v>2606</v>
      </c>
    </row>
    <row r="751" spans="1:16" x14ac:dyDescent="0.2">
      <c r="A751" t="s">
        <v>2018</v>
      </c>
      <c r="B751" t="s">
        <v>2611</v>
      </c>
      <c r="C751" t="s">
        <v>2502</v>
      </c>
      <c r="D751" t="s">
        <v>2307</v>
      </c>
      <c r="E751">
        <v>98007</v>
      </c>
      <c r="F751" t="s">
        <v>2019</v>
      </c>
      <c r="G751" t="s">
        <v>1991</v>
      </c>
      <c r="H751" t="s">
        <v>5163</v>
      </c>
      <c r="I751">
        <v>47.581364000000001</v>
      </c>
      <c r="J751">
        <v>-122.141571</v>
      </c>
      <c r="K751" t="s">
        <v>3936</v>
      </c>
      <c r="L751" t="s">
        <v>3946</v>
      </c>
      <c r="M751" t="s">
        <v>4963</v>
      </c>
      <c r="P751" t="s">
        <v>2611</v>
      </c>
    </row>
    <row r="752" spans="1:16" x14ac:dyDescent="0.2">
      <c r="A752" t="s">
        <v>2140</v>
      </c>
      <c r="B752" t="s">
        <v>6250</v>
      </c>
      <c r="C752" t="s">
        <v>386</v>
      </c>
      <c r="D752" t="s">
        <v>2307</v>
      </c>
      <c r="E752">
        <v>98155</v>
      </c>
      <c r="F752" t="s">
        <v>2035</v>
      </c>
      <c r="G752" t="s">
        <v>2005</v>
      </c>
      <c r="H752" t="s">
        <v>4418</v>
      </c>
      <c r="I752">
        <v>47.770412999999998</v>
      </c>
      <c r="J752">
        <v>-122.302976</v>
      </c>
      <c r="K752" t="s">
        <v>3936</v>
      </c>
      <c r="L752" t="s">
        <v>3946</v>
      </c>
      <c r="M752" t="s">
        <v>4963</v>
      </c>
      <c r="P752" t="s">
        <v>6050</v>
      </c>
    </row>
    <row r="753" spans="1:16" x14ac:dyDescent="0.2">
      <c r="A753" t="s">
        <v>2018</v>
      </c>
      <c r="B753" t="s">
        <v>2616</v>
      </c>
      <c r="C753" t="s">
        <v>2502</v>
      </c>
      <c r="D753" t="s">
        <v>2307</v>
      </c>
      <c r="E753">
        <v>98008</v>
      </c>
      <c r="F753" t="s">
        <v>1600</v>
      </c>
      <c r="G753" t="s">
        <v>2027</v>
      </c>
      <c r="H753" t="s">
        <v>5474</v>
      </c>
      <c r="I753">
        <v>47.635326999999997</v>
      </c>
      <c r="J753">
        <v>-122.12615700000001</v>
      </c>
      <c r="K753" t="s">
        <v>3936</v>
      </c>
      <c r="L753" t="s">
        <v>3946</v>
      </c>
      <c r="M753" t="s">
        <v>4963</v>
      </c>
      <c r="P753" t="s">
        <v>2616</v>
      </c>
    </row>
    <row r="754" spans="1:16" x14ac:dyDescent="0.2">
      <c r="A754" t="s">
        <v>2143</v>
      </c>
      <c r="B754" t="s">
        <v>2628</v>
      </c>
      <c r="C754" t="s">
        <v>2586</v>
      </c>
      <c r="D754" t="s">
        <v>2307</v>
      </c>
      <c r="E754">
        <v>98052</v>
      </c>
      <c r="F754" t="s">
        <v>1716</v>
      </c>
      <c r="G754" t="s">
        <v>2005</v>
      </c>
      <c r="H754" t="s">
        <v>4426</v>
      </c>
      <c r="I754">
        <v>47.674377999999997</v>
      </c>
      <c r="J754">
        <v>-122.129929</v>
      </c>
      <c r="K754" t="s">
        <v>3936</v>
      </c>
      <c r="L754" t="s">
        <v>3946</v>
      </c>
      <c r="M754" t="s">
        <v>4963</v>
      </c>
      <c r="P754" t="s">
        <v>2628</v>
      </c>
    </row>
    <row r="755" spans="1:16" x14ac:dyDescent="0.2">
      <c r="A755" t="s">
        <v>2018</v>
      </c>
      <c r="B755" t="s">
        <v>2637</v>
      </c>
      <c r="C755" t="s">
        <v>2586</v>
      </c>
      <c r="D755" t="s">
        <v>2307</v>
      </c>
      <c r="E755">
        <v>98052</v>
      </c>
      <c r="F755" t="s">
        <v>2019</v>
      </c>
      <c r="G755" t="s">
        <v>1991</v>
      </c>
      <c r="H755" t="s">
        <v>5164</v>
      </c>
      <c r="I755">
        <v>47.670605000000002</v>
      </c>
      <c r="J755">
        <v>-122.122167</v>
      </c>
      <c r="K755" t="s">
        <v>3936</v>
      </c>
      <c r="L755" t="s">
        <v>3946</v>
      </c>
      <c r="M755" t="s">
        <v>4963</v>
      </c>
      <c r="P755" t="s">
        <v>2637</v>
      </c>
    </row>
    <row r="756" spans="1:16" x14ac:dyDescent="0.2">
      <c r="A756" t="s">
        <v>2018</v>
      </c>
      <c r="B756" t="s">
        <v>2640</v>
      </c>
      <c r="C756" t="s">
        <v>2586</v>
      </c>
      <c r="D756" t="s">
        <v>2307</v>
      </c>
      <c r="E756">
        <v>98052</v>
      </c>
      <c r="F756" t="s">
        <v>2019</v>
      </c>
      <c r="G756" t="s">
        <v>1991</v>
      </c>
      <c r="H756" t="s">
        <v>5475</v>
      </c>
      <c r="I756">
        <v>47.681069999999998</v>
      </c>
      <c r="J756">
        <v>-122.125304</v>
      </c>
      <c r="K756" t="s">
        <v>3936</v>
      </c>
      <c r="L756" t="s">
        <v>3946</v>
      </c>
      <c r="M756" t="s">
        <v>4963</v>
      </c>
      <c r="P756" t="s">
        <v>2640</v>
      </c>
    </row>
    <row r="757" spans="1:16" x14ac:dyDescent="0.2">
      <c r="A757" t="s">
        <v>2147</v>
      </c>
      <c r="B757" t="s">
        <v>2641</v>
      </c>
      <c r="C757" t="s">
        <v>2548</v>
      </c>
      <c r="D757" t="s">
        <v>2307</v>
      </c>
      <c r="E757">
        <v>98011</v>
      </c>
      <c r="F757" t="s">
        <v>1716</v>
      </c>
      <c r="G757" t="s">
        <v>2000</v>
      </c>
      <c r="H757" t="s">
        <v>4436</v>
      </c>
      <c r="I757">
        <v>47.756397999999997</v>
      </c>
      <c r="J757">
        <v>-122.21181</v>
      </c>
      <c r="K757" t="s">
        <v>3936</v>
      </c>
      <c r="L757" t="s">
        <v>3946</v>
      </c>
      <c r="M757" t="s">
        <v>4963</v>
      </c>
      <c r="P757" t="s">
        <v>2641</v>
      </c>
    </row>
    <row r="758" spans="1:16" x14ac:dyDescent="0.2">
      <c r="A758" t="s">
        <v>2012</v>
      </c>
      <c r="B758" t="s">
        <v>2654</v>
      </c>
      <c r="C758" t="s">
        <v>2548</v>
      </c>
      <c r="D758" t="s">
        <v>2307</v>
      </c>
      <c r="E758">
        <v>98011</v>
      </c>
      <c r="F758" t="s">
        <v>1600</v>
      </c>
      <c r="G758" t="s">
        <v>2005</v>
      </c>
      <c r="H758" t="s">
        <v>4441</v>
      </c>
      <c r="I758">
        <v>47.762690999999997</v>
      </c>
      <c r="J758">
        <v>-122.207328</v>
      </c>
      <c r="K758" t="s">
        <v>3936</v>
      </c>
      <c r="L758" t="s">
        <v>3946</v>
      </c>
      <c r="M758" t="s">
        <v>4963</v>
      </c>
      <c r="P758" t="s">
        <v>2654</v>
      </c>
    </row>
    <row r="759" spans="1:16" x14ac:dyDescent="0.2">
      <c r="A759" t="s">
        <v>2153</v>
      </c>
      <c r="B759" t="s">
        <v>2669</v>
      </c>
      <c r="C759" t="s">
        <v>2597</v>
      </c>
      <c r="D759" t="s">
        <v>2307</v>
      </c>
      <c r="E759">
        <v>98056</v>
      </c>
      <c r="F759" t="s">
        <v>2146</v>
      </c>
      <c r="G759" t="s">
        <v>2005</v>
      </c>
      <c r="H759" t="s">
        <v>4453</v>
      </c>
      <c r="I759">
        <v>47.500943999999997</v>
      </c>
      <c r="J759">
        <v>-122.18085000000001</v>
      </c>
      <c r="K759" t="s">
        <v>3936</v>
      </c>
      <c r="L759" t="s">
        <v>3946</v>
      </c>
      <c r="M759" t="s">
        <v>4963</v>
      </c>
      <c r="P759" t="s">
        <v>2669</v>
      </c>
    </row>
    <row r="760" spans="1:16" x14ac:dyDescent="0.2">
      <c r="A760" t="s">
        <v>2018</v>
      </c>
      <c r="B760" t="s">
        <v>2671</v>
      </c>
      <c r="C760" t="s">
        <v>2672</v>
      </c>
      <c r="D760" t="s">
        <v>2307</v>
      </c>
      <c r="E760">
        <v>98072</v>
      </c>
      <c r="F760" t="s">
        <v>2019</v>
      </c>
      <c r="G760" t="s">
        <v>1991</v>
      </c>
      <c r="H760" t="s">
        <v>4968</v>
      </c>
      <c r="I760">
        <v>47.732317999999999</v>
      </c>
      <c r="J760">
        <v>-122.141825</v>
      </c>
      <c r="K760" t="s">
        <v>3936</v>
      </c>
      <c r="L760" t="s">
        <v>3946</v>
      </c>
      <c r="M760" t="s">
        <v>4963</v>
      </c>
      <c r="P760" t="s">
        <v>2671</v>
      </c>
    </row>
    <row r="761" spans="1:16" x14ac:dyDescent="0.2">
      <c r="A761" t="s">
        <v>2156</v>
      </c>
      <c r="B761" t="s">
        <v>2691</v>
      </c>
      <c r="C761" t="s">
        <v>2597</v>
      </c>
      <c r="D761" t="s">
        <v>2307</v>
      </c>
      <c r="E761">
        <v>98057</v>
      </c>
      <c r="F761" t="s">
        <v>2044</v>
      </c>
      <c r="G761" t="s">
        <v>2005</v>
      </c>
      <c r="H761" t="s">
        <v>4465</v>
      </c>
      <c r="I761">
        <v>47.479807999999998</v>
      </c>
      <c r="J761">
        <v>-122.205051</v>
      </c>
      <c r="K761" t="s">
        <v>3936</v>
      </c>
      <c r="L761" t="s">
        <v>3946</v>
      </c>
      <c r="M761" t="s">
        <v>4963</v>
      </c>
      <c r="P761" t="s">
        <v>2691</v>
      </c>
    </row>
    <row r="762" spans="1:16" x14ac:dyDescent="0.2">
      <c r="A762" t="s">
        <v>2012</v>
      </c>
      <c r="B762" t="s">
        <v>2700</v>
      </c>
      <c r="C762" t="s">
        <v>2627</v>
      </c>
      <c r="D762" t="s">
        <v>2307</v>
      </c>
      <c r="E762">
        <v>98026</v>
      </c>
      <c r="F762" t="s">
        <v>1600</v>
      </c>
      <c r="G762" t="s">
        <v>2005</v>
      </c>
      <c r="H762" t="s">
        <v>4470</v>
      </c>
      <c r="I762">
        <v>47.807031000000002</v>
      </c>
      <c r="J762">
        <v>-122.346582</v>
      </c>
      <c r="K762" t="s">
        <v>3936</v>
      </c>
      <c r="L762" t="s">
        <v>3946</v>
      </c>
      <c r="M762" t="s">
        <v>4963</v>
      </c>
      <c r="P762" t="s">
        <v>2700</v>
      </c>
    </row>
    <row r="763" spans="1:16" x14ac:dyDescent="0.2">
      <c r="A763" t="s">
        <v>2018</v>
      </c>
      <c r="B763" t="s">
        <v>2720</v>
      </c>
      <c r="C763" t="s">
        <v>2627</v>
      </c>
      <c r="D763" t="s">
        <v>2307</v>
      </c>
      <c r="E763">
        <v>98020</v>
      </c>
      <c r="F763" t="s">
        <v>2019</v>
      </c>
      <c r="G763" t="s">
        <v>1991</v>
      </c>
      <c r="H763" t="s">
        <v>5476</v>
      </c>
      <c r="I763">
        <v>47.808816999999998</v>
      </c>
      <c r="J763">
        <v>-122.377634</v>
      </c>
      <c r="K763" t="s">
        <v>3936</v>
      </c>
      <c r="L763" t="s">
        <v>3946</v>
      </c>
      <c r="M763" t="s">
        <v>4963</v>
      </c>
      <c r="P763" t="s">
        <v>2720</v>
      </c>
    </row>
    <row r="764" spans="1:16" x14ac:dyDescent="0.2">
      <c r="A764" t="s">
        <v>2018</v>
      </c>
      <c r="B764" t="s">
        <v>2727</v>
      </c>
      <c r="C764" t="s">
        <v>2548</v>
      </c>
      <c r="D764" t="s">
        <v>2307</v>
      </c>
      <c r="E764">
        <v>98021</v>
      </c>
      <c r="F764" t="s">
        <v>2019</v>
      </c>
      <c r="G764" t="s">
        <v>1991</v>
      </c>
      <c r="H764" t="s">
        <v>5477</v>
      </c>
      <c r="I764">
        <v>47.792118000000002</v>
      </c>
      <c r="J764">
        <v>-122.21577000000001</v>
      </c>
      <c r="K764" t="s">
        <v>3936</v>
      </c>
      <c r="L764" t="s">
        <v>3946</v>
      </c>
      <c r="M764" t="s">
        <v>4963</v>
      </c>
      <c r="P764" t="s">
        <v>2727</v>
      </c>
    </row>
    <row r="765" spans="1:16" x14ac:dyDescent="0.2">
      <c r="A765" t="s">
        <v>2180</v>
      </c>
      <c r="B765" t="s">
        <v>2745</v>
      </c>
      <c r="C765" t="s">
        <v>2717</v>
      </c>
      <c r="D765" t="s">
        <v>2307</v>
      </c>
      <c r="E765">
        <v>98036</v>
      </c>
      <c r="F765" t="s">
        <v>1716</v>
      </c>
      <c r="G765" t="s">
        <v>2000</v>
      </c>
      <c r="H765" t="s">
        <v>4496</v>
      </c>
      <c r="I765">
        <v>47.821201000000002</v>
      </c>
      <c r="J765">
        <v>-122.32533100000001</v>
      </c>
      <c r="K765" t="s">
        <v>3936</v>
      </c>
      <c r="L765" t="s">
        <v>3946</v>
      </c>
      <c r="M765" t="s">
        <v>4963</v>
      </c>
      <c r="P765" t="s">
        <v>2745</v>
      </c>
    </row>
    <row r="766" spans="1:16" x14ac:dyDescent="0.2">
      <c r="A766" t="s">
        <v>2012</v>
      </c>
      <c r="B766" t="s">
        <v>2747</v>
      </c>
      <c r="C766" t="s">
        <v>2717</v>
      </c>
      <c r="D766" t="s">
        <v>2307</v>
      </c>
      <c r="E766">
        <v>98036</v>
      </c>
      <c r="F766" t="s">
        <v>1600</v>
      </c>
      <c r="G766" t="s">
        <v>2005</v>
      </c>
      <c r="H766" t="s">
        <v>4498</v>
      </c>
      <c r="I766">
        <v>47.821100000000001</v>
      </c>
      <c r="J766">
        <v>-122.318557</v>
      </c>
      <c r="K766" t="s">
        <v>3936</v>
      </c>
      <c r="L766" t="s">
        <v>3946</v>
      </c>
      <c r="M766" t="s">
        <v>4963</v>
      </c>
      <c r="P766" t="s">
        <v>5705</v>
      </c>
    </row>
    <row r="767" spans="1:16" x14ac:dyDescent="0.2">
      <c r="A767" t="s">
        <v>2018</v>
      </c>
      <c r="B767" t="s">
        <v>2782</v>
      </c>
      <c r="C767" t="s">
        <v>2783</v>
      </c>
      <c r="D767" t="s">
        <v>2307</v>
      </c>
      <c r="E767">
        <v>98074</v>
      </c>
      <c r="F767" t="s">
        <v>2019</v>
      </c>
      <c r="G767" t="s">
        <v>1991</v>
      </c>
      <c r="H767" t="s">
        <v>5165</v>
      </c>
      <c r="I767">
        <v>47.615546999999999</v>
      </c>
      <c r="J767">
        <v>-122.03751</v>
      </c>
      <c r="K767" t="s">
        <v>3936</v>
      </c>
      <c r="L767" t="s">
        <v>3946</v>
      </c>
      <c r="M767" t="s">
        <v>4963</v>
      </c>
      <c r="P767" t="s">
        <v>2782</v>
      </c>
    </row>
    <row r="768" spans="1:16" x14ac:dyDescent="0.2">
      <c r="A768" t="s">
        <v>2018</v>
      </c>
      <c r="B768" t="s">
        <v>2787</v>
      </c>
      <c r="C768" t="s">
        <v>2785</v>
      </c>
      <c r="D768" t="s">
        <v>2307</v>
      </c>
      <c r="E768">
        <v>98027</v>
      </c>
      <c r="F768" t="s">
        <v>1600</v>
      </c>
      <c r="G768" t="s">
        <v>2027</v>
      </c>
      <c r="H768" t="s">
        <v>5478</v>
      </c>
      <c r="I768">
        <v>47.551820999999997</v>
      </c>
      <c r="J768">
        <v>-122.057683</v>
      </c>
      <c r="K768" t="s">
        <v>3936</v>
      </c>
      <c r="L768" t="s">
        <v>3946</v>
      </c>
      <c r="M768" t="s">
        <v>4963</v>
      </c>
      <c r="P768" t="s">
        <v>2787</v>
      </c>
    </row>
    <row r="769" spans="1:16" x14ac:dyDescent="0.2">
      <c r="A769" t="s">
        <v>2188</v>
      </c>
      <c r="B769" t="s">
        <v>2797</v>
      </c>
      <c r="C769" t="s">
        <v>2754</v>
      </c>
      <c r="D769" t="s">
        <v>2307</v>
      </c>
      <c r="E769">
        <v>98337</v>
      </c>
      <c r="F769" t="s">
        <v>2044</v>
      </c>
      <c r="G769" t="s">
        <v>1991</v>
      </c>
      <c r="H769" t="s">
        <v>4969</v>
      </c>
      <c r="I769">
        <v>47.565139000000002</v>
      </c>
      <c r="J769">
        <v>-122.631843</v>
      </c>
      <c r="K769" t="s">
        <v>3936</v>
      </c>
      <c r="L769" t="s">
        <v>3946</v>
      </c>
      <c r="M769" t="s">
        <v>4963</v>
      </c>
      <c r="P769" t="s">
        <v>2797</v>
      </c>
    </row>
    <row r="770" spans="1:16" x14ac:dyDescent="0.2">
      <c r="A770" t="s">
        <v>2018</v>
      </c>
      <c r="B770" t="s">
        <v>2828</v>
      </c>
      <c r="C770" t="s">
        <v>2744</v>
      </c>
      <c r="D770" t="s">
        <v>2307</v>
      </c>
      <c r="E770">
        <v>98366</v>
      </c>
      <c r="F770" t="s">
        <v>2019</v>
      </c>
      <c r="G770" t="s">
        <v>1991</v>
      </c>
      <c r="H770" t="s">
        <v>5479</v>
      </c>
      <c r="I770">
        <v>47.505650000000003</v>
      </c>
      <c r="J770">
        <v>-122.610274</v>
      </c>
      <c r="K770" t="s">
        <v>3936</v>
      </c>
      <c r="L770" t="s">
        <v>3946</v>
      </c>
      <c r="M770" t="s">
        <v>4963</v>
      </c>
      <c r="P770" t="s">
        <v>2828</v>
      </c>
    </row>
    <row r="771" spans="1:16" x14ac:dyDescent="0.2">
      <c r="A771" t="s">
        <v>2194</v>
      </c>
      <c r="B771" t="s">
        <v>2832</v>
      </c>
      <c r="C771" t="s">
        <v>2717</v>
      </c>
      <c r="D771" t="s">
        <v>2307</v>
      </c>
      <c r="E771">
        <v>98087</v>
      </c>
      <c r="F771" t="s">
        <v>1716</v>
      </c>
      <c r="G771" t="s">
        <v>2005</v>
      </c>
      <c r="H771" t="s">
        <v>5480</v>
      </c>
      <c r="I771">
        <v>47.850194999999999</v>
      </c>
      <c r="J771">
        <v>-122.282128</v>
      </c>
      <c r="K771" t="s">
        <v>3936</v>
      </c>
      <c r="L771" t="s">
        <v>3946</v>
      </c>
      <c r="M771" t="s">
        <v>4963</v>
      </c>
      <c r="P771" t="s">
        <v>2832</v>
      </c>
    </row>
    <row r="772" spans="1:16" x14ac:dyDescent="0.2">
      <c r="A772" t="s">
        <v>2012</v>
      </c>
      <c r="B772" t="s">
        <v>2864</v>
      </c>
      <c r="C772" t="s">
        <v>2785</v>
      </c>
      <c r="D772" t="s">
        <v>2307</v>
      </c>
      <c r="E772">
        <v>98029</v>
      </c>
      <c r="F772" t="s">
        <v>1600</v>
      </c>
      <c r="G772" t="s">
        <v>2005</v>
      </c>
      <c r="H772" t="s">
        <v>4562</v>
      </c>
      <c r="I772">
        <v>47.543384000000003</v>
      </c>
      <c r="J772">
        <v>-122.01612</v>
      </c>
      <c r="K772" t="s">
        <v>3936</v>
      </c>
      <c r="L772" t="s">
        <v>3946</v>
      </c>
      <c r="M772" t="s">
        <v>4963</v>
      </c>
      <c r="P772" t="s">
        <v>5747</v>
      </c>
    </row>
    <row r="773" spans="1:16" x14ac:dyDescent="0.2">
      <c r="A773" t="s">
        <v>2204</v>
      </c>
      <c r="B773" t="s">
        <v>2882</v>
      </c>
      <c r="C773" t="s">
        <v>2754</v>
      </c>
      <c r="D773" t="s">
        <v>2307</v>
      </c>
      <c r="E773">
        <v>98312</v>
      </c>
      <c r="F773" t="s">
        <v>2044</v>
      </c>
      <c r="G773" t="s">
        <v>2205</v>
      </c>
      <c r="H773" t="s">
        <v>4575</v>
      </c>
      <c r="I773">
        <v>47.579441000000003</v>
      </c>
      <c r="J773">
        <v>-122.704031</v>
      </c>
      <c r="K773" t="s">
        <v>3936</v>
      </c>
      <c r="L773" t="s">
        <v>3946</v>
      </c>
      <c r="M773" t="s">
        <v>4963</v>
      </c>
      <c r="P773" t="s">
        <v>2882</v>
      </c>
    </row>
    <row r="774" spans="1:16" x14ac:dyDescent="0.2">
      <c r="A774" t="s">
        <v>1777</v>
      </c>
      <c r="B774" t="s">
        <v>3756</v>
      </c>
      <c r="C774" t="s">
        <v>2780</v>
      </c>
      <c r="D774" t="s">
        <v>2307</v>
      </c>
      <c r="E774">
        <v>98032</v>
      </c>
      <c r="F774" t="s">
        <v>1573</v>
      </c>
      <c r="G774" t="s">
        <v>2005</v>
      </c>
      <c r="H774" t="s">
        <v>4139</v>
      </c>
      <c r="I774">
        <v>47.380783999999998</v>
      </c>
      <c r="J774">
        <v>-122.23334</v>
      </c>
      <c r="K774" t="s">
        <v>3936</v>
      </c>
      <c r="L774" t="s">
        <v>3946</v>
      </c>
      <c r="M774" t="s">
        <v>4963</v>
      </c>
      <c r="P774" t="s">
        <v>3756</v>
      </c>
    </row>
    <row r="775" spans="1:16" x14ac:dyDescent="0.2">
      <c r="A775" t="s">
        <v>2018</v>
      </c>
      <c r="B775" t="s">
        <v>2904</v>
      </c>
      <c r="C775" t="s">
        <v>2861</v>
      </c>
      <c r="D775" t="s">
        <v>2307</v>
      </c>
      <c r="E775">
        <v>98012</v>
      </c>
      <c r="F775" t="s">
        <v>2019</v>
      </c>
      <c r="G775" t="s">
        <v>1991</v>
      </c>
      <c r="H775" t="s">
        <v>4970</v>
      </c>
      <c r="I775">
        <v>47.876410999999997</v>
      </c>
      <c r="J775">
        <v>-122.21262</v>
      </c>
      <c r="K775" t="s">
        <v>3936</v>
      </c>
      <c r="L775" t="s">
        <v>3946</v>
      </c>
      <c r="M775" t="s">
        <v>4963</v>
      </c>
      <c r="P775" t="s">
        <v>2904</v>
      </c>
    </row>
    <row r="776" spans="1:16" x14ac:dyDescent="0.2">
      <c r="A776" t="s">
        <v>2214</v>
      </c>
      <c r="B776" t="s">
        <v>2919</v>
      </c>
      <c r="C776" t="s">
        <v>2914</v>
      </c>
      <c r="D776" t="s">
        <v>2307</v>
      </c>
      <c r="E776">
        <v>98275</v>
      </c>
      <c r="F776" t="s">
        <v>1600</v>
      </c>
      <c r="G776" t="s">
        <v>5481</v>
      </c>
      <c r="H776" t="s">
        <v>5482</v>
      </c>
      <c r="I776">
        <v>47.894024000000002</v>
      </c>
      <c r="J776">
        <v>-122.31107299999999</v>
      </c>
      <c r="K776" t="s">
        <v>3936</v>
      </c>
      <c r="L776" t="s">
        <v>3946</v>
      </c>
      <c r="M776" t="s">
        <v>4963</v>
      </c>
      <c r="P776" t="s">
        <v>2919</v>
      </c>
    </row>
    <row r="777" spans="1:16" x14ac:dyDescent="0.2">
      <c r="A777" t="s">
        <v>2018</v>
      </c>
      <c r="B777" t="s">
        <v>2952</v>
      </c>
      <c r="C777" t="s">
        <v>2900</v>
      </c>
      <c r="D777" t="s">
        <v>2307</v>
      </c>
      <c r="E777">
        <v>98204</v>
      </c>
      <c r="F777" t="s">
        <v>2019</v>
      </c>
      <c r="G777" t="s">
        <v>1991</v>
      </c>
      <c r="H777" t="s">
        <v>5166</v>
      </c>
      <c r="I777">
        <v>47.920253000000002</v>
      </c>
      <c r="J777">
        <v>-122.269739</v>
      </c>
      <c r="K777" t="s">
        <v>3936</v>
      </c>
      <c r="L777" t="s">
        <v>3946</v>
      </c>
      <c r="M777" t="s">
        <v>4963</v>
      </c>
      <c r="P777" t="s">
        <v>2952</v>
      </c>
    </row>
    <row r="778" spans="1:16" x14ac:dyDescent="0.2">
      <c r="A778" t="s">
        <v>2233</v>
      </c>
      <c r="B778" t="s">
        <v>3001</v>
      </c>
      <c r="C778" t="s">
        <v>2888</v>
      </c>
      <c r="D778" t="s">
        <v>2307</v>
      </c>
      <c r="E778">
        <v>98290</v>
      </c>
      <c r="F778" t="s">
        <v>1583</v>
      </c>
      <c r="G778" t="s">
        <v>1980</v>
      </c>
      <c r="H778" t="s">
        <v>4971</v>
      </c>
      <c r="I778">
        <v>47.914239999999999</v>
      </c>
      <c r="J778">
        <v>-122.106459</v>
      </c>
      <c r="K778" t="s">
        <v>3936</v>
      </c>
      <c r="L778" t="s">
        <v>3946</v>
      </c>
      <c r="M778" t="s">
        <v>4963</v>
      </c>
      <c r="P778" t="s">
        <v>3001</v>
      </c>
    </row>
    <row r="779" spans="1:16" x14ac:dyDescent="0.2">
      <c r="A779" t="s">
        <v>2018</v>
      </c>
      <c r="B779" t="s">
        <v>3005</v>
      </c>
      <c r="C779" t="s">
        <v>2961</v>
      </c>
      <c r="D779" t="s">
        <v>2307</v>
      </c>
      <c r="E779">
        <v>98001</v>
      </c>
      <c r="F779" t="s">
        <v>1600</v>
      </c>
      <c r="G779" t="s">
        <v>2027</v>
      </c>
      <c r="H779" t="s">
        <v>5167</v>
      </c>
      <c r="I779">
        <v>47.309189000000003</v>
      </c>
      <c r="J779">
        <v>-122.22971800000001</v>
      </c>
      <c r="K779" t="s">
        <v>3936</v>
      </c>
      <c r="L779" t="s">
        <v>3946</v>
      </c>
      <c r="M779" t="s">
        <v>4963</v>
      </c>
      <c r="P779" t="s">
        <v>3005</v>
      </c>
    </row>
    <row r="780" spans="1:16" x14ac:dyDescent="0.2">
      <c r="A780" t="s">
        <v>2018</v>
      </c>
      <c r="B780" t="s">
        <v>3012</v>
      </c>
      <c r="C780" t="s">
        <v>2930</v>
      </c>
      <c r="D780" t="s">
        <v>2307</v>
      </c>
      <c r="E780">
        <v>98023</v>
      </c>
      <c r="F780" t="s">
        <v>2019</v>
      </c>
      <c r="G780" t="s">
        <v>1991</v>
      </c>
      <c r="H780" t="s">
        <v>5168</v>
      </c>
      <c r="I780">
        <v>47.300421999999998</v>
      </c>
      <c r="J780">
        <v>-122.36071800000001</v>
      </c>
      <c r="K780" t="s">
        <v>3936</v>
      </c>
      <c r="L780" t="s">
        <v>3946</v>
      </c>
      <c r="M780" t="s">
        <v>4963</v>
      </c>
      <c r="P780" t="s">
        <v>3012</v>
      </c>
    </row>
    <row r="781" spans="1:16" x14ac:dyDescent="0.2">
      <c r="A781" t="s">
        <v>2245</v>
      </c>
      <c r="B781" t="s">
        <v>3031</v>
      </c>
      <c r="C781" t="s">
        <v>2888</v>
      </c>
      <c r="D781" t="s">
        <v>2307</v>
      </c>
      <c r="E781">
        <v>98290</v>
      </c>
      <c r="F781" t="s">
        <v>1591</v>
      </c>
      <c r="G781" t="s">
        <v>1969</v>
      </c>
      <c r="H781" t="s">
        <v>5169</v>
      </c>
      <c r="I781">
        <v>47.920485999999997</v>
      </c>
      <c r="J781">
        <v>-122.085285</v>
      </c>
      <c r="K781" t="s">
        <v>3936</v>
      </c>
      <c r="L781" t="s">
        <v>3946</v>
      </c>
      <c r="M781" t="s">
        <v>4963</v>
      </c>
      <c r="P781" t="s">
        <v>3031</v>
      </c>
    </row>
    <row r="782" spans="1:16" x14ac:dyDescent="0.2">
      <c r="A782" t="s">
        <v>2254</v>
      </c>
      <c r="B782" t="s">
        <v>3069</v>
      </c>
      <c r="C782" t="s">
        <v>2995</v>
      </c>
      <c r="D782" t="s">
        <v>2307</v>
      </c>
      <c r="E782">
        <v>98272</v>
      </c>
      <c r="F782" t="s">
        <v>1602</v>
      </c>
      <c r="G782" t="s">
        <v>2005</v>
      </c>
      <c r="H782" t="s">
        <v>4674</v>
      </c>
      <c r="I782">
        <v>47.855853000000003</v>
      </c>
      <c r="J782">
        <v>-121.925039</v>
      </c>
      <c r="K782" t="s">
        <v>3936</v>
      </c>
      <c r="L782" t="s">
        <v>3946</v>
      </c>
      <c r="M782" t="s">
        <v>4963</v>
      </c>
      <c r="P782" t="s">
        <v>3069</v>
      </c>
    </row>
    <row r="783" spans="1:16" x14ac:dyDescent="0.2">
      <c r="A783" t="s">
        <v>2018</v>
      </c>
      <c r="B783" t="s">
        <v>3081</v>
      </c>
      <c r="C783" t="s">
        <v>2900</v>
      </c>
      <c r="D783" t="s">
        <v>2307</v>
      </c>
      <c r="E783">
        <v>98201</v>
      </c>
      <c r="F783" t="s">
        <v>1600</v>
      </c>
      <c r="G783" t="s">
        <v>2027</v>
      </c>
      <c r="H783" t="s">
        <v>5483</v>
      </c>
      <c r="I783">
        <v>47.981766</v>
      </c>
      <c r="J783">
        <v>-122.208353</v>
      </c>
      <c r="K783" t="s">
        <v>3936</v>
      </c>
      <c r="L783" t="s">
        <v>3946</v>
      </c>
      <c r="M783" t="s">
        <v>4963</v>
      </c>
      <c r="P783" t="s">
        <v>3081</v>
      </c>
    </row>
    <row r="784" spans="1:16" x14ac:dyDescent="0.2">
      <c r="A784" t="s">
        <v>2018</v>
      </c>
      <c r="B784" t="s">
        <v>3086</v>
      </c>
      <c r="C784" t="s">
        <v>3067</v>
      </c>
      <c r="D784" t="s">
        <v>2307</v>
      </c>
      <c r="E784">
        <v>98403</v>
      </c>
      <c r="F784" t="s">
        <v>2019</v>
      </c>
      <c r="G784" t="s">
        <v>1991</v>
      </c>
      <c r="H784" t="s">
        <v>4972</v>
      </c>
      <c r="I784">
        <v>47.274630000000002</v>
      </c>
      <c r="J784">
        <v>-122.46717099999999</v>
      </c>
      <c r="K784" t="s">
        <v>3936</v>
      </c>
      <c r="L784" t="s">
        <v>3946</v>
      </c>
      <c r="M784" t="s">
        <v>4963</v>
      </c>
      <c r="P784" t="s">
        <v>3086</v>
      </c>
    </row>
    <row r="785" spans="1:16" x14ac:dyDescent="0.2">
      <c r="A785" t="s">
        <v>2018</v>
      </c>
      <c r="B785" t="s">
        <v>3102</v>
      </c>
      <c r="C785" t="s">
        <v>3067</v>
      </c>
      <c r="D785" t="s">
        <v>2307</v>
      </c>
      <c r="E785">
        <v>98402</v>
      </c>
      <c r="F785" t="s">
        <v>2019</v>
      </c>
      <c r="G785" t="s">
        <v>1991</v>
      </c>
      <c r="H785" t="s">
        <v>5485</v>
      </c>
      <c r="I785">
        <v>47.256194000000001</v>
      </c>
      <c r="J785">
        <v>-122.440972</v>
      </c>
      <c r="K785" t="s">
        <v>3936</v>
      </c>
      <c r="L785" t="s">
        <v>3946</v>
      </c>
      <c r="M785" t="s">
        <v>4963</v>
      </c>
      <c r="P785" t="s">
        <v>3102</v>
      </c>
    </row>
    <row r="786" spans="1:16" x14ac:dyDescent="0.2">
      <c r="A786" t="s">
        <v>2018</v>
      </c>
      <c r="B786" t="s">
        <v>3116</v>
      </c>
      <c r="C786" t="s">
        <v>3067</v>
      </c>
      <c r="D786" t="s">
        <v>2307</v>
      </c>
      <c r="E786">
        <v>98402</v>
      </c>
      <c r="F786" t="s">
        <v>2019</v>
      </c>
      <c r="G786" t="s">
        <v>1991</v>
      </c>
      <c r="H786" t="s">
        <v>5486</v>
      </c>
      <c r="I786">
        <v>47.249997999999998</v>
      </c>
      <c r="J786">
        <v>-122.43770000000001</v>
      </c>
      <c r="K786" t="s">
        <v>3936</v>
      </c>
      <c r="L786" t="s">
        <v>3946</v>
      </c>
      <c r="M786" t="s">
        <v>4963</v>
      </c>
      <c r="P786" t="s">
        <v>3116</v>
      </c>
    </row>
    <row r="787" spans="1:16" x14ac:dyDescent="0.2">
      <c r="A787" t="s">
        <v>2263</v>
      </c>
      <c r="B787" t="s">
        <v>3120</v>
      </c>
      <c r="C787" t="s">
        <v>3119</v>
      </c>
      <c r="D787" t="s">
        <v>2307</v>
      </c>
      <c r="E787">
        <v>98424</v>
      </c>
      <c r="F787" t="s">
        <v>2090</v>
      </c>
      <c r="G787" t="s">
        <v>1969</v>
      </c>
      <c r="H787" t="s">
        <v>4694</v>
      </c>
      <c r="I787">
        <v>47.243262999999999</v>
      </c>
      <c r="J787">
        <v>-122.372435</v>
      </c>
      <c r="K787" t="s">
        <v>3936</v>
      </c>
      <c r="L787" t="s">
        <v>3946</v>
      </c>
      <c r="M787" t="s">
        <v>4963</v>
      </c>
      <c r="P787" t="s">
        <v>3120</v>
      </c>
    </row>
    <row r="788" spans="1:16" x14ac:dyDescent="0.2">
      <c r="A788" t="s">
        <v>2271</v>
      </c>
      <c r="B788" t="s">
        <v>3166</v>
      </c>
      <c r="C788" t="s">
        <v>2995</v>
      </c>
      <c r="D788" t="s">
        <v>2307</v>
      </c>
      <c r="E788">
        <v>98272</v>
      </c>
      <c r="F788" t="s">
        <v>1716</v>
      </c>
      <c r="G788" t="s">
        <v>1981</v>
      </c>
      <c r="H788" t="s">
        <v>4721</v>
      </c>
      <c r="I788">
        <v>47.881602000000001</v>
      </c>
      <c r="J788">
        <v>-121.857527</v>
      </c>
      <c r="K788" t="s">
        <v>3936</v>
      </c>
      <c r="L788" t="s">
        <v>3946</v>
      </c>
      <c r="M788" t="s">
        <v>4963</v>
      </c>
      <c r="P788" t="s">
        <v>3166</v>
      </c>
    </row>
    <row r="789" spans="1:16" x14ac:dyDescent="0.2">
      <c r="A789" t="s">
        <v>2274</v>
      </c>
      <c r="B789" t="s">
        <v>3206</v>
      </c>
      <c r="C789" t="s">
        <v>3201</v>
      </c>
      <c r="D789" t="s">
        <v>2307</v>
      </c>
      <c r="E789">
        <v>98270</v>
      </c>
      <c r="F789" t="s">
        <v>1600</v>
      </c>
      <c r="G789" t="s">
        <v>1981</v>
      </c>
      <c r="H789" t="s">
        <v>4973</v>
      </c>
      <c r="I789">
        <v>48.050952000000002</v>
      </c>
      <c r="J789">
        <v>-122.17676400000001</v>
      </c>
      <c r="K789" t="s">
        <v>3936</v>
      </c>
      <c r="L789" t="s">
        <v>3946</v>
      </c>
      <c r="M789" t="s">
        <v>4963</v>
      </c>
      <c r="P789" t="s">
        <v>3206</v>
      </c>
    </row>
    <row r="790" spans="1:16" x14ac:dyDescent="0.2">
      <c r="A790" t="s">
        <v>2277</v>
      </c>
      <c r="B790" t="s">
        <v>3211</v>
      </c>
      <c r="C790" t="s">
        <v>3186</v>
      </c>
      <c r="D790" t="s">
        <v>2307</v>
      </c>
      <c r="E790">
        <v>98371</v>
      </c>
      <c r="F790" t="s">
        <v>2197</v>
      </c>
      <c r="G790" t="s">
        <v>1969</v>
      </c>
      <c r="H790" t="s">
        <v>4750</v>
      </c>
      <c r="I790">
        <v>47.191650000000003</v>
      </c>
      <c r="J790">
        <v>-122.293541</v>
      </c>
      <c r="K790" t="s">
        <v>3936</v>
      </c>
      <c r="L790" t="s">
        <v>3946</v>
      </c>
      <c r="M790" t="s">
        <v>4963</v>
      </c>
      <c r="P790" t="s">
        <v>3211</v>
      </c>
    </row>
    <row r="791" spans="1:16" x14ac:dyDescent="0.2">
      <c r="A791" t="s">
        <v>2278</v>
      </c>
      <c r="B791" t="s">
        <v>3212</v>
      </c>
      <c r="C791" t="s">
        <v>3201</v>
      </c>
      <c r="D791" t="s">
        <v>2307</v>
      </c>
      <c r="E791">
        <v>98270</v>
      </c>
      <c r="F791" t="s">
        <v>1600</v>
      </c>
      <c r="G791" t="s">
        <v>2001</v>
      </c>
      <c r="H791" t="s">
        <v>5487</v>
      </c>
      <c r="I791">
        <v>48.055740999999998</v>
      </c>
      <c r="J791">
        <v>-122.180328</v>
      </c>
      <c r="K791" t="s">
        <v>3936</v>
      </c>
      <c r="L791" t="s">
        <v>3946</v>
      </c>
      <c r="M791" t="s">
        <v>4963</v>
      </c>
      <c r="P791" t="s">
        <v>3212</v>
      </c>
    </row>
    <row r="792" spans="1:16" x14ac:dyDescent="0.2">
      <c r="A792" t="s">
        <v>2279</v>
      </c>
      <c r="B792" t="s">
        <v>3213</v>
      </c>
      <c r="C792" t="s">
        <v>3186</v>
      </c>
      <c r="D792" t="s">
        <v>2307</v>
      </c>
      <c r="E792">
        <v>98371</v>
      </c>
      <c r="F792" t="s">
        <v>1583</v>
      </c>
      <c r="G792" t="s">
        <v>1980</v>
      </c>
      <c r="H792" t="s">
        <v>4751</v>
      </c>
      <c r="I792">
        <v>47.191569000000001</v>
      </c>
      <c r="J792">
        <v>-122.293904</v>
      </c>
      <c r="K792" t="s">
        <v>3936</v>
      </c>
      <c r="L792" t="s">
        <v>3946</v>
      </c>
      <c r="M792" t="s">
        <v>4963</v>
      </c>
      <c r="P792" t="s">
        <v>3213</v>
      </c>
    </row>
    <row r="793" spans="1:16" x14ac:dyDescent="0.2">
      <c r="A793" t="s">
        <v>2282</v>
      </c>
      <c r="B793" t="s">
        <v>3251</v>
      </c>
      <c r="C793" t="s">
        <v>3186</v>
      </c>
      <c r="D793" t="s">
        <v>2307</v>
      </c>
      <c r="E793">
        <v>98374</v>
      </c>
      <c r="F793" t="s">
        <v>2090</v>
      </c>
      <c r="G793" t="s">
        <v>1969</v>
      </c>
      <c r="H793" t="s">
        <v>4775</v>
      </c>
      <c r="I793">
        <v>47.158627000000003</v>
      </c>
      <c r="J793">
        <v>-122.291787</v>
      </c>
      <c r="K793" t="s">
        <v>3936</v>
      </c>
      <c r="L793" t="s">
        <v>3946</v>
      </c>
      <c r="M793" t="s">
        <v>4963</v>
      </c>
      <c r="P793" t="s">
        <v>3251</v>
      </c>
    </row>
    <row r="794" spans="1:16" x14ac:dyDescent="0.2">
      <c r="A794" t="s">
        <v>2289</v>
      </c>
      <c r="B794" t="s">
        <v>3303</v>
      </c>
      <c r="C794" t="s">
        <v>3201</v>
      </c>
      <c r="D794" t="s">
        <v>2307</v>
      </c>
      <c r="E794">
        <v>98271</v>
      </c>
      <c r="F794" t="s">
        <v>2044</v>
      </c>
      <c r="G794" t="s">
        <v>2005</v>
      </c>
      <c r="H794" t="s">
        <v>4802</v>
      </c>
      <c r="I794">
        <v>48.121715000000002</v>
      </c>
      <c r="J794">
        <v>-122.18291600000001</v>
      </c>
      <c r="K794" t="s">
        <v>3936</v>
      </c>
      <c r="L794" t="s">
        <v>3946</v>
      </c>
      <c r="M794" t="s">
        <v>4963</v>
      </c>
      <c r="P794" t="s">
        <v>3303</v>
      </c>
    </row>
    <row r="795" spans="1:16" x14ac:dyDescent="0.2">
      <c r="A795" t="s">
        <v>2295</v>
      </c>
      <c r="B795" t="s">
        <v>3367</v>
      </c>
      <c r="C795" t="s">
        <v>3364</v>
      </c>
      <c r="D795" t="s">
        <v>2307</v>
      </c>
      <c r="E795">
        <v>98292</v>
      </c>
      <c r="F795" t="s">
        <v>2090</v>
      </c>
      <c r="G795" t="s">
        <v>1969</v>
      </c>
      <c r="H795" t="s">
        <v>4840</v>
      </c>
      <c r="I795">
        <v>48.240046</v>
      </c>
      <c r="J795">
        <v>-122.352536</v>
      </c>
      <c r="K795" t="s">
        <v>3936</v>
      </c>
      <c r="L795" t="s">
        <v>3946</v>
      </c>
      <c r="M795" t="s">
        <v>4963</v>
      </c>
      <c r="P795" t="s">
        <v>3367</v>
      </c>
    </row>
    <row r="796" spans="1:16" x14ac:dyDescent="0.2">
      <c r="A796" t="s">
        <v>2296</v>
      </c>
      <c r="B796" t="s">
        <v>3368</v>
      </c>
      <c r="C796" t="s">
        <v>3364</v>
      </c>
      <c r="D796" t="s">
        <v>2307</v>
      </c>
      <c r="E796">
        <v>98292</v>
      </c>
      <c r="F796" t="s">
        <v>1591</v>
      </c>
      <c r="G796" t="s">
        <v>1969</v>
      </c>
      <c r="H796" t="s">
        <v>4841</v>
      </c>
      <c r="I796">
        <v>48.240299</v>
      </c>
      <c r="J796">
        <v>-122.366348</v>
      </c>
      <c r="K796" t="s">
        <v>3936</v>
      </c>
      <c r="L796" t="s">
        <v>3946</v>
      </c>
      <c r="M796" t="s">
        <v>4963</v>
      </c>
      <c r="P796" t="s">
        <v>3368</v>
      </c>
    </row>
    <row r="797" spans="1:16" x14ac:dyDescent="0.2">
      <c r="A797" t="s">
        <v>2300</v>
      </c>
      <c r="B797" t="s">
        <v>3408</v>
      </c>
      <c r="C797" t="s">
        <v>3409</v>
      </c>
      <c r="D797" t="s">
        <v>2307</v>
      </c>
      <c r="E797">
        <v>98277</v>
      </c>
      <c r="F797" t="s">
        <v>1583</v>
      </c>
      <c r="G797" t="s">
        <v>1980</v>
      </c>
      <c r="H797" t="s">
        <v>5170</v>
      </c>
      <c r="I797">
        <v>48.288727999999999</v>
      </c>
      <c r="J797">
        <v>-122.648859</v>
      </c>
      <c r="K797" t="s">
        <v>3936</v>
      </c>
      <c r="L797" t="s">
        <v>3946</v>
      </c>
      <c r="M797" t="s">
        <v>4963</v>
      </c>
      <c r="P797" t="s">
        <v>5677</v>
      </c>
    </row>
    <row r="798" spans="1:16" x14ac:dyDescent="0.2">
      <c r="A798" t="s">
        <v>2302</v>
      </c>
      <c r="B798" t="s">
        <v>3411</v>
      </c>
      <c r="C798" t="s">
        <v>3409</v>
      </c>
      <c r="D798" t="s">
        <v>2307</v>
      </c>
      <c r="E798">
        <v>98277</v>
      </c>
      <c r="F798" t="s">
        <v>2213</v>
      </c>
      <c r="G798" t="s">
        <v>1969</v>
      </c>
      <c r="H798" t="s">
        <v>4861</v>
      </c>
      <c r="I798">
        <v>48.289152000000001</v>
      </c>
      <c r="J798">
        <v>-122.647474</v>
      </c>
      <c r="K798" t="s">
        <v>3936</v>
      </c>
      <c r="L798" t="s">
        <v>3946</v>
      </c>
      <c r="M798" t="s">
        <v>4963</v>
      </c>
      <c r="P798" t="s">
        <v>3411</v>
      </c>
    </row>
    <row r="799" spans="1:16" x14ac:dyDescent="0.2">
      <c r="A799" t="s">
        <v>2028</v>
      </c>
      <c r="B799" t="s">
        <v>2344</v>
      </c>
      <c r="C799" t="s">
        <v>66</v>
      </c>
      <c r="D799" t="s">
        <v>2307</v>
      </c>
      <c r="E799">
        <v>98112</v>
      </c>
      <c r="F799" t="s">
        <v>1602</v>
      </c>
      <c r="G799" t="s">
        <v>1995</v>
      </c>
      <c r="H799" t="s">
        <v>4271</v>
      </c>
      <c r="I799">
        <v>47.621403000000001</v>
      </c>
      <c r="J799">
        <v>-122.312466</v>
      </c>
      <c r="K799" t="s">
        <v>3936</v>
      </c>
      <c r="L799" t="s">
        <v>3946</v>
      </c>
      <c r="M799" t="s">
        <v>4963</v>
      </c>
      <c r="N799" t="s">
        <v>4899</v>
      </c>
      <c r="P799" t="s">
        <v>2344</v>
      </c>
    </row>
    <row r="800" spans="1:16" x14ac:dyDescent="0.2">
      <c r="A800" t="s">
        <v>2153</v>
      </c>
      <c r="B800" t="s">
        <v>2669</v>
      </c>
      <c r="C800" t="s">
        <v>2597</v>
      </c>
      <c r="D800" t="s">
        <v>2307</v>
      </c>
      <c r="E800">
        <v>98056</v>
      </c>
      <c r="F800" t="s">
        <v>2146</v>
      </c>
      <c r="G800" t="s">
        <v>2005</v>
      </c>
      <c r="H800" t="s">
        <v>4453</v>
      </c>
      <c r="I800">
        <v>47.500943999999997</v>
      </c>
      <c r="J800">
        <v>-122.18085000000001</v>
      </c>
      <c r="K800" t="s">
        <v>3936</v>
      </c>
      <c r="L800" t="s">
        <v>3946</v>
      </c>
      <c r="M800" t="s">
        <v>4963</v>
      </c>
      <c r="N800" t="s">
        <v>4899</v>
      </c>
      <c r="P800" t="s">
        <v>2669</v>
      </c>
    </row>
    <row r="801" spans="1:16" x14ac:dyDescent="0.2">
      <c r="A801" t="s">
        <v>1777</v>
      </c>
      <c r="B801" t="s">
        <v>3756</v>
      </c>
      <c r="C801" t="s">
        <v>2780</v>
      </c>
      <c r="D801" t="s">
        <v>2307</v>
      </c>
      <c r="E801">
        <v>98032</v>
      </c>
      <c r="F801" t="s">
        <v>1573</v>
      </c>
      <c r="G801" t="s">
        <v>2005</v>
      </c>
      <c r="H801" t="s">
        <v>4139</v>
      </c>
      <c r="I801">
        <v>47.380783999999998</v>
      </c>
      <c r="J801">
        <v>-122.23334</v>
      </c>
      <c r="K801" t="s">
        <v>3936</v>
      </c>
      <c r="L801" t="s">
        <v>3946</v>
      </c>
      <c r="M801" t="s">
        <v>4963</v>
      </c>
      <c r="N801" t="s">
        <v>4899</v>
      </c>
      <c r="P801" t="s">
        <v>3756</v>
      </c>
    </row>
    <row r="802" spans="1:16" x14ac:dyDescent="0.2">
      <c r="A802" t="s">
        <v>2233</v>
      </c>
      <c r="B802" t="s">
        <v>3001</v>
      </c>
      <c r="C802" t="s">
        <v>2888</v>
      </c>
      <c r="D802" t="s">
        <v>2307</v>
      </c>
      <c r="E802">
        <v>98290</v>
      </c>
      <c r="F802" t="s">
        <v>1583</v>
      </c>
      <c r="G802" t="s">
        <v>1980</v>
      </c>
      <c r="H802" t="s">
        <v>4971</v>
      </c>
      <c r="I802">
        <v>47.914239999999999</v>
      </c>
      <c r="J802">
        <v>-122.106459</v>
      </c>
      <c r="K802" t="s">
        <v>3936</v>
      </c>
      <c r="L802" t="s">
        <v>3946</v>
      </c>
      <c r="M802" t="s">
        <v>4963</v>
      </c>
      <c r="N802" t="s">
        <v>4899</v>
      </c>
      <c r="P802" t="s">
        <v>3001</v>
      </c>
    </row>
    <row r="803" spans="1:16" x14ac:dyDescent="0.2">
      <c r="A803" t="s">
        <v>2277</v>
      </c>
      <c r="B803" t="s">
        <v>3211</v>
      </c>
      <c r="C803" t="s">
        <v>3186</v>
      </c>
      <c r="D803" t="s">
        <v>2307</v>
      </c>
      <c r="E803">
        <v>98371</v>
      </c>
      <c r="F803" t="s">
        <v>2197</v>
      </c>
      <c r="G803" t="s">
        <v>1969</v>
      </c>
      <c r="H803" t="s">
        <v>4750</v>
      </c>
      <c r="I803">
        <v>47.191650000000003</v>
      </c>
      <c r="J803">
        <v>-122.293541</v>
      </c>
      <c r="K803" t="s">
        <v>3936</v>
      </c>
      <c r="L803" t="s">
        <v>3946</v>
      </c>
      <c r="M803" t="s">
        <v>4963</v>
      </c>
      <c r="N803" t="s">
        <v>4899</v>
      </c>
      <c r="P803" t="s">
        <v>3211</v>
      </c>
    </row>
    <row r="804" spans="1:16" x14ac:dyDescent="0.2">
      <c r="A804" t="s">
        <v>2300</v>
      </c>
      <c r="B804" t="s">
        <v>3408</v>
      </c>
      <c r="C804" t="s">
        <v>3409</v>
      </c>
      <c r="D804" t="s">
        <v>2307</v>
      </c>
      <c r="E804">
        <v>98277</v>
      </c>
      <c r="F804" t="s">
        <v>1583</v>
      </c>
      <c r="G804" t="s">
        <v>1980</v>
      </c>
      <c r="H804" t="s">
        <v>5170</v>
      </c>
      <c r="I804">
        <v>48.288727999999999</v>
      </c>
      <c r="J804">
        <v>-122.648859</v>
      </c>
      <c r="K804" t="s">
        <v>3936</v>
      </c>
      <c r="L804" t="s">
        <v>3946</v>
      </c>
      <c r="M804" t="s">
        <v>4963</v>
      </c>
      <c r="N804" t="s">
        <v>4899</v>
      </c>
      <c r="P804" t="s">
        <v>5677</v>
      </c>
    </row>
    <row r="805" spans="1:16" x14ac:dyDescent="0.2">
      <c r="A805" t="s">
        <v>2029</v>
      </c>
      <c r="B805" t="s">
        <v>2345</v>
      </c>
      <c r="C805" t="s">
        <v>66</v>
      </c>
      <c r="D805" t="s">
        <v>2307</v>
      </c>
      <c r="E805">
        <v>98101</v>
      </c>
      <c r="F805" t="s">
        <v>1602</v>
      </c>
      <c r="G805" t="s">
        <v>2005</v>
      </c>
      <c r="H805" t="s">
        <v>4272</v>
      </c>
      <c r="I805">
        <v>47.609279999999998</v>
      </c>
      <c r="J805">
        <v>-122.341066</v>
      </c>
      <c r="K805" t="s">
        <v>3936</v>
      </c>
      <c r="L805" t="s">
        <v>3946</v>
      </c>
      <c r="M805" t="s">
        <v>4900</v>
      </c>
      <c r="P805" t="s">
        <v>2345</v>
      </c>
    </row>
    <row r="806" spans="1:16" x14ac:dyDescent="0.2">
      <c r="A806" t="s">
        <v>1588</v>
      </c>
      <c r="B806" t="s">
        <v>3537</v>
      </c>
      <c r="C806" t="s">
        <v>66</v>
      </c>
      <c r="D806" t="s">
        <v>2307</v>
      </c>
      <c r="E806">
        <v>98122</v>
      </c>
      <c r="F806" t="s">
        <v>1575</v>
      </c>
      <c r="G806" t="s">
        <v>1989</v>
      </c>
      <c r="H806" t="s">
        <v>5488</v>
      </c>
      <c r="I806">
        <v>47.613236000000001</v>
      </c>
      <c r="J806">
        <v>-122.321001</v>
      </c>
      <c r="K806" t="s">
        <v>3936</v>
      </c>
      <c r="L806" t="s">
        <v>3946</v>
      </c>
      <c r="M806" t="s">
        <v>4900</v>
      </c>
      <c r="P806" t="s">
        <v>3537</v>
      </c>
    </row>
    <row r="807" spans="1:16" x14ac:dyDescent="0.2">
      <c r="A807" t="s">
        <v>1599</v>
      </c>
      <c r="B807" t="s">
        <v>3548</v>
      </c>
      <c r="C807" t="s">
        <v>66</v>
      </c>
      <c r="D807" t="s">
        <v>2307</v>
      </c>
      <c r="E807">
        <v>98103</v>
      </c>
      <c r="F807" t="s">
        <v>1600</v>
      </c>
      <c r="G807" t="s">
        <v>1987</v>
      </c>
      <c r="H807" t="s">
        <v>5489</v>
      </c>
      <c r="I807">
        <v>47.661461000000003</v>
      </c>
      <c r="J807">
        <v>-122.340743</v>
      </c>
      <c r="K807" t="s">
        <v>3936</v>
      </c>
      <c r="L807" t="s">
        <v>3946</v>
      </c>
      <c r="M807" t="s">
        <v>4900</v>
      </c>
      <c r="P807" t="s">
        <v>3548</v>
      </c>
    </row>
    <row r="808" spans="1:16" x14ac:dyDescent="0.2">
      <c r="A808" t="s">
        <v>1608</v>
      </c>
      <c r="B808" t="s">
        <v>3554</v>
      </c>
      <c r="C808" t="s">
        <v>66</v>
      </c>
      <c r="D808" t="s">
        <v>2307</v>
      </c>
      <c r="E808">
        <v>98107</v>
      </c>
      <c r="F808" t="s">
        <v>1604</v>
      </c>
      <c r="G808" t="s">
        <v>1970</v>
      </c>
      <c r="H808" t="s">
        <v>5490</v>
      </c>
      <c r="I808">
        <v>47.660316999999999</v>
      </c>
      <c r="J808">
        <v>-122.36579999999999</v>
      </c>
      <c r="K808" t="s">
        <v>3936</v>
      </c>
      <c r="L808" t="s">
        <v>3946</v>
      </c>
      <c r="M808" t="s">
        <v>4900</v>
      </c>
      <c r="P808" t="s">
        <v>3554</v>
      </c>
    </row>
    <row r="809" spans="1:16" x14ac:dyDescent="0.2">
      <c r="A809" t="s">
        <v>1921</v>
      </c>
      <c r="B809" t="s">
        <v>3476</v>
      </c>
      <c r="C809" t="s">
        <v>66</v>
      </c>
      <c r="D809" t="s">
        <v>2307</v>
      </c>
      <c r="E809">
        <v>98115</v>
      </c>
      <c r="F809" t="s">
        <v>1575</v>
      </c>
      <c r="G809" t="s">
        <v>1968</v>
      </c>
      <c r="H809" t="s">
        <v>4974</v>
      </c>
      <c r="I809">
        <v>47.675980000000003</v>
      </c>
      <c r="J809">
        <v>-122.30486500000001</v>
      </c>
      <c r="K809" t="s">
        <v>3936</v>
      </c>
      <c r="L809" t="s">
        <v>3946</v>
      </c>
      <c r="M809" t="s">
        <v>4900</v>
      </c>
      <c r="P809" t="s">
        <v>3476</v>
      </c>
    </row>
    <row r="810" spans="1:16" x14ac:dyDescent="0.2">
      <c r="A810" t="s">
        <v>2086</v>
      </c>
      <c r="B810" t="s">
        <v>2452</v>
      </c>
      <c r="C810" t="s">
        <v>66</v>
      </c>
      <c r="D810" t="s">
        <v>2307</v>
      </c>
      <c r="E810">
        <v>98103</v>
      </c>
      <c r="F810" t="s">
        <v>1716</v>
      </c>
      <c r="G810" t="s">
        <v>1990</v>
      </c>
      <c r="H810" t="s">
        <v>4333</v>
      </c>
      <c r="I810">
        <v>47.689965000000001</v>
      </c>
      <c r="J810">
        <v>-122.355435</v>
      </c>
      <c r="K810" t="s">
        <v>3936</v>
      </c>
      <c r="L810" t="s">
        <v>3946</v>
      </c>
      <c r="M810" t="s">
        <v>4900</v>
      </c>
      <c r="P810" t="s">
        <v>2452</v>
      </c>
    </row>
    <row r="811" spans="1:16" x14ac:dyDescent="0.2">
      <c r="A811" t="s">
        <v>1641</v>
      </c>
      <c r="B811" t="s">
        <v>3586</v>
      </c>
      <c r="C811" t="s">
        <v>66</v>
      </c>
      <c r="D811" t="s">
        <v>2307</v>
      </c>
      <c r="E811">
        <v>98133</v>
      </c>
      <c r="F811" t="s">
        <v>1583</v>
      </c>
      <c r="G811" t="s">
        <v>1980</v>
      </c>
      <c r="H811" t="s">
        <v>5491</v>
      </c>
      <c r="I811">
        <v>47.708741000000003</v>
      </c>
      <c r="J811">
        <v>-122.33388600000001</v>
      </c>
      <c r="K811" t="s">
        <v>3936</v>
      </c>
      <c r="L811" t="s">
        <v>3946</v>
      </c>
      <c r="M811" t="s">
        <v>4900</v>
      </c>
      <c r="P811" t="s">
        <v>3586</v>
      </c>
    </row>
    <row r="812" spans="1:16" x14ac:dyDescent="0.2">
      <c r="A812" t="s">
        <v>1642</v>
      </c>
      <c r="B812" t="s">
        <v>3587</v>
      </c>
      <c r="C812" t="s">
        <v>66</v>
      </c>
      <c r="D812" t="s">
        <v>2307</v>
      </c>
      <c r="E812">
        <v>98106</v>
      </c>
      <c r="F812" t="s">
        <v>1600</v>
      </c>
      <c r="G812" t="s">
        <v>1987</v>
      </c>
      <c r="H812" t="s">
        <v>5492</v>
      </c>
      <c r="I812">
        <v>47.551723000000003</v>
      </c>
      <c r="J812">
        <v>-122.36322</v>
      </c>
      <c r="K812" t="s">
        <v>3936</v>
      </c>
      <c r="L812" t="s">
        <v>3946</v>
      </c>
      <c r="M812" t="s">
        <v>4900</v>
      </c>
      <c r="P812" t="s">
        <v>3587</v>
      </c>
    </row>
    <row r="813" spans="1:16" x14ac:dyDescent="0.2">
      <c r="A813" t="s">
        <v>1928</v>
      </c>
      <c r="B813" t="s">
        <v>3484</v>
      </c>
      <c r="C813" t="s">
        <v>2502</v>
      </c>
      <c r="D813" t="s">
        <v>2307</v>
      </c>
      <c r="E813">
        <v>98004</v>
      </c>
      <c r="F813" t="s">
        <v>1573</v>
      </c>
      <c r="G813" t="s">
        <v>1971</v>
      </c>
      <c r="H813" t="s">
        <v>5493</v>
      </c>
      <c r="I813">
        <v>47.610464</v>
      </c>
      <c r="J813">
        <v>-122.201722</v>
      </c>
      <c r="K813" t="s">
        <v>3936</v>
      </c>
      <c r="L813" t="s">
        <v>3946</v>
      </c>
      <c r="M813" t="s">
        <v>4900</v>
      </c>
      <c r="P813" t="s">
        <v>3484</v>
      </c>
    </row>
    <row r="814" spans="1:16" x14ac:dyDescent="0.2">
      <c r="A814" t="s">
        <v>5171</v>
      </c>
      <c r="B814" t="s">
        <v>5172</v>
      </c>
      <c r="C814" t="s">
        <v>2502</v>
      </c>
      <c r="D814" t="s">
        <v>2307</v>
      </c>
      <c r="E814">
        <v>98006</v>
      </c>
      <c r="F814" t="s">
        <v>1716</v>
      </c>
      <c r="G814" t="s">
        <v>1981</v>
      </c>
      <c r="H814" t="s">
        <v>5173</v>
      </c>
      <c r="I814">
        <v>47.573794999999997</v>
      </c>
      <c r="J814">
        <v>-122.17179299999999</v>
      </c>
      <c r="K814" t="s">
        <v>3936</v>
      </c>
      <c r="L814" t="s">
        <v>3946</v>
      </c>
      <c r="M814" t="s">
        <v>4900</v>
      </c>
      <c r="P814" t="s">
        <v>5172</v>
      </c>
    </row>
    <row r="815" spans="1:16" x14ac:dyDescent="0.2">
      <c r="A815" t="s">
        <v>5174</v>
      </c>
      <c r="B815" t="s">
        <v>5175</v>
      </c>
      <c r="C815" t="s">
        <v>2586</v>
      </c>
      <c r="D815" t="s">
        <v>2307</v>
      </c>
      <c r="E815">
        <v>98052</v>
      </c>
      <c r="F815" t="s">
        <v>1716</v>
      </c>
      <c r="G815" t="s">
        <v>1981</v>
      </c>
      <c r="H815" t="s">
        <v>5176</v>
      </c>
      <c r="I815">
        <v>47.679923000000002</v>
      </c>
      <c r="J815">
        <v>-122.124971</v>
      </c>
      <c r="K815" t="s">
        <v>3936</v>
      </c>
      <c r="L815" t="s">
        <v>3946</v>
      </c>
      <c r="M815" t="s">
        <v>4900</v>
      </c>
      <c r="P815" t="s">
        <v>5175</v>
      </c>
    </row>
    <row r="816" spans="1:16" x14ac:dyDescent="0.2">
      <c r="A816" t="s">
        <v>1700</v>
      </c>
      <c r="B816" t="s">
        <v>3646</v>
      </c>
      <c r="C816" t="s">
        <v>2586</v>
      </c>
      <c r="D816" t="s">
        <v>2307</v>
      </c>
      <c r="E816">
        <v>98052</v>
      </c>
      <c r="F816" t="s">
        <v>1587</v>
      </c>
      <c r="G816" t="s">
        <v>1971</v>
      </c>
      <c r="H816" t="s">
        <v>4084</v>
      </c>
      <c r="I816">
        <v>47.672561000000002</v>
      </c>
      <c r="J816">
        <v>-122.117401</v>
      </c>
      <c r="K816" t="s">
        <v>3936</v>
      </c>
      <c r="L816" t="s">
        <v>3946</v>
      </c>
      <c r="M816" t="s">
        <v>4900</v>
      </c>
      <c r="P816" t="s">
        <v>3646</v>
      </c>
    </row>
    <row r="817" spans="1:16" x14ac:dyDescent="0.2">
      <c r="A817" t="s">
        <v>1936</v>
      </c>
      <c r="B817" t="s">
        <v>3496</v>
      </c>
      <c r="C817" t="s">
        <v>2581</v>
      </c>
      <c r="D817" t="s">
        <v>2307</v>
      </c>
      <c r="E817">
        <v>98166</v>
      </c>
      <c r="F817" t="s">
        <v>1604</v>
      </c>
      <c r="G817" t="s">
        <v>1985</v>
      </c>
      <c r="H817" t="s">
        <v>4975</v>
      </c>
      <c r="I817">
        <v>47.466661999999999</v>
      </c>
      <c r="J817">
        <v>-122.343018</v>
      </c>
      <c r="K817" t="s">
        <v>3936</v>
      </c>
      <c r="L817" t="s">
        <v>3946</v>
      </c>
      <c r="M817" t="s">
        <v>4900</v>
      </c>
      <c r="P817" t="s">
        <v>3496</v>
      </c>
    </row>
    <row r="818" spans="1:16" x14ac:dyDescent="0.2">
      <c r="A818" t="s">
        <v>1722</v>
      </c>
      <c r="B818" t="s">
        <v>3673</v>
      </c>
      <c r="C818" t="s">
        <v>2597</v>
      </c>
      <c r="D818" t="s">
        <v>2307</v>
      </c>
      <c r="E818">
        <v>98059</v>
      </c>
      <c r="F818" t="s">
        <v>1587</v>
      </c>
      <c r="G818" t="s">
        <v>1981</v>
      </c>
      <c r="H818" t="s">
        <v>4098</v>
      </c>
      <c r="I818">
        <v>47.504117999999998</v>
      </c>
      <c r="J818">
        <v>-122.164468</v>
      </c>
      <c r="K818" t="s">
        <v>3936</v>
      </c>
      <c r="L818" t="s">
        <v>3946</v>
      </c>
      <c r="M818" t="s">
        <v>4900</v>
      </c>
      <c r="P818" t="s">
        <v>3673</v>
      </c>
    </row>
    <row r="819" spans="1:16" x14ac:dyDescent="0.2">
      <c r="A819" t="s">
        <v>1723</v>
      </c>
      <c r="B819" t="s">
        <v>3674</v>
      </c>
      <c r="C819" t="s">
        <v>2597</v>
      </c>
      <c r="D819" t="s">
        <v>2307</v>
      </c>
      <c r="E819">
        <v>98057</v>
      </c>
      <c r="F819" t="s">
        <v>1587</v>
      </c>
      <c r="G819" t="s">
        <v>1979</v>
      </c>
      <c r="H819" t="s">
        <v>4099</v>
      </c>
      <c r="I819">
        <v>47.481073000000002</v>
      </c>
      <c r="J819">
        <v>-122.20683</v>
      </c>
      <c r="K819" t="s">
        <v>3936</v>
      </c>
      <c r="L819" t="s">
        <v>3946</v>
      </c>
      <c r="M819" t="s">
        <v>4900</v>
      </c>
      <c r="P819" t="s">
        <v>3674</v>
      </c>
    </row>
    <row r="820" spans="1:16" x14ac:dyDescent="0.2">
      <c r="A820" t="s">
        <v>1940</v>
      </c>
      <c r="B820" t="s">
        <v>3501</v>
      </c>
      <c r="C820" t="s">
        <v>66</v>
      </c>
      <c r="D820" t="s">
        <v>2307</v>
      </c>
      <c r="E820">
        <v>98188</v>
      </c>
      <c r="F820" t="s">
        <v>1591</v>
      </c>
      <c r="G820" t="s">
        <v>1969</v>
      </c>
      <c r="H820" t="s">
        <v>5495</v>
      </c>
      <c r="I820">
        <v>47.447164999999998</v>
      </c>
      <c r="J820">
        <v>-122.296145</v>
      </c>
      <c r="K820" t="s">
        <v>3936</v>
      </c>
      <c r="L820" t="s">
        <v>3946</v>
      </c>
      <c r="M820" t="s">
        <v>4900</v>
      </c>
      <c r="P820" t="s">
        <v>3501</v>
      </c>
    </row>
    <row r="821" spans="1:16" x14ac:dyDescent="0.2">
      <c r="A821" t="s">
        <v>1941</v>
      </c>
      <c r="B821" t="s">
        <v>3502</v>
      </c>
      <c r="C821" t="s">
        <v>2627</v>
      </c>
      <c r="D821" t="s">
        <v>2307</v>
      </c>
      <c r="E821">
        <v>98020</v>
      </c>
      <c r="F821" t="s">
        <v>1604</v>
      </c>
      <c r="G821" t="s">
        <v>1985</v>
      </c>
      <c r="H821" t="s">
        <v>4022</v>
      </c>
      <c r="I821">
        <v>47.812269999999998</v>
      </c>
      <c r="J821">
        <v>-122.381635</v>
      </c>
      <c r="K821" t="s">
        <v>3936</v>
      </c>
      <c r="L821" t="s">
        <v>3946</v>
      </c>
      <c r="M821" t="s">
        <v>4900</v>
      </c>
      <c r="P821" t="s">
        <v>3502</v>
      </c>
    </row>
    <row r="822" spans="1:16" x14ac:dyDescent="0.2">
      <c r="A822" t="s">
        <v>1946</v>
      </c>
      <c r="B822" t="s">
        <v>3508</v>
      </c>
      <c r="C822" t="s">
        <v>2785</v>
      </c>
      <c r="D822" t="s">
        <v>2307</v>
      </c>
      <c r="E822">
        <v>98027</v>
      </c>
      <c r="F822" t="s">
        <v>1658</v>
      </c>
      <c r="G822" t="s">
        <v>1973</v>
      </c>
      <c r="H822" t="s">
        <v>5177</v>
      </c>
      <c r="I822">
        <v>47.540477000000003</v>
      </c>
      <c r="J822">
        <v>-122.040936</v>
      </c>
      <c r="K822" t="s">
        <v>3936</v>
      </c>
      <c r="L822" t="s">
        <v>3946</v>
      </c>
      <c r="M822" t="s">
        <v>4900</v>
      </c>
      <c r="P822" t="s">
        <v>3508</v>
      </c>
    </row>
    <row r="823" spans="1:16" x14ac:dyDescent="0.2">
      <c r="A823" t="s">
        <v>1947</v>
      </c>
      <c r="B823" t="s">
        <v>3509</v>
      </c>
      <c r="C823" t="s">
        <v>2785</v>
      </c>
      <c r="D823" t="s">
        <v>2307</v>
      </c>
      <c r="E823">
        <v>98027</v>
      </c>
      <c r="F823" t="s">
        <v>1591</v>
      </c>
      <c r="G823" t="s">
        <v>1969</v>
      </c>
      <c r="H823" t="s">
        <v>5178</v>
      </c>
      <c r="I823">
        <v>47.534436999999997</v>
      </c>
      <c r="J823">
        <v>-122.031328</v>
      </c>
      <c r="K823" t="s">
        <v>3936</v>
      </c>
      <c r="L823" t="s">
        <v>3946</v>
      </c>
      <c r="M823" t="s">
        <v>4900</v>
      </c>
      <c r="P823" t="s">
        <v>3509</v>
      </c>
    </row>
    <row r="824" spans="1:16" x14ac:dyDescent="0.2">
      <c r="A824" t="s">
        <v>2227</v>
      </c>
      <c r="B824" t="s">
        <v>2985</v>
      </c>
      <c r="C824" t="s">
        <v>2930</v>
      </c>
      <c r="D824" t="s">
        <v>2307</v>
      </c>
      <c r="E824">
        <v>98003</v>
      </c>
      <c r="F824" t="s">
        <v>1573</v>
      </c>
      <c r="G824" t="s">
        <v>1981</v>
      </c>
      <c r="H824" t="s">
        <v>4636</v>
      </c>
      <c r="I824">
        <v>47.313969</v>
      </c>
      <c r="J824">
        <v>-122.30975599999999</v>
      </c>
      <c r="K824" t="s">
        <v>3936</v>
      </c>
      <c r="L824" t="s">
        <v>3946</v>
      </c>
      <c r="M824" t="s">
        <v>4900</v>
      </c>
      <c r="P824" t="s">
        <v>2985</v>
      </c>
    </row>
    <row r="825" spans="1:16" x14ac:dyDescent="0.2">
      <c r="A825" t="s">
        <v>1811</v>
      </c>
      <c r="B825" t="s">
        <v>3016</v>
      </c>
      <c r="C825" t="s">
        <v>3014</v>
      </c>
      <c r="D825" t="s">
        <v>2307</v>
      </c>
      <c r="E825">
        <v>98065</v>
      </c>
      <c r="F825" t="s">
        <v>1575</v>
      </c>
      <c r="G825" t="s">
        <v>1989</v>
      </c>
      <c r="H825" t="s">
        <v>5496</v>
      </c>
      <c r="I825">
        <v>47.530741999999996</v>
      </c>
      <c r="J825">
        <v>-121.873142</v>
      </c>
      <c r="K825" t="s">
        <v>3936</v>
      </c>
      <c r="L825" t="s">
        <v>3946</v>
      </c>
      <c r="M825" t="s">
        <v>4900</v>
      </c>
      <c r="P825" t="s">
        <v>3016</v>
      </c>
    </row>
    <row r="826" spans="1:16" x14ac:dyDescent="0.2">
      <c r="A826" t="s">
        <v>1830</v>
      </c>
      <c r="B826" t="s">
        <v>6251</v>
      </c>
      <c r="C826" t="s">
        <v>2900</v>
      </c>
      <c r="D826" t="s">
        <v>2307</v>
      </c>
      <c r="E826">
        <v>98201</v>
      </c>
      <c r="F826" t="s">
        <v>1602</v>
      </c>
      <c r="G826" t="s">
        <v>1987</v>
      </c>
      <c r="H826" t="s">
        <v>4166</v>
      </c>
      <c r="I826">
        <v>47.984310999999998</v>
      </c>
      <c r="J826">
        <v>-122.208688</v>
      </c>
      <c r="K826" t="s">
        <v>3936</v>
      </c>
      <c r="L826" t="s">
        <v>3946</v>
      </c>
      <c r="M826" t="s">
        <v>4900</v>
      </c>
      <c r="P826" t="s">
        <v>6052</v>
      </c>
    </row>
    <row r="827" spans="1:16" x14ac:dyDescent="0.2">
      <c r="A827" t="s">
        <v>1936</v>
      </c>
      <c r="B827" t="s">
        <v>3496</v>
      </c>
      <c r="C827" t="s">
        <v>2581</v>
      </c>
      <c r="D827" t="s">
        <v>2307</v>
      </c>
      <c r="E827">
        <v>98166</v>
      </c>
      <c r="F827" t="s">
        <v>1604</v>
      </c>
      <c r="G827" t="s">
        <v>1985</v>
      </c>
      <c r="H827" t="s">
        <v>4975</v>
      </c>
      <c r="I827">
        <v>47.466661999999999</v>
      </c>
      <c r="J827">
        <v>-122.343018</v>
      </c>
      <c r="K827" t="s">
        <v>3936</v>
      </c>
      <c r="L827" t="s">
        <v>3946</v>
      </c>
      <c r="M827" t="s">
        <v>4900</v>
      </c>
      <c r="N827" t="s">
        <v>4901</v>
      </c>
      <c r="P827" t="s">
        <v>3496</v>
      </c>
    </row>
    <row r="828" spans="1:16" x14ac:dyDescent="0.2">
      <c r="A828" t="s">
        <v>1940</v>
      </c>
      <c r="B828" t="s">
        <v>3501</v>
      </c>
      <c r="C828" t="s">
        <v>66</v>
      </c>
      <c r="D828" t="s">
        <v>2307</v>
      </c>
      <c r="E828">
        <v>98188</v>
      </c>
      <c r="F828" t="s">
        <v>1591</v>
      </c>
      <c r="G828" t="s">
        <v>1969</v>
      </c>
      <c r="H828" t="s">
        <v>5495</v>
      </c>
      <c r="I828">
        <v>47.447164999999998</v>
      </c>
      <c r="J828">
        <v>-122.296145</v>
      </c>
      <c r="K828" t="s">
        <v>3936</v>
      </c>
      <c r="L828" t="s">
        <v>3946</v>
      </c>
      <c r="M828" t="s">
        <v>4900</v>
      </c>
      <c r="N828" t="s">
        <v>4901</v>
      </c>
      <c r="P828" t="s">
        <v>3501</v>
      </c>
    </row>
    <row r="829" spans="1:16" x14ac:dyDescent="0.2">
      <c r="A829" t="s">
        <v>1608</v>
      </c>
      <c r="B829" t="s">
        <v>3554</v>
      </c>
      <c r="C829" t="s">
        <v>66</v>
      </c>
      <c r="D829" t="s">
        <v>2307</v>
      </c>
      <c r="E829">
        <v>98107</v>
      </c>
      <c r="F829" t="s">
        <v>1604</v>
      </c>
      <c r="G829" t="s">
        <v>1970</v>
      </c>
      <c r="H829" t="s">
        <v>5490</v>
      </c>
      <c r="I829">
        <v>47.660316999999999</v>
      </c>
      <c r="J829">
        <v>-122.36579999999999</v>
      </c>
      <c r="K829" t="s">
        <v>3936</v>
      </c>
      <c r="L829" t="s">
        <v>3946</v>
      </c>
      <c r="M829" t="s">
        <v>4900</v>
      </c>
      <c r="N829" t="s">
        <v>4902</v>
      </c>
      <c r="P829" t="s">
        <v>3554</v>
      </c>
    </row>
    <row r="830" spans="1:16" x14ac:dyDescent="0.2">
      <c r="A830" t="s">
        <v>1921</v>
      </c>
      <c r="B830" t="s">
        <v>3476</v>
      </c>
      <c r="C830" t="s">
        <v>66</v>
      </c>
      <c r="D830" t="s">
        <v>2307</v>
      </c>
      <c r="E830">
        <v>98115</v>
      </c>
      <c r="F830" t="s">
        <v>1575</v>
      </c>
      <c r="G830" t="s">
        <v>1968</v>
      </c>
      <c r="H830" t="s">
        <v>4974</v>
      </c>
      <c r="I830">
        <v>47.675980000000003</v>
      </c>
      <c r="J830">
        <v>-122.30486500000001</v>
      </c>
      <c r="K830" t="s">
        <v>3936</v>
      </c>
      <c r="L830" t="s">
        <v>3946</v>
      </c>
      <c r="M830" t="s">
        <v>4900</v>
      </c>
      <c r="N830" t="s">
        <v>4902</v>
      </c>
      <c r="P830" t="s">
        <v>3476</v>
      </c>
    </row>
    <row r="831" spans="1:16" x14ac:dyDescent="0.2">
      <c r="A831" t="s">
        <v>1941</v>
      </c>
      <c r="B831" t="s">
        <v>3502</v>
      </c>
      <c r="C831" t="s">
        <v>2627</v>
      </c>
      <c r="D831" t="s">
        <v>2307</v>
      </c>
      <c r="E831">
        <v>98020</v>
      </c>
      <c r="F831" t="s">
        <v>1604</v>
      </c>
      <c r="G831" t="s">
        <v>1985</v>
      </c>
      <c r="H831" t="s">
        <v>4022</v>
      </c>
      <c r="I831">
        <v>47.812269999999998</v>
      </c>
      <c r="J831">
        <v>-122.381635</v>
      </c>
      <c r="K831" t="s">
        <v>3936</v>
      </c>
      <c r="L831" t="s">
        <v>3946</v>
      </c>
      <c r="M831" t="s">
        <v>4900</v>
      </c>
      <c r="N831" t="s">
        <v>4902</v>
      </c>
      <c r="P831" t="s">
        <v>3502</v>
      </c>
    </row>
    <row r="832" spans="1:16" x14ac:dyDescent="0.2">
      <c r="A832" t="s">
        <v>1588</v>
      </c>
      <c r="B832" t="s">
        <v>3537</v>
      </c>
      <c r="C832" t="s">
        <v>66</v>
      </c>
      <c r="D832" t="s">
        <v>2307</v>
      </c>
      <c r="E832">
        <v>98122</v>
      </c>
      <c r="F832" t="s">
        <v>1575</v>
      </c>
      <c r="G832" t="s">
        <v>1989</v>
      </c>
      <c r="H832" t="s">
        <v>5488</v>
      </c>
      <c r="I832">
        <v>47.613236000000001</v>
      </c>
      <c r="J832">
        <v>-122.321001</v>
      </c>
      <c r="K832" t="s">
        <v>3936</v>
      </c>
      <c r="L832" t="s">
        <v>3946</v>
      </c>
      <c r="M832" t="s">
        <v>4900</v>
      </c>
      <c r="N832" t="s">
        <v>4903</v>
      </c>
      <c r="P832" t="s">
        <v>3537</v>
      </c>
    </row>
    <row r="833" spans="1:16" x14ac:dyDescent="0.2">
      <c r="A833" t="s">
        <v>1599</v>
      </c>
      <c r="B833" t="s">
        <v>3548</v>
      </c>
      <c r="C833" t="s">
        <v>66</v>
      </c>
      <c r="D833" t="s">
        <v>2307</v>
      </c>
      <c r="E833">
        <v>98103</v>
      </c>
      <c r="F833" t="s">
        <v>1600</v>
      </c>
      <c r="G833" t="s">
        <v>1987</v>
      </c>
      <c r="H833" t="s">
        <v>5489</v>
      </c>
      <c r="I833">
        <v>47.661461000000003</v>
      </c>
      <c r="J833">
        <v>-122.340743</v>
      </c>
      <c r="K833" t="s">
        <v>3936</v>
      </c>
      <c r="L833" t="s">
        <v>3946</v>
      </c>
      <c r="M833" t="s">
        <v>4900</v>
      </c>
      <c r="N833" t="s">
        <v>4903</v>
      </c>
      <c r="P833" t="s">
        <v>3548</v>
      </c>
    </row>
    <row r="834" spans="1:16" x14ac:dyDescent="0.2">
      <c r="A834" t="s">
        <v>1641</v>
      </c>
      <c r="B834" t="s">
        <v>3586</v>
      </c>
      <c r="C834" t="s">
        <v>66</v>
      </c>
      <c r="D834" t="s">
        <v>2307</v>
      </c>
      <c r="E834">
        <v>98133</v>
      </c>
      <c r="F834" t="s">
        <v>1583</v>
      </c>
      <c r="G834" t="s">
        <v>1980</v>
      </c>
      <c r="H834" t="s">
        <v>5491</v>
      </c>
      <c r="I834">
        <v>47.708741000000003</v>
      </c>
      <c r="J834">
        <v>-122.33388600000001</v>
      </c>
      <c r="K834" t="s">
        <v>3936</v>
      </c>
      <c r="L834" t="s">
        <v>3946</v>
      </c>
      <c r="M834" t="s">
        <v>4900</v>
      </c>
      <c r="N834" t="s">
        <v>4903</v>
      </c>
      <c r="P834" t="s">
        <v>3586</v>
      </c>
    </row>
    <row r="835" spans="1:16" x14ac:dyDescent="0.2">
      <c r="A835" t="s">
        <v>1642</v>
      </c>
      <c r="B835" t="s">
        <v>3587</v>
      </c>
      <c r="C835" t="s">
        <v>66</v>
      </c>
      <c r="D835" t="s">
        <v>2307</v>
      </c>
      <c r="E835">
        <v>98106</v>
      </c>
      <c r="F835" t="s">
        <v>1600</v>
      </c>
      <c r="G835" t="s">
        <v>1987</v>
      </c>
      <c r="H835" t="s">
        <v>5492</v>
      </c>
      <c r="I835">
        <v>47.551723000000003</v>
      </c>
      <c r="J835">
        <v>-122.36322</v>
      </c>
      <c r="K835" t="s">
        <v>3936</v>
      </c>
      <c r="L835" t="s">
        <v>3946</v>
      </c>
      <c r="M835" t="s">
        <v>4900</v>
      </c>
      <c r="N835" t="s">
        <v>4903</v>
      </c>
      <c r="P835" t="s">
        <v>3587</v>
      </c>
    </row>
    <row r="836" spans="1:16" x14ac:dyDescent="0.2">
      <c r="A836" t="s">
        <v>1928</v>
      </c>
      <c r="B836" t="s">
        <v>3484</v>
      </c>
      <c r="C836" t="s">
        <v>2502</v>
      </c>
      <c r="D836" t="s">
        <v>2307</v>
      </c>
      <c r="E836">
        <v>98004</v>
      </c>
      <c r="F836" t="s">
        <v>1573</v>
      </c>
      <c r="G836" t="s">
        <v>1971</v>
      </c>
      <c r="H836" t="s">
        <v>5493</v>
      </c>
      <c r="I836">
        <v>47.610464</v>
      </c>
      <c r="J836">
        <v>-122.201722</v>
      </c>
      <c r="K836" t="s">
        <v>3936</v>
      </c>
      <c r="L836" t="s">
        <v>3946</v>
      </c>
      <c r="M836" t="s">
        <v>4900</v>
      </c>
      <c r="N836" t="s">
        <v>4903</v>
      </c>
      <c r="P836" t="s">
        <v>3484</v>
      </c>
    </row>
    <row r="837" spans="1:16" x14ac:dyDescent="0.2">
      <c r="A837" t="s">
        <v>5171</v>
      </c>
      <c r="B837" t="s">
        <v>5172</v>
      </c>
      <c r="C837" t="s">
        <v>2502</v>
      </c>
      <c r="D837" t="s">
        <v>2307</v>
      </c>
      <c r="E837">
        <v>98006</v>
      </c>
      <c r="F837" t="s">
        <v>1716</v>
      </c>
      <c r="G837" t="s">
        <v>1981</v>
      </c>
      <c r="H837" t="s">
        <v>5173</v>
      </c>
      <c r="I837">
        <v>47.573794999999997</v>
      </c>
      <c r="J837">
        <v>-122.17179299999999</v>
      </c>
      <c r="K837" t="s">
        <v>3936</v>
      </c>
      <c r="L837" t="s">
        <v>3946</v>
      </c>
      <c r="M837" t="s">
        <v>4900</v>
      </c>
      <c r="N837" t="s">
        <v>4903</v>
      </c>
      <c r="P837" t="s">
        <v>5172</v>
      </c>
    </row>
    <row r="838" spans="1:16" x14ac:dyDescent="0.2">
      <c r="A838" t="s">
        <v>5174</v>
      </c>
      <c r="B838" t="s">
        <v>5175</v>
      </c>
      <c r="C838" t="s">
        <v>2586</v>
      </c>
      <c r="D838" t="s">
        <v>2307</v>
      </c>
      <c r="E838">
        <v>98052</v>
      </c>
      <c r="F838" t="s">
        <v>1716</v>
      </c>
      <c r="G838" t="s">
        <v>1981</v>
      </c>
      <c r="H838" t="s">
        <v>5176</v>
      </c>
      <c r="I838">
        <v>47.679923000000002</v>
      </c>
      <c r="J838">
        <v>-122.124971</v>
      </c>
      <c r="K838" t="s">
        <v>3936</v>
      </c>
      <c r="L838" t="s">
        <v>3946</v>
      </c>
      <c r="M838" t="s">
        <v>4900</v>
      </c>
      <c r="N838" t="s">
        <v>4903</v>
      </c>
      <c r="P838" t="s">
        <v>5175</v>
      </c>
    </row>
    <row r="839" spans="1:16" x14ac:dyDescent="0.2">
      <c r="A839" t="s">
        <v>1946</v>
      </c>
      <c r="B839" t="s">
        <v>3508</v>
      </c>
      <c r="C839" t="s">
        <v>2785</v>
      </c>
      <c r="D839" t="s">
        <v>2307</v>
      </c>
      <c r="E839">
        <v>98027</v>
      </c>
      <c r="F839" t="s">
        <v>1658</v>
      </c>
      <c r="G839" t="s">
        <v>1973</v>
      </c>
      <c r="H839" t="s">
        <v>5177</v>
      </c>
      <c r="I839">
        <v>47.540477000000003</v>
      </c>
      <c r="J839">
        <v>-122.040936</v>
      </c>
      <c r="K839" t="s">
        <v>3936</v>
      </c>
      <c r="L839" t="s">
        <v>3946</v>
      </c>
      <c r="M839" t="s">
        <v>4900</v>
      </c>
      <c r="N839" t="s">
        <v>4903</v>
      </c>
      <c r="P839" t="s">
        <v>3508</v>
      </c>
    </row>
    <row r="840" spans="1:16" x14ac:dyDescent="0.2">
      <c r="A840" t="s">
        <v>1947</v>
      </c>
      <c r="B840" t="s">
        <v>3509</v>
      </c>
      <c r="C840" t="s">
        <v>2785</v>
      </c>
      <c r="D840" t="s">
        <v>2307</v>
      </c>
      <c r="E840">
        <v>98027</v>
      </c>
      <c r="F840" t="s">
        <v>1591</v>
      </c>
      <c r="G840" t="s">
        <v>1969</v>
      </c>
      <c r="H840" t="s">
        <v>5178</v>
      </c>
      <c r="I840">
        <v>47.534436999999997</v>
      </c>
      <c r="J840">
        <v>-122.031328</v>
      </c>
      <c r="K840" t="s">
        <v>3936</v>
      </c>
      <c r="L840" t="s">
        <v>3946</v>
      </c>
      <c r="M840" t="s">
        <v>4900</v>
      </c>
      <c r="N840" t="s">
        <v>4903</v>
      </c>
      <c r="P840" t="s">
        <v>3509</v>
      </c>
    </row>
    <row r="841" spans="1:16" x14ac:dyDescent="0.2">
      <c r="A841" t="s">
        <v>2227</v>
      </c>
      <c r="B841" t="s">
        <v>2985</v>
      </c>
      <c r="C841" t="s">
        <v>2930</v>
      </c>
      <c r="D841" t="s">
        <v>2307</v>
      </c>
      <c r="E841">
        <v>98003</v>
      </c>
      <c r="F841" t="s">
        <v>1573</v>
      </c>
      <c r="G841" t="s">
        <v>1981</v>
      </c>
      <c r="H841" t="s">
        <v>4636</v>
      </c>
      <c r="I841">
        <v>47.313969</v>
      </c>
      <c r="J841">
        <v>-122.30975599999999</v>
      </c>
      <c r="K841" t="s">
        <v>3936</v>
      </c>
      <c r="L841" t="s">
        <v>3946</v>
      </c>
      <c r="M841" t="s">
        <v>4900</v>
      </c>
      <c r="N841" t="s">
        <v>4903</v>
      </c>
      <c r="P841" t="s">
        <v>2985</v>
      </c>
    </row>
    <row r="842" spans="1:16" x14ac:dyDescent="0.2">
      <c r="A842" t="s">
        <v>1830</v>
      </c>
      <c r="B842" t="s">
        <v>6251</v>
      </c>
      <c r="C842" t="s">
        <v>2900</v>
      </c>
      <c r="D842" t="s">
        <v>2307</v>
      </c>
      <c r="E842">
        <v>98201</v>
      </c>
      <c r="F842" t="s">
        <v>1602</v>
      </c>
      <c r="G842" t="s">
        <v>1987</v>
      </c>
      <c r="H842" t="s">
        <v>4166</v>
      </c>
      <c r="I842">
        <v>47.984310999999998</v>
      </c>
      <c r="J842">
        <v>-122.208688</v>
      </c>
      <c r="K842" t="s">
        <v>3936</v>
      </c>
      <c r="L842" t="s">
        <v>3946</v>
      </c>
      <c r="M842" t="s">
        <v>4900</v>
      </c>
      <c r="N842" t="s">
        <v>4903</v>
      </c>
      <c r="P842" t="s">
        <v>6052</v>
      </c>
    </row>
    <row r="843" spans="1:16" x14ac:dyDescent="0.2">
      <c r="A843" t="s">
        <v>1723</v>
      </c>
      <c r="B843" t="s">
        <v>3674</v>
      </c>
      <c r="C843" t="s">
        <v>2597</v>
      </c>
      <c r="D843" t="s">
        <v>2307</v>
      </c>
      <c r="E843">
        <v>98057</v>
      </c>
      <c r="F843" t="s">
        <v>1587</v>
      </c>
      <c r="G843" t="s">
        <v>1979</v>
      </c>
      <c r="H843" t="s">
        <v>4099</v>
      </c>
      <c r="I843">
        <v>47.481073000000002</v>
      </c>
      <c r="J843">
        <v>-122.20683</v>
      </c>
      <c r="K843" t="s">
        <v>3936</v>
      </c>
      <c r="L843" t="s">
        <v>3946</v>
      </c>
      <c r="M843" t="s">
        <v>4900</v>
      </c>
      <c r="N843" t="s">
        <v>4904</v>
      </c>
      <c r="P843" t="s">
        <v>3674</v>
      </c>
    </row>
    <row r="844" spans="1:16" x14ac:dyDescent="0.2">
      <c r="A844" t="s">
        <v>1811</v>
      </c>
      <c r="B844" t="s">
        <v>3016</v>
      </c>
      <c r="C844" t="s">
        <v>3014</v>
      </c>
      <c r="D844" t="s">
        <v>2307</v>
      </c>
      <c r="E844">
        <v>98065</v>
      </c>
      <c r="F844" t="s">
        <v>1575</v>
      </c>
      <c r="G844" t="s">
        <v>1989</v>
      </c>
      <c r="H844" t="s">
        <v>5496</v>
      </c>
      <c r="I844">
        <v>47.530741999999996</v>
      </c>
      <c r="J844">
        <v>-121.873142</v>
      </c>
      <c r="K844" t="s">
        <v>3936</v>
      </c>
      <c r="L844" t="s">
        <v>3946</v>
      </c>
      <c r="M844" t="s">
        <v>4900</v>
      </c>
      <c r="N844" t="s">
        <v>4904</v>
      </c>
      <c r="P844" t="s">
        <v>3016</v>
      </c>
    </row>
    <row r="845" spans="1:16" x14ac:dyDescent="0.2">
      <c r="A845" t="s">
        <v>1891</v>
      </c>
      <c r="B845" t="s">
        <v>3928</v>
      </c>
      <c r="C845" t="s">
        <v>3430</v>
      </c>
      <c r="D845" t="s">
        <v>2307</v>
      </c>
      <c r="E845">
        <v>98597</v>
      </c>
      <c r="F845" t="s">
        <v>1591</v>
      </c>
      <c r="G845" t="s">
        <v>1969</v>
      </c>
      <c r="H845" t="s">
        <v>4235</v>
      </c>
      <c r="I845">
        <v>46.946544000000003</v>
      </c>
      <c r="J845">
        <v>-122.614648</v>
      </c>
      <c r="K845" t="s">
        <v>3936</v>
      </c>
      <c r="L845" t="s">
        <v>3946</v>
      </c>
      <c r="M845" t="s">
        <v>4900</v>
      </c>
      <c r="N845" t="s">
        <v>4904</v>
      </c>
      <c r="P845" t="s">
        <v>3928</v>
      </c>
    </row>
    <row r="846" spans="1:16" x14ac:dyDescent="0.2">
      <c r="A846" t="s">
        <v>1899</v>
      </c>
      <c r="B846" t="s">
        <v>3452</v>
      </c>
      <c r="C846" t="s">
        <v>66</v>
      </c>
      <c r="D846" t="s">
        <v>2307</v>
      </c>
      <c r="E846">
        <v>98109</v>
      </c>
      <c r="F846" t="s">
        <v>1604</v>
      </c>
      <c r="G846" t="s">
        <v>1971</v>
      </c>
      <c r="H846" t="s">
        <v>4005</v>
      </c>
      <c r="I846">
        <v>47.623528</v>
      </c>
      <c r="J846">
        <v>-122.355621</v>
      </c>
      <c r="K846" t="s">
        <v>3936</v>
      </c>
      <c r="L846" t="s">
        <v>3946</v>
      </c>
      <c r="M846" t="s">
        <v>4905</v>
      </c>
      <c r="P846" t="s">
        <v>3452</v>
      </c>
    </row>
    <row r="847" spans="1:16" x14ac:dyDescent="0.2">
      <c r="A847" t="s">
        <v>1580</v>
      </c>
      <c r="B847" t="s">
        <v>3534</v>
      </c>
      <c r="C847" t="s">
        <v>66</v>
      </c>
      <c r="D847" t="s">
        <v>2307</v>
      </c>
      <c r="E847">
        <v>98102</v>
      </c>
      <c r="F847" t="s">
        <v>1575</v>
      </c>
      <c r="G847" t="s">
        <v>1982</v>
      </c>
      <c r="H847" t="s">
        <v>5497</v>
      </c>
      <c r="I847">
        <v>47.620139000000002</v>
      </c>
      <c r="J847">
        <v>-122.321034</v>
      </c>
      <c r="K847" t="s">
        <v>3936</v>
      </c>
      <c r="L847" t="s">
        <v>3946</v>
      </c>
      <c r="M847" t="s">
        <v>4905</v>
      </c>
      <c r="P847" t="s">
        <v>3534</v>
      </c>
    </row>
    <row r="848" spans="1:16" x14ac:dyDescent="0.2">
      <c r="A848" t="s">
        <v>1581</v>
      </c>
      <c r="B848" t="s">
        <v>3535</v>
      </c>
      <c r="C848" t="s">
        <v>66</v>
      </c>
      <c r="D848" t="s">
        <v>2307</v>
      </c>
      <c r="E848">
        <v>98122</v>
      </c>
      <c r="F848" t="s">
        <v>1575</v>
      </c>
      <c r="G848" t="s">
        <v>1973</v>
      </c>
      <c r="H848" t="s">
        <v>4038</v>
      </c>
      <c r="I848">
        <v>47.617989999999999</v>
      </c>
      <c r="J848">
        <v>-122.32105</v>
      </c>
      <c r="K848" t="s">
        <v>3936</v>
      </c>
      <c r="L848" t="s">
        <v>3946</v>
      </c>
      <c r="M848" t="s">
        <v>4905</v>
      </c>
      <c r="P848" t="s">
        <v>3535</v>
      </c>
    </row>
    <row r="849" spans="1:16" x14ac:dyDescent="0.2">
      <c r="A849" t="s">
        <v>1586</v>
      </c>
      <c r="B849" t="s">
        <v>3536</v>
      </c>
      <c r="C849" t="s">
        <v>66</v>
      </c>
      <c r="D849" t="s">
        <v>2307</v>
      </c>
      <c r="E849">
        <v>98122</v>
      </c>
      <c r="F849" t="s">
        <v>1587</v>
      </c>
      <c r="G849" t="s">
        <v>1973</v>
      </c>
      <c r="H849" t="s">
        <v>4039</v>
      </c>
      <c r="I849">
        <v>47.614221999999998</v>
      </c>
      <c r="J849">
        <v>-122.323041</v>
      </c>
      <c r="K849" t="s">
        <v>3936</v>
      </c>
      <c r="L849" t="s">
        <v>3946</v>
      </c>
      <c r="M849" t="s">
        <v>4905</v>
      </c>
      <c r="P849" t="s">
        <v>3536</v>
      </c>
    </row>
    <row r="850" spans="1:16" x14ac:dyDescent="0.2">
      <c r="A850" t="s">
        <v>1586</v>
      </c>
      <c r="B850" t="s">
        <v>3545</v>
      </c>
      <c r="C850" t="s">
        <v>66</v>
      </c>
      <c r="D850" t="s">
        <v>2307</v>
      </c>
      <c r="E850">
        <v>98104</v>
      </c>
      <c r="F850" t="s">
        <v>1587</v>
      </c>
      <c r="G850" t="s">
        <v>1973</v>
      </c>
      <c r="H850" t="s">
        <v>4044</v>
      </c>
      <c r="I850">
        <v>47.601636999999997</v>
      </c>
      <c r="J850">
        <v>-122.334318</v>
      </c>
      <c r="K850" t="s">
        <v>3936</v>
      </c>
      <c r="L850" t="s">
        <v>3946</v>
      </c>
      <c r="M850" t="s">
        <v>4905</v>
      </c>
      <c r="P850" t="s">
        <v>3545</v>
      </c>
    </row>
    <row r="851" spans="1:16" x14ac:dyDescent="0.2">
      <c r="A851" t="s">
        <v>1914</v>
      </c>
      <c r="B851" t="s">
        <v>3468</v>
      </c>
      <c r="C851" t="s">
        <v>66</v>
      </c>
      <c r="D851" t="s">
        <v>2307</v>
      </c>
      <c r="E851">
        <v>98105</v>
      </c>
      <c r="F851" t="s">
        <v>1658</v>
      </c>
      <c r="G851" t="s">
        <v>1980</v>
      </c>
      <c r="H851" t="s">
        <v>5498</v>
      </c>
      <c r="I851">
        <v>47.658645999999997</v>
      </c>
      <c r="J851">
        <v>-122.312978</v>
      </c>
      <c r="K851" t="s">
        <v>3936</v>
      </c>
      <c r="L851" t="s">
        <v>3946</v>
      </c>
      <c r="M851" t="s">
        <v>4905</v>
      </c>
      <c r="P851" t="s">
        <v>3468</v>
      </c>
    </row>
    <row r="852" spans="1:16" x14ac:dyDescent="0.2">
      <c r="A852" t="s">
        <v>1916</v>
      </c>
      <c r="B852" t="s">
        <v>3470</v>
      </c>
      <c r="C852" t="s">
        <v>66</v>
      </c>
      <c r="D852" t="s">
        <v>2307</v>
      </c>
      <c r="E852">
        <v>98105</v>
      </c>
      <c r="F852" t="s">
        <v>1604</v>
      </c>
      <c r="G852" t="s">
        <v>1982</v>
      </c>
      <c r="H852" t="s">
        <v>4016</v>
      </c>
      <c r="I852">
        <v>47.663851000000001</v>
      </c>
      <c r="J852">
        <v>-122.317645</v>
      </c>
      <c r="K852" t="s">
        <v>3936</v>
      </c>
      <c r="L852" t="s">
        <v>3946</v>
      </c>
      <c r="M852" t="s">
        <v>4905</v>
      </c>
      <c r="P852" t="s">
        <v>3470</v>
      </c>
    </row>
    <row r="853" spans="1:16" x14ac:dyDescent="0.2">
      <c r="A853" t="s">
        <v>1917</v>
      </c>
      <c r="B853" t="s">
        <v>3471</v>
      </c>
      <c r="C853" t="s">
        <v>66</v>
      </c>
      <c r="D853" t="s">
        <v>2307</v>
      </c>
      <c r="E853">
        <v>98105</v>
      </c>
      <c r="F853" t="s">
        <v>1591</v>
      </c>
      <c r="G853" t="s">
        <v>1969</v>
      </c>
      <c r="H853" t="s">
        <v>4017</v>
      </c>
      <c r="I853">
        <v>47.664136999999997</v>
      </c>
      <c r="J853">
        <v>-122.314402</v>
      </c>
      <c r="K853" t="s">
        <v>3936</v>
      </c>
      <c r="L853" t="s">
        <v>3946</v>
      </c>
      <c r="M853" t="s">
        <v>4905</v>
      </c>
      <c r="P853" t="s">
        <v>3471</v>
      </c>
    </row>
    <row r="854" spans="1:16" x14ac:dyDescent="0.2">
      <c r="A854" t="s">
        <v>1611</v>
      </c>
      <c r="B854" t="s">
        <v>3557</v>
      </c>
      <c r="C854" t="s">
        <v>66</v>
      </c>
      <c r="D854" t="s">
        <v>2307</v>
      </c>
      <c r="E854">
        <v>98105</v>
      </c>
      <c r="F854" t="s">
        <v>1591</v>
      </c>
      <c r="G854" t="s">
        <v>1969</v>
      </c>
      <c r="H854" t="s">
        <v>5499</v>
      </c>
      <c r="I854">
        <v>47.663781</v>
      </c>
      <c r="J854">
        <v>-122.313275</v>
      </c>
      <c r="K854" t="s">
        <v>3936</v>
      </c>
      <c r="L854" t="s">
        <v>3946</v>
      </c>
      <c r="M854" t="s">
        <v>4905</v>
      </c>
      <c r="P854" t="s">
        <v>3557</v>
      </c>
    </row>
    <row r="855" spans="1:16" x14ac:dyDescent="0.2">
      <c r="A855" t="s">
        <v>1918</v>
      </c>
      <c r="B855" t="s">
        <v>3472</v>
      </c>
      <c r="C855" t="s">
        <v>66</v>
      </c>
      <c r="D855" t="s">
        <v>2307</v>
      </c>
      <c r="E855">
        <v>98105</v>
      </c>
      <c r="F855" t="s">
        <v>1575</v>
      </c>
      <c r="G855" t="s">
        <v>1982</v>
      </c>
      <c r="H855" t="s">
        <v>4976</v>
      </c>
      <c r="I855">
        <v>47.665354000000001</v>
      </c>
      <c r="J855">
        <v>-122.312866</v>
      </c>
      <c r="K855" t="s">
        <v>3936</v>
      </c>
      <c r="L855" t="s">
        <v>3946</v>
      </c>
      <c r="M855" t="s">
        <v>4905</v>
      </c>
      <c r="P855" t="s">
        <v>3472</v>
      </c>
    </row>
    <row r="856" spans="1:16" x14ac:dyDescent="0.2">
      <c r="A856" t="s">
        <v>1919</v>
      </c>
      <c r="B856" t="s">
        <v>3474</v>
      </c>
      <c r="C856" t="s">
        <v>66</v>
      </c>
      <c r="D856" t="s">
        <v>2307</v>
      </c>
      <c r="E856">
        <v>98105</v>
      </c>
      <c r="F856" t="s">
        <v>1575</v>
      </c>
      <c r="G856" t="s">
        <v>1982</v>
      </c>
      <c r="H856" t="s">
        <v>4018</v>
      </c>
      <c r="I856">
        <v>47.668729999999996</v>
      </c>
      <c r="J856">
        <v>-122.31752400000001</v>
      </c>
      <c r="K856" t="s">
        <v>3936</v>
      </c>
      <c r="L856" t="s">
        <v>3946</v>
      </c>
      <c r="M856" t="s">
        <v>4905</v>
      </c>
      <c r="P856" t="s">
        <v>3474</v>
      </c>
    </row>
    <row r="857" spans="1:16" x14ac:dyDescent="0.2">
      <c r="A857" t="s">
        <v>1618</v>
      </c>
      <c r="B857" t="s">
        <v>3565</v>
      </c>
      <c r="C857" t="s">
        <v>66</v>
      </c>
      <c r="D857" t="s">
        <v>2307</v>
      </c>
      <c r="E857">
        <v>98115</v>
      </c>
      <c r="F857" t="s">
        <v>1575</v>
      </c>
      <c r="G857" t="s">
        <v>1982</v>
      </c>
      <c r="H857" t="s">
        <v>5179</v>
      </c>
      <c r="I857">
        <v>47.675967999999997</v>
      </c>
      <c r="J857">
        <v>-122.317228</v>
      </c>
      <c r="K857" t="s">
        <v>3936</v>
      </c>
      <c r="L857" t="s">
        <v>3946</v>
      </c>
      <c r="M857" t="s">
        <v>4905</v>
      </c>
      <c r="P857" t="s">
        <v>3565</v>
      </c>
    </row>
    <row r="858" spans="1:16" x14ac:dyDescent="0.2">
      <c r="A858" t="s">
        <v>1627</v>
      </c>
      <c r="B858" t="s">
        <v>3574</v>
      </c>
      <c r="C858" t="s">
        <v>66</v>
      </c>
      <c r="D858" t="s">
        <v>2307</v>
      </c>
      <c r="E858">
        <v>98103</v>
      </c>
      <c r="F858" t="s">
        <v>1583</v>
      </c>
      <c r="G858" t="s">
        <v>1980</v>
      </c>
      <c r="H858" t="s">
        <v>5500</v>
      </c>
      <c r="I858">
        <v>47.688507999999999</v>
      </c>
      <c r="J858">
        <v>-122.355249</v>
      </c>
      <c r="K858" t="s">
        <v>3936</v>
      </c>
      <c r="L858" t="s">
        <v>3946</v>
      </c>
      <c r="M858" t="s">
        <v>4905</v>
      </c>
      <c r="P858" t="s">
        <v>3574</v>
      </c>
    </row>
    <row r="859" spans="1:16" x14ac:dyDescent="0.2">
      <c r="A859" t="s">
        <v>1923</v>
      </c>
      <c r="B859" t="s">
        <v>3478</v>
      </c>
      <c r="C859" t="s">
        <v>66</v>
      </c>
      <c r="D859" t="s">
        <v>2307</v>
      </c>
      <c r="E859">
        <v>98103</v>
      </c>
      <c r="F859" t="s">
        <v>1575</v>
      </c>
      <c r="G859" t="s">
        <v>1983</v>
      </c>
      <c r="H859" t="s">
        <v>5501</v>
      </c>
      <c r="I859">
        <v>47.690984999999998</v>
      </c>
      <c r="J859">
        <v>-122.355226</v>
      </c>
      <c r="K859" t="s">
        <v>3936</v>
      </c>
      <c r="L859" t="s">
        <v>3946</v>
      </c>
      <c r="M859" t="s">
        <v>4905</v>
      </c>
      <c r="P859" t="s">
        <v>3478</v>
      </c>
    </row>
    <row r="860" spans="1:16" x14ac:dyDescent="0.2">
      <c r="A860" t="s">
        <v>1586</v>
      </c>
      <c r="B860" t="s">
        <v>3582</v>
      </c>
      <c r="C860" t="s">
        <v>66</v>
      </c>
      <c r="D860" t="s">
        <v>2307</v>
      </c>
      <c r="E860">
        <v>98116</v>
      </c>
      <c r="F860" t="s">
        <v>1575</v>
      </c>
      <c r="G860" t="s">
        <v>1973</v>
      </c>
      <c r="H860" t="s">
        <v>4057</v>
      </c>
      <c r="I860">
        <v>47.562435000000001</v>
      </c>
      <c r="J860">
        <v>-122.38665399999999</v>
      </c>
      <c r="K860" t="s">
        <v>3936</v>
      </c>
      <c r="L860" t="s">
        <v>3946</v>
      </c>
      <c r="M860" t="s">
        <v>4905</v>
      </c>
      <c r="P860" t="s">
        <v>3582</v>
      </c>
    </row>
    <row r="861" spans="1:16" x14ac:dyDescent="0.2">
      <c r="A861" t="s">
        <v>1643</v>
      </c>
      <c r="B861" t="s">
        <v>3589</v>
      </c>
      <c r="C861" t="s">
        <v>66</v>
      </c>
      <c r="D861" t="s">
        <v>2307</v>
      </c>
      <c r="E861">
        <v>98125</v>
      </c>
      <c r="F861" t="s">
        <v>1575</v>
      </c>
      <c r="G861" t="s">
        <v>1989</v>
      </c>
      <c r="H861" t="s">
        <v>5502</v>
      </c>
      <c r="I861">
        <v>47.708469999999998</v>
      </c>
      <c r="J861">
        <v>-122.322199</v>
      </c>
      <c r="K861" t="s">
        <v>3936</v>
      </c>
      <c r="L861" t="s">
        <v>3946</v>
      </c>
      <c r="M861" t="s">
        <v>4905</v>
      </c>
      <c r="P861" t="s">
        <v>3589</v>
      </c>
    </row>
    <row r="862" spans="1:16" x14ac:dyDescent="0.2">
      <c r="A862" t="s">
        <v>1652</v>
      </c>
      <c r="B862" t="s">
        <v>3597</v>
      </c>
      <c r="C862" t="s">
        <v>66</v>
      </c>
      <c r="D862" t="s">
        <v>2307</v>
      </c>
      <c r="E862">
        <v>98125</v>
      </c>
      <c r="F862" t="s">
        <v>1575</v>
      </c>
      <c r="G862" t="s">
        <v>1984</v>
      </c>
      <c r="H862" t="s">
        <v>5181</v>
      </c>
      <c r="I862">
        <v>47.718195999999999</v>
      </c>
      <c r="J862">
        <v>-122.318285</v>
      </c>
      <c r="K862" t="s">
        <v>3936</v>
      </c>
      <c r="L862" t="s">
        <v>3946</v>
      </c>
      <c r="M862" t="s">
        <v>4905</v>
      </c>
      <c r="P862" t="s">
        <v>3597</v>
      </c>
    </row>
    <row r="863" spans="1:16" x14ac:dyDescent="0.2">
      <c r="A863" t="s">
        <v>1927</v>
      </c>
      <c r="B863" t="s">
        <v>3483</v>
      </c>
      <c r="C863" t="s">
        <v>2502</v>
      </c>
      <c r="D863" t="s">
        <v>2307</v>
      </c>
      <c r="E863">
        <v>98004</v>
      </c>
      <c r="F863" t="s">
        <v>1604</v>
      </c>
      <c r="G863" t="s">
        <v>1971</v>
      </c>
      <c r="H863" t="s">
        <v>4019</v>
      </c>
      <c r="I863">
        <v>47.618678000000003</v>
      </c>
      <c r="J863">
        <v>-122.193416</v>
      </c>
      <c r="K863" t="s">
        <v>3936</v>
      </c>
      <c r="L863" t="s">
        <v>3946</v>
      </c>
      <c r="M863" t="s">
        <v>4905</v>
      </c>
      <c r="P863" t="s">
        <v>3483</v>
      </c>
    </row>
    <row r="864" spans="1:16" x14ac:dyDescent="0.2">
      <c r="A864" t="s">
        <v>1663</v>
      </c>
      <c r="B864" t="s">
        <v>3610</v>
      </c>
      <c r="C864" t="s">
        <v>386</v>
      </c>
      <c r="D864" t="s">
        <v>2307</v>
      </c>
      <c r="E864">
        <v>98133</v>
      </c>
      <c r="F864" t="s">
        <v>1575</v>
      </c>
      <c r="G864" t="s">
        <v>1973</v>
      </c>
      <c r="H864" t="s">
        <v>5503</v>
      </c>
      <c r="I864">
        <v>47.735666999999999</v>
      </c>
      <c r="J864">
        <v>-122.345304</v>
      </c>
      <c r="K864" t="s">
        <v>3936</v>
      </c>
      <c r="L864" t="s">
        <v>3946</v>
      </c>
      <c r="M864" t="s">
        <v>4905</v>
      </c>
      <c r="P864" t="s">
        <v>3610</v>
      </c>
    </row>
    <row r="865" spans="1:16" x14ac:dyDescent="0.2">
      <c r="A865" t="s">
        <v>1930</v>
      </c>
      <c r="B865" t="s">
        <v>3486</v>
      </c>
      <c r="C865" t="s">
        <v>2502</v>
      </c>
      <c r="D865" t="s">
        <v>2307</v>
      </c>
      <c r="E865">
        <v>98005</v>
      </c>
      <c r="F865" t="s">
        <v>1604</v>
      </c>
      <c r="G865" t="s">
        <v>1979</v>
      </c>
      <c r="H865" t="s">
        <v>5504</v>
      </c>
      <c r="I865">
        <v>47.616816999999998</v>
      </c>
      <c r="J865">
        <v>-122.18051</v>
      </c>
      <c r="K865" t="s">
        <v>3936</v>
      </c>
      <c r="L865" t="s">
        <v>3946</v>
      </c>
      <c r="M865" t="s">
        <v>4905</v>
      </c>
      <c r="P865" t="s">
        <v>5706</v>
      </c>
    </row>
    <row r="866" spans="1:16" x14ac:dyDescent="0.2">
      <c r="A866" t="s">
        <v>1666</v>
      </c>
      <c r="B866" t="s">
        <v>3613</v>
      </c>
      <c r="C866" t="s">
        <v>66</v>
      </c>
      <c r="D866" t="s">
        <v>2307</v>
      </c>
      <c r="E866">
        <v>98155</v>
      </c>
      <c r="F866" t="s">
        <v>1575</v>
      </c>
      <c r="G866" t="s">
        <v>1973</v>
      </c>
      <c r="H866" t="s">
        <v>4977</v>
      </c>
      <c r="I866">
        <v>47.734822000000001</v>
      </c>
      <c r="J866">
        <v>-122.292694</v>
      </c>
      <c r="K866" t="s">
        <v>3936</v>
      </c>
      <c r="L866" t="s">
        <v>3946</v>
      </c>
      <c r="M866" t="s">
        <v>4905</v>
      </c>
      <c r="P866" t="s">
        <v>3613</v>
      </c>
    </row>
    <row r="867" spans="1:16" x14ac:dyDescent="0.2">
      <c r="A867" t="s">
        <v>5182</v>
      </c>
      <c r="B867" t="s">
        <v>5183</v>
      </c>
      <c r="C867" t="s">
        <v>2502</v>
      </c>
      <c r="D867" t="s">
        <v>2307</v>
      </c>
      <c r="E867">
        <v>98006</v>
      </c>
      <c r="F867" t="s">
        <v>1604</v>
      </c>
      <c r="G867" t="s">
        <v>1982</v>
      </c>
      <c r="H867" t="s">
        <v>5505</v>
      </c>
      <c r="I867">
        <v>47.575941999999998</v>
      </c>
      <c r="J867">
        <v>-122.16901900000001</v>
      </c>
      <c r="K867" t="s">
        <v>3936</v>
      </c>
      <c r="L867" t="s">
        <v>3946</v>
      </c>
      <c r="M867" t="s">
        <v>4905</v>
      </c>
      <c r="P867" t="s">
        <v>5183</v>
      </c>
    </row>
    <row r="868" spans="1:16" x14ac:dyDescent="0.2">
      <c r="A868" t="s">
        <v>1914</v>
      </c>
      <c r="B868" t="s">
        <v>3489</v>
      </c>
      <c r="C868" t="s">
        <v>2502</v>
      </c>
      <c r="D868" t="s">
        <v>2307</v>
      </c>
      <c r="E868">
        <v>98007</v>
      </c>
      <c r="F868" t="s">
        <v>1658</v>
      </c>
      <c r="G868" t="s">
        <v>1980</v>
      </c>
      <c r="H868" t="s">
        <v>5506</v>
      </c>
      <c r="I868">
        <v>47.627828000000001</v>
      </c>
      <c r="J868">
        <v>-122.151315</v>
      </c>
      <c r="K868" t="s">
        <v>3936</v>
      </c>
      <c r="L868" t="s">
        <v>3946</v>
      </c>
      <c r="M868" t="s">
        <v>4905</v>
      </c>
      <c r="P868" t="s">
        <v>3489</v>
      </c>
    </row>
    <row r="869" spans="1:16" x14ac:dyDescent="0.2">
      <c r="A869" t="s">
        <v>1688</v>
      </c>
      <c r="B869" t="s">
        <v>3637</v>
      </c>
      <c r="C869" t="s">
        <v>2586</v>
      </c>
      <c r="D869" t="s">
        <v>2307</v>
      </c>
      <c r="E869">
        <v>98052</v>
      </c>
      <c r="F869" t="s">
        <v>1583</v>
      </c>
      <c r="G869" t="s">
        <v>1980</v>
      </c>
      <c r="H869" t="s">
        <v>5184</v>
      </c>
      <c r="I869">
        <v>47.631700000000002</v>
      </c>
      <c r="J869">
        <v>-122.136556</v>
      </c>
      <c r="K869" t="s">
        <v>3936</v>
      </c>
      <c r="L869" t="s">
        <v>3946</v>
      </c>
      <c r="M869" t="s">
        <v>4905</v>
      </c>
      <c r="P869" t="s">
        <v>3637</v>
      </c>
    </row>
    <row r="870" spans="1:16" x14ac:dyDescent="0.2">
      <c r="A870" t="s">
        <v>1690</v>
      </c>
      <c r="B870" t="s">
        <v>3639</v>
      </c>
      <c r="C870" t="s">
        <v>2502</v>
      </c>
      <c r="D870" t="s">
        <v>2307</v>
      </c>
      <c r="E870">
        <v>98007</v>
      </c>
      <c r="F870" t="s">
        <v>1604</v>
      </c>
      <c r="G870" t="s">
        <v>1984</v>
      </c>
      <c r="H870" t="s">
        <v>5185</v>
      </c>
      <c r="I870">
        <v>47.581364000000001</v>
      </c>
      <c r="J870">
        <v>-122.141571</v>
      </c>
      <c r="K870" t="s">
        <v>3936</v>
      </c>
      <c r="L870" t="s">
        <v>3946</v>
      </c>
      <c r="M870" t="s">
        <v>4905</v>
      </c>
      <c r="P870" t="s">
        <v>5662</v>
      </c>
    </row>
    <row r="871" spans="1:16" x14ac:dyDescent="0.2">
      <c r="A871" t="s">
        <v>1697</v>
      </c>
      <c r="B871" t="s">
        <v>3494</v>
      </c>
      <c r="C871" t="s">
        <v>2586</v>
      </c>
      <c r="D871" t="s">
        <v>2307</v>
      </c>
      <c r="E871">
        <v>98052</v>
      </c>
      <c r="F871" t="s">
        <v>1577</v>
      </c>
      <c r="G871" t="s">
        <v>1973</v>
      </c>
      <c r="H871" t="s">
        <v>4083</v>
      </c>
      <c r="I871">
        <v>47.670568000000003</v>
      </c>
      <c r="J871">
        <v>-122.12035899999999</v>
      </c>
      <c r="K871" t="s">
        <v>3936</v>
      </c>
      <c r="L871" t="s">
        <v>3946</v>
      </c>
      <c r="M871" t="s">
        <v>4905</v>
      </c>
      <c r="P871" t="s">
        <v>3494</v>
      </c>
    </row>
    <row r="872" spans="1:16" x14ac:dyDescent="0.2">
      <c r="A872" t="s">
        <v>1942</v>
      </c>
      <c r="B872" t="s">
        <v>3503</v>
      </c>
      <c r="C872" t="s">
        <v>2636</v>
      </c>
      <c r="D872" t="s">
        <v>2307</v>
      </c>
      <c r="E872">
        <v>98188</v>
      </c>
      <c r="F872" t="s">
        <v>1575</v>
      </c>
      <c r="G872" t="s">
        <v>1968</v>
      </c>
      <c r="H872" t="s">
        <v>4023</v>
      </c>
      <c r="I872">
        <v>47.451985000000001</v>
      </c>
      <c r="J872">
        <v>-122.262263</v>
      </c>
      <c r="K872" t="s">
        <v>3936</v>
      </c>
      <c r="L872" t="s">
        <v>3946</v>
      </c>
      <c r="M872" t="s">
        <v>4905</v>
      </c>
      <c r="P872" t="s">
        <v>3503</v>
      </c>
    </row>
    <row r="873" spans="1:16" x14ac:dyDescent="0.2">
      <c r="A873" t="s">
        <v>1944</v>
      </c>
      <c r="B873" t="s">
        <v>3505</v>
      </c>
      <c r="C873" t="s">
        <v>2717</v>
      </c>
      <c r="D873" t="s">
        <v>2307</v>
      </c>
      <c r="E873">
        <v>98036</v>
      </c>
      <c r="F873" t="s">
        <v>1591</v>
      </c>
      <c r="G873" t="s">
        <v>1969</v>
      </c>
      <c r="H873" t="s">
        <v>4024</v>
      </c>
      <c r="I873">
        <v>47.817210000000003</v>
      </c>
      <c r="J873">
        <v>-122.293935</v>
      </c>
      <c r="K873" t="s">
        <v>3936</v>
      </c>
      <c r="L873" t="s">
        <v>3946</v>
      </c>
      <c r="M873" t="s">
        <v>4905</v>
      </c>
      <c r="P873" t="s">
        <v>5748</v>
      </c>
    </row>
    <row r="874" spans="1:16" x14ac:dyDescent="0.2">
      <c r="A874" t="s">
        <v>1944</v>
      </c>
      <c r="B874" t="s">
        <v>3506</v>
      </c>
      <c r="C874" t="s">
        <v>2717</v>
      </c>
      <c r="D874" t="s">
        <v>2307</v>
      </c>
      <c r="E874">
        <v>98036</v>
      </c>
      <c r="F874" t="s">
        <v>1575</v>
      </c>
      <c r="G874" t="s">
        <v>1983</v>
      </c>
      <c r="H874" t="s">
        <v>5186</v>
      </c>
      <c r="I874">
        <v>47.817210000000003</v>
      </c>
      <c r="J874">
        <v>-122.293935</v>
      </c>
      <c r="K874" t="s">
        <v>3936</v>
      </c>
      <c r="L874" t="s">
        <v>3946</v>
      </c>
      <c r="M874" t="s">
        <v>4905</v>
      </c>
      <c r="P874" t="s">
        <v>5749</v>
      </c>
    </row>
    <row r="875" spans="1:16" x14ac:dyDescent="0.2">
      <c r="A875" t="s">
        <v>1945</v>
      </c>
      <c r="B875" t="s">
        <v>3507</v>
      </c>
      <c r="C875" t="s">
        <v>2548</v>
      </c>
      <c r="D875" t="s">
        <v>2307</v>
      </c>
      <c r="E875">
        <v>98012</v>
      </c>
      <c r="F875" t="s">
        <v>1575</v>
      </c>
      <c r="G875" t="s">
        <v>1973</v>
      </c>
      <c r="H875" t="s">
        <v>4025</v>
      </c>
      <c r="I875">
        <v>47.821648000000003</v>
      </c>
      <c r="J875">
        <v>-122.20724800000001</v>
      </c>
      <c r="K875" t="s">
        <v>3936</v>
      </c>
      <c r="L875" t="s">
        <v>3946</v>
      </c>
      <c r="M875" t="s">
        <v>4905</v>
      </c>
      <c r="P875" t="s">
        <v>5707</v>
      </c>
    </row>
    <row r="876" spans="1:16" x14ac:dyDescent="0.2">
      <c r="A876" t="s">
        <v>1627</v>
      </c>
      <c r="B876" t="s">
        <v>3733</v>
      </c>
      <c r="C876" t="s">
        <v>2717</v>
      </c>
      <c r="D876" t="s">
        <v>2307</v>
      </c>
      <c r="E876">
        <v>98087</v>
      </c>
      <c r="F876" t="s">
        <v>1604</v>
      </c>
      <c r="G876" t="s">
        <v>1974</v>
      </c>
      <c r="H876" t="s">
        <v>5507</v>
      </c>
      <c r="I876">
        <v>47.849558999999999</v>
      </c>
      <c r="J876">
        <v>-122.248942</v>
      </c>
      <c r="K876" t="s">
        <v>3936</v>
      </c>
      <c r="L876" t="s">
        <v>3946</v>
      </c>
      <c r="M876" t="s">
        <v>4905</v>
      </c>
      <c r="P876" t="s">
        <v>3733</v>
      </c>
    </row>
    <row r="877" spans="1:16" x14ac:dyDescent="0.2">
      <c r="A877" t="s">
        <v>1778</v>
      </c>
      <c r="B877" t="s">
        <v>3757</v>
      </c>
      <c r="C877" t="s">
        <v>2780</v>
      </c>
      <c r="D877" t="s">
        <v>2307</v>
      </c>
      <c r="E877">
        <v>98030</v>
      </c>
      <c r="F877" t="s">
        <v>1575</v>
      </c>
      <c r="G877" t="s">
        <v>1973</v>
      </c>
      <c r="H877" t="s">
        <v>5187</v>
      </c>
      <c r="I877">
        <v>47.385756999999998</v>
      </c>
      <c r="J877">
        <v>-122.202434</v>
      </c>
      <c r="K877" t="s">
        <v>3936</v>
      </c>
      <c r="L877" t="s">
        <v>3946</v>
      </c>
      <c r="M877" t="s">
        <v>4905</v>
      </c>
      <c r="P877" t="s">
        <v>5708</v>
      </c>
    </row>
    <row r="878" spans="1:16" x14ac:dyDescent="0.2">
      <c r="A878" t="s">
        <v>6252</v>
      </c>
      <c r="B878" t="s">
        <v>2310</v>
      </c>
      <c r="C878" t="s">
        <v>66</v>
      </c>
      <c r="D878" t="s">
        <v>2307</v>
      </c>
      <c r="E878">
        <v>98109</v>
      </c>
      <c r="F878" t="s">
        <v>1585</v>
      </c>
      <c r="G878" t="s">
        <v>1988</v>
      </c>
      <c r="H878" t="s">
        <v>4242</v>
      </c>
      <c r="I878">
        <v>47.621972999999997</v>
      </c>
      <c r="J878">
        <v>-122.348398</v>
      </c>
      <c r="K878" t="s">
        <v>3936</v>
      </c>
      <c r="L878" t="s">
        <v>3946</v>
      </c>
      <c r="M878" t="s">
        <v>4906</v>
      </c>
      <c r="P878" t="s">
        <v>2310</v>
      </c>
    </row>
    <row r="879" spans="1:16" x14ac:dyDescent="0.2">
      <c r="A879" t="s">
        <v>1570</v>
      </c>
      <c r="B879" t="s">
        <v>3531</v>
      </c>
      <c r="C879" t="s">
        <v>66</v>
      </c>
      <c r="D879" t="s">
        <v>2307</v>
      </c>
      <c r="E879">
        <v>98109</v>
      </c>
      <c r="F879" t="s">
        <v>1571</v>
      </c>
      <c r="G879" t="s">
        <v>1982</v>
      </c>
      <c r="H879" t="s">
        <v>4034</v>
      </c>
      <c r="I879">
        <v>47.620609999999999</v>
      </c>
      <c r="J879">
        <v>-122.331315</v>
      </c>
      <c r="K879" t="s">
        <v>3936</v>
      </c>
      <c r="L879" t="s">
        <v>3946</v>
      </c>
      <c r="M879" t="s">
        <v>4906</v>
      </c>
      <c r="P879" t="s">
        <v>3531</v>
      </c>
    </row>
    <row r="880" spans="1:16" x14ac:dyDescent="0.2">
      <c r="A880" t="s">
        <v>1898</v>
      </c>
      <c r="B880" t="s">
        <v>6253</v>
      </c>
      <c r="C880" t="s">
        <v>66</v>
      </c>
      <c r="D880" t="s">
        <v>2307</v>
      </c>
      <c r="E880">
        <v>98109</v>
      </c>
      <c r="F880" t="s">
        <v>1604</v>
      </c>
      <c r="G880" t="s">
        <v>1971</v>
      </c>
      <c r="H880" t="s">
        <v>4004</v>
      </c>
      <c r="I880">
        <v>47.632741000000003</v>
      </c>
      <c r="J880">
        <v>-122.35678</v>
      </c>
      <c r="K880" t="s">
        <v>3936</v>
      </c>
      <c r="L880" t="s">
        <v>3946</v>
      </c>
      <c r="M880" t="s">
        <v>4906</v>
      </c>
      <c r="P880" t="s">
        <v>6053</v>
      </c>
    </row>
    <row r="881" spans="1:16" x14ac:dyDescent="0.2">
      <c r="A881" t="s">
        <v>1901</v>
      </c>
      <c r="B881" t="s">
        <v>3455</v>
      </c>
      <c r="C881" t="s">
        <v>66</v>
      </c>
      <c r="D881" t="s">
        <v>2307</v>
      </c>
      <c r="E881">
        <v>98109</v>
      </c>
      <c r="F881" t="s">
        <v>1604</v>
      </c>
      <c r="G881" t="s">
        <v>1973</v>
      </c>
      <c r="H881" t="s">
        <v>5188</v>
      </c>
      <c r="I881">
        <v>47.637574000000001</v>
      </c>
      <c r="J881">
        <v>-122.356736</v>
      </c>
      <c r="K881" t="s">
        <v>3936</v>
      </c>
      <c r="L881" t="s">
        <v>3946</v>
      </c>
      <c r="M881" t="s">
        <v>4906</v>
      </c>
      <c r="P881" t="s">
        <v>3455</v>
      </c>
    </row>
    <row r="882" spans="1:16" x14ac:dyDescent="0.2">
      <c r="A882" t="s">
        <v>1902</v>
      </c>
      <c r="B882" t="s">
        <v>3456</v>
      </c>
      <c r="C882" t="s">
        <v>66</v>
      </c>
      <c r="D882" t="s">
        <v>2307</v>
      </c>
      <c r="E882">
        <v>98121</v>
      </c>
      <c r="F882" t="s">
        <v>1604</v>
      </c>
      <c r="G882" t="s">
        <v>1968</v>
      </c>
      <c r="H882" t="s">
        <v>5508</v>
      </c>
      <c r="I882">
        <v>47.615983</v>
      </c>
      <c r="J882">
        <v>-122.343369</v>
      </c>
      <c r="K882" t="s">
        <v>3936</v>
      </c>
      <c r="L882" t="s">
        <v>3946</v>
      </c>
      <c r="M882" t="s">
        <v>4906</v>
      </c>
      <c r="P882" t="s">
        <v>3456</v>
      </c>
    </row>
    <row r="883" spans="1:16" x14ac:dyDescent="0.2">
      <c r="A883" t="s">
        <v>1584</v>
      </c>
      <c r="B883" t="s">
        <v>3540</v>
      </c>
      <c r="C883" t="s">
        <v>66</v>
      </c>
      <c r="D883" t="s">
        <v>2307</v>
      </c>
      <c r="E883">
        <v>98101</v>
      </c>
      <c r="F883" t="s">
        <v>1585</v>
      </c>
      <c r="G883" t="s">
        <v>1988</v>
      </c>
      <c r="H883" t="s">
        <v>4041</v>
      </c>
      <c r="I883">
        <v>47.608744000000002</v>
      </c>
      <c r="J883">
        <v>-122.333759</v>
      </c>
      <c r="K883" t="s">
        <v>3936</v>
      </c>
      <c r="L883" t="s">
        <v>3946</v>
      </c>
      <c r="M883" t="s">
        <v>4906</v>
      </c>
      <c r="P883" t="s">
        <v>3540</v>
      </c>
    </row>
    <row r="884" spans="1:16" x14ac:dyDescent="0.2">
      <c r="A884" t="s">
        <v>1570</v>
      </c>
      <c r="B884" t="s">
        <v>3541</v>
      </c>
      <c r="C884" t="s">
        <v>66</v>
      </c>
      <c r="D884" t="s">
        <v>2307</v>
      </c>
      <c r="E884">
        <v>98104</v>
      </c>
      <c r="F884" t="s">
        <v>1571</v>
      </c>
      <c r="G884" t="s">
        <v>1982</v>
      </c>
      <c r="H884" t="s">
        <v>4042</v>
      </c>
      <c r="I884">
        <v>47.610633</v>
      </c>
      <c r="J884">
        <v>-122.32248</v>
      </c>
      <c r="K884" t="s">
        <v>3936</v>
      </c>
      <c r="L884" t="s">
        <v>3946</v>
      </c>
      <c r="M884" t="s">
        <v>4906</v>
      </c>
      <c r="P884" t="s">
        <v>3541</v>
      </c>
    </row>
    <row r="885" spans="1:16" x14ac:dyDescent="0.2">
      <c r="A885" t="s">
        <v>1596</v>
      </c>
      <c r="B885" t="s">
        <v>3544</v>
      </c>
      <c r="C885" t="s">
        <v>66</v>
      </c>
      <c r="D885" t="s">
        <v>2307</v>
      </c>
      <c r="E885">
        <v>98103</v>
      </c>
      <c r="F885" t="s">
        <v>1591</v>
      </c>
      <c r="G885" t="s">
        <v>1969</v>
      </c>
      <c r="H885" t="s">
        <v>5510</v>
      </c>
      <c r="I885">
        <v>47.653616999999997</v>
      </c>
      <c r="J885">
        <v>-122.359437</v>
      </c>
      <c r="K885" t="s">
        <v>3936</v>
      </c>
      <c r="L885" t="s">
        <v>3946</v>
      </c>
      <c r="M885" t="s">
        <v>4906</v>
      </c>
      <c r="P885" t="s">
        <v>3544</v>
      </c>
    </row>
    <row r="886" spans="1:16" x14ac:dyDescent="0.2">
      <c r="A886" t="s">
        <v>2045</v>
      </c>
      <c r="B886" t="s">
        <v>2382</v>
      </c>
      <c r="C886" t="s">
        <v>66</v>
      </c>
      <c r="D886" t="s">
        <v>2307</v>
      </c>
      <c r="E886">
        <v>98103</v>
      </c>
      <c r="F886" t="s">
        <v>2019</v>
      </c>
      <c r="G886" t="s">
        <v>2005</v>
      </c>
      <c r="H886" t="s">
        <v>4295</v>
      </c>
      <c r="I886">
        <v>47.661256000000002</v>
      </c>
      <c r="J886">
        <v>-122.33481399999999</v>
      </c>
      <c r="K886" t="s">
        <v>3936</v>
      </c>
      <c r="L886" t="s">
        <v>3946</v>
      </c>
      <c r="M886" t="s">
        <v>4906</v>
      </c>
      <c r="P886" t="s">
        <v>2382</v>
      </c>
    </row>
    <row r="887" spans="1:16" x14ac:dyDescent="0.2">
      <c r="A887" t="s">
        <v>1570</v>
      </c>
      <c r="B887" t="s">
        <v>3558</v>
      </c>
      <c r="C887" t="s">
        <v>66</v>
      </c>
      <c r="D887" t="s">
        <v>2307</v>
      </c>
      <c r="E887">
        <v>98112</v>
      </c>
      <c r="F887" t="s">
        <v>1571</v>
      </c>
      <c r="G887" t="s">
        <v>1982</v>
      </c>
      <c r="H887" t="s">
        <v>4047</v>
      </c>
      <c r="I887">
        <v>47.633705999999997</v>
      </c>
      <c r="J887">
        <v>-122.280764</v>
      </c>
      <c r="K887" t="s">
        <v>3936</v>
      </c>
      <c r="L887" t="s">
        <v>3946</v>
      </c>
      <c r="M887" t="s">
        <v>4906</v>
      </c>
      <c r="P887" t="s">
        <v>3558</v>
      </c>
    </row>
    <row r="888" spans="1:16" x14ac:dyDescent="0.2">
      <c r="A888" t="s">
        <v>1613</v>
      </c>
      <c r="B888" t="s">
        <v>3473</v>
      </c>
      <c r="C888" t="s">
        <v>66</v>
      </c>
      <c r="D888" t="s">
        <v>2307</v>
      </c>
      <c r="E888">
        <v>98199</v>
      </c>
      <c r="F888" t="s">
        <v>1604</v>
      </c>
      <c r="G888" t="s">
        <v>1979</v>
      </c>
      <c r="H888" t="s">
        <v>4979</v>
      </c>
      <c r="I888">
        <v>47.639828999999999</v>
      </c>
      <c r="J888">
        <v>-122.39985299999999</v>
      </c>
      <c r="K888" t="s">
        <v>3936</v>
      </c>
      <c r="L888" t="s">
        <v>3946</v>
      </c>
      <c r="M888" t="s">
        <v>4906</v>
      </c>
      <c r="P888" t="s">
        <v>5750</v>
      </c>
    </row>
    <row r="889" spans="1:16" x14ac:dyDescent="0.2">
      <c r="A889" t="s">
        <v>1621</v>
      </c>
      <c r="B889" t="s">
        <v>3475</v>
      </c>
      <c r="C889" t="s">
        <v>66</v>
      </c>
      <c r="D889" t="s">
        <v>2307</v>
      </c>
      <c r="E889">
        <v>98107</v>
      </c>
      <c r="F889" t="s">
        <v>1573</v>
      </c>
      <c r="G889" t="s">
        <v>1971</v>
      </c>
      <c r="H889" t="s">
        <v>5232</v>
      </c>
      <c r="I889">
        <v>47.668588999999997</v>
      </c>
      <c r="J889">
        <v>-122.386431</v>
      </c>
      <c r="K889" t="s">
        <v>3936</v>
      </c>
      <c r="L889" t="s">
        <v>3946</v>
      </c>
      <c r="M889" t="s">
        <v>4906</v>
      </c>
      <c r="P889" t="s">
        <v>3475</v>
      </c>
    </row>
    <row r="890" spans="1:16" x14ac:dyDescent="0.2">
      <c r="A890" t="s">
        <v>2081</v>
      </c>
      <c r="B890" t="s">
        <v>2438</v>
      </c>
      <c r="C890" t="s">
        <v>66</v>
      </c>
      <c r="D890" t="s">
        <v>2307</v>
      </c>
      <c r="E890">
        <v>98115</v>
      </c>
      <c r="F890" t="s">
        <v>1600</v>
      </c>
      <c r="G890" t="s">
        <v>1968</v>
      </c>
      <c r="H890" t="s">
        <v>4325</v>
      </c>
      <c r="I890">
        <v>47.675820000000002</v>
      </c>
      <c r="J890">
        <v>-122.30162900000001</v>
      </c>
      <c r="K890" t="s">
        <v>3936</v>
      </c>
      <c r="L890" t="s">
        <v>3946</v>
      </c>
      <c r="M890" t="s">
        <v>4906</v>
      </c>
      <c r="P890" t="s">
        <v>2438</v>
      </c>
    </row>
    <row r="891" spans="1:16" x14ac:dyDescent="0.2">
      <c r="A891" t="s">
        <v>1625</v>
      </c>
      <c r="B891" t="s">
        <v>3572</v>
      </c>
      <c r="C891" t="s">
        <v>66</v>
      </c>
      <c r="D891" t="s">
        <v>2307</v>
      </c>
      <c r="E891">
        <v>98103</v>
      </c>
      <c r="F891" t="s">
        <v>1573</v>
      </c>
      <c r="G891" t="s">
        <v>1987</v>
      </c>
      <c r="H891" t="s">
        <v>4054</v>
      </c>
      <c r="I891">
        <v>47.684227</v>
      </c>
      <c r="J891">
        <v>-122.34470399999999</v>
      </c>
      <c r="K891" t="s">
        <v>3936</v>
      </c>
      <c r="L891" t="s">
        <v>3946</v>
      </c>
      <c r="M891" t="s">
        <v>4906</v>
      </c>
      <c r="P891" t="s">
        <v>3572</v>
      </c>
    </row>
    <row r="892" spans="1:16" x14ac:dyDescent="0.2">
      <c r="A892" t="s">
        <v>2088</v>
      </c>
      <c r="B892" t="s">
        <v>2456</v>
      </c>
      <c r="C892" t="s">
        <v>66</v>
      </c>
      <c r="D892" t="s">
        <v>2307</v>
      </c>
      <c r="E892">
        <v>98117</v>
      </c>
      <c r="F892" t="s">
        <v>1591</v>
      </c>
      <c r="G892" t="s">
        <v>1969</v>
      </c>
      <c r="H892" t="s">
        <v>5511</v>
      </c>
      <c r="I892">
        <v>47.690469999999998</v>
      </c>
      <c r="J892">
        <v>-122.361026</v>
      </c>
      <c r="K892" t="s">
        <v>3936</v>
      </c>
      <c r="L892" t="s">
        <v>3946</v>
      </c>
      <c r="M892" t="s">
        <v>4906</v>
      </c>
      <c r="P892" t="s">
        <v>2456</v>
      </c>
    </row>
    <row r="893" spans="1:16" x14ac:dyDescent="0.2">
      <c r="A893" t="s">
        <v>2093</v>
      </c>
      <c r="B893" t="s">
        <v>2459</v>
      </c>
      <c r="C893" t="s">
        <v>66</v>
      </c>
      <c r="D893" t="s">
        <v>2307</v>
      </c>
      <c r="E893">
        <v>98177</v>
      </c>
      <c r="F893" t="s">
        <v>1583</v>
      </c>
      <c r="G893" t="s">
        <v>1980</v>
      </c>
      <c r="H893" t="s">
        <v>4980</v>
      </c>
      <c r="I893">
        <v>47.690776</v>
      </c>
      <c r="J893">
        <v>-122.364829</v>
      </c>
      <c r="K893" t="s">
        <v>3936</v>
      </c>
      <c r="L893" t="s">
        <v>3946</v>
      </c>
      <c r="M893" t="s">
        <v>4906</v>
      </c>
      <c r="P893" t="s">
        <v>2459</v>
      </c>
    </row>
    <row r="894" spans="1:16" x14ac:dyDescent="0.2">
      <c r="A894" t="s">
        <v>2098</v>
      </c>
      <c r="B894" t="s">
        <v>2467</v>
      </c>
      <c r="C894" t="s">
        <v>66</v>
      </c>
      <c r="D894" t="s">
        <v>2307</v>
      </c>
      <c r="E894">
        <v>98133</v>
      </c>
      <c r="F894" t="s">
        <v>1583</v>
      </c>
      <c r="G894" t="s">
        <v>1980</v>
      </c>
      <c r="H894" t="s">
        <v>5189</v>
      </c>
      <c r="I894">
        <v>47.703854999999997</v>
      </c>
      <c r="J894">
        <v>-122.344503</v>
      </c>
      <c r="K894" t="s">
        <v>3936</v>
      </c>
      <c r="L894" t="s">
        <v>3946</v>
      </c>
      <c r="M894" t="s">
        <v>4906</v>
      </c>
      <c r="P894" t="s">
        <v>2467</v>
      </c>
    </row>
    <row r="895" spans="1:16" x14ac:dyDescent="0.2">
      <c r="A895" t="s">
        <v>1636</v>
      </c>
      <c r="B895" t="s">
        <v>3480</v>
      </c>
      <c r="C895" t="s">
        <v>66</v>
      </c>
      <c r="D895" t="s">
        <v>2307</v>
      </c>
      <c r="E895">
        <v>98133</v>
      </c>
      <c r="F895" t="s">
        <v>1591</v>
      </c>
      <c r="G895" t="s">
        <v>1969</v>
      </c>
      <c r="H895" t="s">
        <v>4058</v>
      </c>
      <c r="I895">
        <v>47.704326000000002</v>
      </c>
      <c r="J895">
        <v>-122.356746</v>
      </c>
      <c r="K895" t="s">
        <v>3936</v>
      </c>
      <c r="L895" t="s">
        <v>3946</v>
      </c>
      <c r="M895" t="s">
        <v>4906</v>
      </c>
      <c r="P895" t="s">
        <v>3480</v>
      </c>
    </row>
    <row r="896" spans="1:16" x14ac:dyDescent="0.2">
      <c r="A896" t="s">
        <v>2109</v>
      </c>
      <c r="B896" t="s">
        <v>2493</v>
      </c>
      <c r="C896" t="s">
        <v>66</v>
      </c>
      <c r="D896" t="s">
        <v>2307</v>
      </c>
      <c r="E896">
        <v>98118</v>
      </c>
      <c r="F896" t="s">
        <v>1716</v>
      </c>
      <c r="G896" t="s">
        <v>1981</v>
      </c>
      <c r="H896" t="s">
        <v>4981</v>
      </c>
      <c r="I896">
        <v>47.551793000000004</v>
      </c>
      <c r="J896">
        <v>-122.278193</v>
      </c>
      <c r="K896" t="s">
        <v>3936</v>
      </c>
      <c r="L896" t="s">
        <v>3946</v>
      </c>
      <c r="M896" t="s">
        <v>4906</v>
      </c>
      <c r="P896" t="s">
        <v>2493</v>
      </c>
    </row>
    <row r="897" spans="1:16" x14ac:dyDescent="0.2">
      <c r="A897" t="s">
        <v>1651</v>
      </c>
      <c r="B897" t="s">
        <v>3596</v>
      </c>
      <c r="C897" t="s">
        <v>66</v>
      </c>
      <c r="D897" t="s">
        <v>2307</v>
      </c>
      <c r="E897">
        <v>98125</v>
      </c>
      <c r="F897" t="s">
        <v>1575</v>
      </c>
      <c r="G897" t="s">
        <v>1974</v>
      </c>
      <c r="H897" t="s">
        <v>5512</v>
      </c>
      <c r="I897">
        <v>47.718080999999998</v>
      </c>
      <c r="J897">
        <v>-122.318282</v>
      </c>
      <c r="K897" t="s">
        <v>3936</v>
      </c>
      <c r="L897" t="s">
        <v>3946</v>
      </c>
      <c r="M897" t="s">
        <v>4906</v>
      </c>
      <c r="P897" t="s">
        <v>3596</v>
      </c>
    </row>
    <row r="898" spans="1:16" x14ac:dyDescent="0.2">
      <c r="A898" t="s">
        <v>2115</v>
      </c>
      <c r="B898" t="s">
        <v>2522</v>
      </c>
      <c r="C898" t="s">
        <v>66</v>
      </c>
      <c r="D898" t="s">
        <v>2307</v>
      </c>
      <c r="E898">
        <v>98126</v>
      </c>
      <c r="F898" t="s">
        <v>1585</v>
      </c>
      <c r="G898" t="s">
        <v>1983</v>
      </c>
      <c r="H898" t="s">
        <v>4364</v>
      </c>
      <c r="I898">
        <v>47.535097</v>
      </c>
      <c r="J898">
        <v>-122.376426</v>
      </c>
      <c r="K898" t="s">
        <v>3936</v>
      </c>
      <c r="L898" t="s">
        <v>3946</v>
      </c>
      <c r="M898" t="s">
        <v>4906</v>
      </c>
      <c r="P898" t="s">
        <v>2522</v>
      </c>
    </row>
    <row r="899" spans="1:16" x14ac:dyDescent="0.2">
      <c r="A899" t="s">
        <v>1660</v>
      </c>
      <c r="B899" t="s">
        <v>3607</v>
      </c>
      <c r="C899" t="s">
        <v>2506</v>
      </c>
      <c r="D899" t="s">
        <v>2307</v>
      </c>
      <c r="E899">
        <v>98033</v>
      </c>
      <c r="F899" t="s">
        <v>1604</v>
      </c>
      <c r="G899" t="s">
        <v>1989</v>
      </c>
      <c r="H899" t="s">
        <v>4067</v>
      </c>
      <c r="I899">
        <v>47.678542</v>
      </c>
      <c r="J899">
        <v>-122.199671</v>
      </c>
      <c r="K899" t="s">
        <v>3936</v>
      </c>
      <c r="L899" t="s">
        <v>3946</v>
      </c>
      <c r="M899" t="s">
        <v>4906</v>
      </c>
      <c r="P899" t="s">
        <v>3607</v>
      </c>
    </row>
    <row r="900" spans="1:16" x14ac:dyDescent="0.2">
      <c r="A900" t="s">
        <v>1668</v>
      </c>
      <c r="B900" t="s">
        <v>3615</v>
      </c>
      <c r="C900" t="s">
        <v>66</v>
      </c>
      <c r="D900" t="s">
        <v>2307</v>
      </c>
      <c r="E900">
        <v>98118</v>
      </c>
      <c r="F900" t="s">
        <v>1573</v>
      </c>
      <c r="G900" t="s">
        <v>1990</v>
      </c>
      <c r="H900" t="s">
        <v>5513</v>
      </c>
      <c r="I900">
        <v>47.524147999999997</v>
      </c>
      <c r="J900">
        <v>-122.276374</v>
      </c>
      <c r="K900" t="s">
        <v>3936</v>
      </c>
      <c r="L900" t="s">
        <v>3946</v>
      </c>
      <c r="M900" t="s">
        <v>4906</v>
      </c>
      <c r="P900" t="s">
        <v>3615</v>
      </c>
    </row>
    <row r="901" spans="1:16" x14ac:dyDescent="0.2">
      <c r="A901" t="s">
        <v>2121</v>
      </c>
      <c r="B901" t="s">
        <v>2542</v>
      </c>
      <c r="C901" t="s">
        <v>66</v>
      </c>
      <c r="D901" t="s">
        <v>2307</v>
      </c>
      <c r="E901">
        <v>98126</v>
      </c>
      <c r="F901" t="s">
        <v>1585</v>
      </c>
      <c r="G901" t="s">
        <v>2122</v>
      </c>
      <c r="H901" t="s">
        <v>4379</v>
      </c>
      <c r="I901">
        <v>47.518335999999998</v>
      </c>
      <c r="J901">
        <v>-122.376655</v>
      </c>
      <c r="K901" t="s">
        <v>3936</v>
      </c>
      <c r="L901" t="s">
        <v>3946</v>
      </c>
      <c r="M901" t="s">
        <v>4906</v>
      </c>
      <c r="P901" t="s">
        <v>2542</v>
      </c>
    </row>
    <row r="902" spans="1:16" x14ac:dyDescent="0.2">
      <c r="A902" t="s">
        <v>1931</v>
      </c>
      <c r="B902" t="s">
        <v>3487</v>
      </c>
      <c r="C902" t="s">
        <v>2502</v>
      </c>
      <c r="D902" t="s">
        <v>2307</v>
      </c>
      <c r="E902">
        <v>98005</v>
      </c>
      <c r="F902" t="s">
        <v>1658</v>
      </c>
      <c r="G902" t="s">
        <v>1974</v>
      </c>
      <c r="H902" t="s">
        <v>5191</v>
      </c>
      <c r="I902">
        <v>47.626553999999999</v>
      </c>
      <c r="J902">
        <v>-122.16692399999999</v>
      </c>
      <c r="K902" t="s">
        <v>3936</v>
      </c>
      <c r="L902" t="s">
        <v>3946</v>
      </c>
      <c r="M902" t="s">
        <v>4906</v>
      </c>
      <c r="P902" t="s">
        <v>5709</v>
      </c>
    </row>
    <row r="903" spans="1:16" x14ac:dyDescent="0.2">
      <c r="A903" t="s">
        <v>2126</v>
      </c>
      <c r="B903" t="s">
        <v>2552</v>
      </c>
      <c r="C903" t="s">
        <v>2506</v>
      </c>
      <c r="D903" t="s">
        <v>2307</v>
      </c>
      <c r="E903">
        <v>98033</v>
      </c>
      <c r="F903" t="s">
        <v>1716</v>
      </c>
      <c r="G903" t="s">
        <v>1989</v>
      </c>
      <c r="H903" t="s">
        <v>5514</v>
      </c>
      <c r="I903">
        <v>47.679904000000001</v>
      </c>
      <c r="J903">
        <v>-122.17810299999999</v>
      </c>
      <c r="K903" t="s">
        <v>3936</v>
      </c>
      <c r="L903" t="s">
        <v>3946</v>
      </c>
      <c r="M903" t="s">
        <v>4906</v>
      </c>
      <c r="P903" t="s">
        <v>2552</v>
      </c>
    </row>
    <row r="904" spans="1:16" x14ac:dyDescent="0.2">
      <c r="A904" t="s">
        <v>1674</v>
      </c>
      <c r="B904" t="s">
        <v>3621</v>
      </c>
      <c r="C904" t="s">
        <v>3622</v>
      </c>
      <c r="D904" t="s">
        <v>2307</v>
      </c>
      <c r="E904">
        <v>98110</v>
      </c>
      <c r="F904" t="s">
        <v>1591</v>
      </c>
      <c r="G904" t="s">
        <v>1969</v>
      </c>
      <c r="H904" t="s">
        <v>5807</v>
      </c>
      <c r="I904">
        <v>47.624975999999997</v>
      </c>
      <c r="J904">
        <v>-122.518519</v>
      </c>
      <c r="K904" t="s">
        <v>3936</v>
      </c>
      <c r="L904" t="s">
        <v>3946</v>
      </c>
      <c r="M904" t="s">
        <v>4906</v>
      </c>
      <c r="P904" t="s">
        <v>5751</v>
      </c>
    </row>
    <row r="905" spans="1:16" x14ac:dyDescent="0.2">
      <c r="A905" t="s">
        <v>1677</v>
      </c>
      <c r="B905" t="s">
        <v>3625</v>
      </c>
      <c r="C905" t="s">
        <v>2506</v>
      </c>
      <c r="D905" t="s">
        <v>2307</v>
      </c>
      <c r="E905">
        <v>98033</v>
      </c>
      <c r="F905" t="s">
        <v>1587</v>
      </c>
      <c r="G905" t="s">
        <v>1987</v>
      </c>
      <c r="H905" t="s">
        <v>4072</v>
      </c>
      <c r="I905">
        <v>47.679243999999997</v>
      </c>
      <c r="J905">
        <v>-122.17152</v>
      </c>
      <c r="K905" t="s">
        <v>3936</v>
      </c>
      <c r="L905" t="s">
        <v>3946</v>
      </c>
      <c r="M905" t="s">
        <v>4906</v>
      </c>
      <c r="P905" t="s">
        <v>3625</v>
      </c>
    </row>
    <row r="906" spans="1:16" x14ac:dyDescent="0.2">
      <c r="A906" t="s">
        <v>1594</v>
      </c>
      <c r="B906" t="s">
        <v>3627</v>
      </c>
      <c r="C906" t="s">
        <v>2502</v>
      </c>
      <c r="D906" t="s">
        <v>2307</v>
      </c>
      <c r="E906">
        <v>98006</v>
      </c>
      <c r="F906" t="s">
        <v>1575</v>
      </c>
      <c r="G906" t="s">
        <v>1973</v>
      </c>
      <c r="H906" t="s">
        <v>4073</v>
      </c>
      <c r="I906">
        <v>47.578384999999997</v>
      </c>
      <c r="J906">
        <v>-122.169489</v>
      </c>
      <c r="K906" t="s">
        <v>3936</v>
      </c>
      <c r="L906" t="s">
        <v>3946</v>
      </c>
      <c r="M906" t="s">
        <v>4906</v>
      </c>
      <c r="P906" t="s">
        <v>3627</v>
      </c>
    </row>
    <row r="907" spans="1:16" x14ac:dyDescent="0.2">
      <c r="A907" t="s">
        <v>1933</v>
      </c>
      <c r="B907" t="s">
        <v>3490</v>
      </c>
      <c r="C907" t="s">
        <v>386</v>
      </c>
      <c r="D907" t="s">
        <v>2307</v>
      </c>
      <c r="E907">
        <v>98155</v>
      </c>
      <c r="F907" t="s">
        <v>1583</v>
      </c>
      <c r="G907" t="s">
        <v>1980</v>
      </c>
      <c r="H907" t="s">
        <v>5517</v>
      </c>
      <c r="I907">
        <v>47.757634000000003</v>
      </c>
      <c r="J907">
        <v>-122.312686</v>
      </c>
      <c r="K907" t="s">
        <v>3936</v>
      </c>
      <c r="L907" t="s">
        <v>3946</v>
      </c>
      <c r="M907" t="s">
        <v>4906</v>
      </c>
      <c r="P907" t="s">
        <v>3490</v>
      </c>
    </row>
    <row r="908" spans="1:16" x14ac:dyDescent="0.2">
      <c r="A908" t="s">
        <v>1594</v>
      </c>
      <c r="B908" t="s">
        <v>3631</v>
      </c>
      <c r="C908" t="s">
        <v>2506</v>
      </c>
      <c r="D908" t="s">
        <v>2307</v>
      </c>
      <c r="E908">
        <v>98034</v>
      </c>
      <c r="F908" t="s">
        <v>1575</v>
      </c>
      <c r="G908" t="s">
        <v>1973</v>
      </c>
      <c r="H908" t="s">
        <v>5192</v>
      </c>
      <c r="I908">
        <v>47.711319000000003</v>
      </c>
      <c r="J908">
        <v>-122.18880799999999</v>
      </c>
      <c r="K908" t="s">
        <v>3936</v>
      </c>
      <c r="L908" t="s">
        <v>3946</v>
      </c>
      <c r="M908" t="s">
        <v>4906</v>
      </c>
      <c r="P908" t="s">
        <v>3631</v>
      </c>
    </row>
    <row r="909" spans="1:16" x14ac:dyDescent="0.2">
      <c r="A909" t="s">
        <v>1686</v>
      </c>
      <c r="B909" t="s">
        <v>2590</v>
      </c>
      <c r="C909" t="s">
        <v>2586</v>
      </c>
      <c r="D909" t="s">
        <v>2307</v>
      </c>
      <c r="E909">
        <v>98052</v>
      </c>
      <c r="F909" t="s">
        <v>1573</v>
      </c>
      <c r="G909" t="s">
        <v>2136</v>
      </c>
      <c r="H909" t="s">
        <v>4405</v>
      </c>
      <c r="I909">
        <v>47.631388999999999</v>
      </c>
      <c r="J909">
        <v>-122.140092</v>
      </c>
      <c r="K909" t="s">
        <v>3936</v>
      </c>
      <c r="L909" t="s">
        <v>3946</v>
      </c>
      <c r="M909" t="s">
        <v>4906</v>
      </c>
      <c r="P909" t="s">
        <v>2590</v>
      </c>
    </row>
    <row r="910" spans="1:16" x14ac:dyDescent="0.2">
      <c r="A910" t="s">
        <v>1935</v>
      </c>
      <c r="B910" t="s">
        <v>3493</v>
      </c>
      <c r="C910" t="s">
        <v>2599</v>
      </c>
      <c r="D910" t="s">
        <v>2307</v>
      </c>
      <c r="E910">
        <v>98028</v>
      </c>
      <c r="F910" t="s">
        <v>1573</v>
      </c>
      <c r="G910" t="s">
        <v>1985</v>
      </c>
      <c r="H910" t="s">
        <v>5518</v>
      </c>
      <c r="I910">
        <v>47.756855999999999</v>
      </c>
      <c r="J910">
        <v>-122.239356</v>
      </c>
      <c r="K910" t="s">
        <v>3936</v>
      </c>
      <c r="L910" t="s">
        <v>3946</v>
      </c>
      <c r="M910" t="s">
        <v>4906</v>
      </c>
      <c r="P910" t="s">
        <v>3493</v>
      </c>
    </row>
    <row r="911" spans="1:16" x14ac:dyDescent="0.2">
      <c r="A911" t="s">
        <v>1694</v>
      </c>
      <c r="B911" t="s">
        <v>2632</v>
      </c>
      <c r="C911" t="s">
        <v>2627</v>
      </c>
      <c r="D911" t="s">
        <v>2307</v>
      </c>
      <c r="E911">
        <v>98020</v>
      </c>
      <c r="F911" t="s">
        <v>1585</v>
      </c>
      <c r="G911" t="s">
        <v>1989</v>
      </c>
      <c r="H911" t="s">
        <v>4431</v>
      </c>
      <c r="I911">
        <v>47.778422999999997</v>
      </c>
      <c r="J911">
        <v>-122.3627</v>
      </c>
      <c r="K911" t="s">
        <v>3936</v>
      </c>
      <c r="L911" t="s">
        <v>3946</v>
      </c>
      <c r="M911" t="s">
        <v>4906</v>
      </c>
      <c r="P911" t="s">
        <v>2632</v>
      </c>
    </row>
    <row r="912" spans="1:16" x14ac:dyDescent="0.2">
      <c r="A912" t="s">
        <v>1705</v>
      </c>
      <c r="B912" t="s">
        <v>3652</v>
      </c>
      <c r="C912" t="s">
        <v>2548</v>
      </c>
      <c r="D912" t="s">
        <v>2307</v>
      </c>
      <c r="E912">
        <v>98011</v>
      </c>
      <c r="F912" t="s">
        <v>1575</v>
      </c>
      <c r="G912" t="s">
        <v>1989</v>
      </c>
      <c r="H912" t="s">
        <v>4088</v>
      </c>
      <c r="I912">
        <v>47.764465999999999</v>
      </c>
      <c r="J912">
        <v>-122.20874999999999</v>
      </c>
      <c r="K912" t="s">
        <v>3936</v>
      </c>
      <c r="L912" t="s">
        <v>3946</v>
      </c>
      <c r="M912" t="s">
        <v>4906</v>
      </c>
      <c r="P912" t="s">
        <v>3652</v>
      </c>
    </row>
    <row r="913" spans="1:16" x14ac:dyDescent="0.2">
      <c r="A913" t="s">
        <v>2150</v>
      </c>
      <c r="B913" t="s">
        <v>2657</v>
      </c>
      <c r="C913" t="s">
        <v>2627</v>
      </c>
      <c r="D913" t="s">
        <v>2307</v>
      </c>
      <c r="E913">
        <v>98202</v>
      </c>
      <c r="F913" t="s">
        <v>1591</v>
      </c>
      <c r="G913" t="s">
        <v>1993</v>
      </c>
      <c r="H913" t="s">
        <v>5519</v>
      </c>
      <c r="I913">
        <v>47.790551000000001</v>
      </c>
      <c r="J913">
        <v>-122.367491</v>
      </c>
      <c r="K913" t="s">
        <v>3936</v>
      </c>
      <c r="L913" t="s">
        <v>3946</v>
      </c>
      <c r="M913" t="s">
        <v>4906</v>
      </c>
      <c r="P913" t="s">
        <v>2657</v>
      </c>
    </row>
    <row r="914" spans="1:16" x14ac:dyDescent="0.2">
      <c r="A914" t="s">
        <v>1668</v>
      </c>
      <c r="B914" t="s">
        <v>3658</v>
      </c>
      <c r="C914" t="s">
        <v>2581</v>
      </c>
      <c r="D914" t="s">
        <v>2307</v>
      </c>
      <c r="E914">
        <v>98116</v>
      </c>
      <c r="F914" t="s">
        <v>1573</v>
      </c>
      <c r="G914" t="s">
        <v>1990</v>
      </c>
      <c r="H914" t="s">
        <v>5520</v>
      </c>
      <c r="I914">
        <v>47.466580999999998</v>
      </c>
      <c r="J914">
        <v>-122.339426</v>
      </c>
      <c r="K914" t="s">
        <v>3936</v>
      </c>
      <c r="L914" t="s">
        <v>3946</v>
      </c>
      <c r="M914" t="s">
        <v>4906</v>
      </c>
      <c r="P914" t="s">
        <v>3658</v>
      </c>
    </row>
    <row r="915" spans="1:16" x14ac:dyDescent="0.2">
      <c r="A915" t="s">
        <v>1931</v>
      </c>
      <c r="B915" t="s">
        <v>3497</v>
      </c>
      <c r="C915" t="s">
        <v>2581</v>
      </c>
      <c r="D915" t="s">
        <v>2307</v>
      </c>
      <c r="E915">
        <v>98166</v>
      </c>
      <c r="F915" t="s">
        <v>1658</v>
      </c>
      <c r="G915" t="s">
        <v>1974</v>
      </c>
      <c r="H915" t="s">
        <v>5521</v>
      </c>
      <c r="I915">
        <v>47.465710999999999</v>
      </c>
      <c r="J915">
        <v>-122.34214299999999</v>
      </c>
      <c r="K915" t="s">
        <v>3936</v>
      </c>
      <c r="L915" t="s">
        <v>3946</v>
      </c>
      <c r="M915" t="s">
        <v>4906</v>
      </c>
      <c r="P915" t="s">
        <v>3497</v>
      </c>
    </row>
    <row r="916" spans="1:16" x14ac:dyDescent="0.2">
      <c r="A916" t="s">
        <v>1668</v>
      </c>
      <c r="B916" t="s">
        <v>3663</v>
      </c>
      <c r="C916" t="s">
        <v>2597</v>
      </c>
      <c r="D916" t="s">
        <v>2307</v>
      </c>
      <c r="E916">
        <v>98056</v>
      </c>
      <c r="F916" t="s">
        <v>1600</v>
      </c>
      <c r="G916" t="s">
        <v>1982</v>
      </c>
      <c r="H916" t="s">
        <v>5522</v>
      </c>
      <c r="I916">
        <v>47.500190000000003</v>
      </c>
      <c r="J916">
        <v>-122.18015699999999</v>
      </c>
      <c r="K916" t="s">
        <v>3936</v>
      </c>
      <c r="L916" t="s">
        <v>3946</v>
      </c>
      <c r="M916" t="s">
        <v>4906</v>
      </c>
      <c r="P916" t="s">
        <v>3663</v>
      </c>
    </row>
    <row r="917" spans="1:16" x14ac:dyDescent="0.2">
      <c r="A917" t="s">
        <v>1686</v>
      </c>
      <c r="B917" t="s">
        <v>2670</v>
      </c>
      <c r="C917" t="s">
        <v>2581</v>
      </c>
      <c r="D917" t="s">
        <v>2307</v>
      </c>
      <c r="E917">
        <v>98148</v>
      </c>
      <c r="F917" t="s">
        <v>1573</v>
      </c>
      <c r="G917" t="s">
        <v>2136</v>
      </c>
      <c r="H917" t="s">
        <v>4454</v>
      </c>
      <c r="I917">
        <v>47.462088999999999</v>
      </c>
      <c r="J917">
        <v>-122.333703</v>
      </c>
      <c r="K917" t="s">
        <v>3936</v>
      </c>
      <c r="L917" t="s">
        <v>3946</v>
      </c>
      <c r="M917" t="s">
        <v>4906</v>
      </c>
      <c r="P917" t="s">
        <v>2670</v>
      </c>
    </row>
    <row r="918" spans="1:16" x14ac:dyDescent="0.2">
      <c r="A918" t="s">
        <v>1570</v>
      </c>
      <c r="B918" t="s">
        <v>2682</v>
      </c>
      <c r="C918" t="s">
        <v>2636</v>
      </c>
      <c r="D918" t="s">
        <v>2307</v>
      </c>
      <c r="E918">
        <v>98188</v>
      </c>
      <c r="F918" t="s">
        <v>1571</v>
      </c>
      <c r="G918" t="s">
        <v>1982</v>
      </c>
      <c r="H918" t="s">
        <v>4097</v>
      </c>
      <c r="I918">
        <v>47.468601999999997</v>
      </c>
      <c r="J918">
        <v>-122.249653</v>
      </c>
      <c r="K918" t="s">
        <v>3936</v>
      </c>
      <c r="L918" t="s">
        <v>3946</v>
      </c>
      <c r="M918" t="s">
        <v>4906</v>
      </c>
      <c r="P918" t="s">
        <v>2682</v>
      </c>
    </row>
    <row r="919" spans="1:16" x14ac:dyDescent="0.2">
      <c r="A919" t="s">
        <v>1686</v>
      </c>
      <c r="B919" t="s">
        <v>2702</v>
      </c>
      <c r="C919" t="s">
        <v>2672</v>
      </c>
      <c r="D919" t="s">
        <v>2307</v>
      </c>
      <c r="E919">
        <v>98072</v>
      </c>
      <c r="F919" t="s">
        <v>1573</v>
      </c>
      <c r="G919" t="s">
        <v>2136</v>
      </c>
      <c r="H919" t="s">
        <v>4471</v>
      </c>
      <c r="I919">
        <v>47.755251000000001</v>
      </c>
      <c r="J919">
        <v>-122.15257800000001</v>
      </c>
      <c r="K919" t="s">
        <v>3936</v>
      </c>
      <c r="L919" t="s">
        <v>3946</v>
      </c>
      <c r="M919" t="s">
        <v>4906</v>
      </c>
      <c r="P919" t="s">
        <v>2702</v>
      </c>
    </row>
    <row r="920" spans="1:16" x14ac:dyDescent="0.2">
      <c r="A920" t="s">
        <v>2163</v>
      </c>
      <c r="B920" t="s">
        <v>2706</v>
      </c>
      <c r="C920" t="s">
        <v>2548</v>
      </c>
      <c r="D920" t="s">
        <v>2307</v>
      </c>
      <c r="E920">
        <v>98021</v>
      </c>
      <c r="F920" t="s">
        <v>1585</v>
      </c>
      <c r="G920" t="s">
        <v>1989</v>
      </c>
      <c r="H920" t="s">
        <v>4982</v>
      </c>
      <c r="I920">
        <v>47.792963</v>
      </c>
      <c r="J920">
        <v>-122.233204</v>
      </c>
      <c r="K920" t="s">
        <v>3936</v>
      </c>
      <c r="L920" t="s">
        <v>3946</v>
      </c>
      <c r="M920" t="s">
        <v>4906</v>
      </c>
      <c r="P920" t="s">
        <v>2706</v>
      </c>
    </row>
    <row r="921" spans="1:16" x14ac:dyDescent="0.2">
      <c r="A921" t="s">
        <v>2166</v>
      </c>
      <c r="B921" t="s">
        <v>2711</v>
      </c>
      <c r="C921" t="s">
        <v>2712</v>
      </c>
      <c r="D921" t="s">
        <v>2307</v>
      </c>
      <c r="E921">
        <v>98043</v>
      </c>
      <c r="F921" t="s">
        <v>1591</v>
      </c>
      <c r="G921" t="s">
        <v>1969</v>
      </c>
      <c r="H921" t="s">
        <v>4477</v>
      </c>
      <c r="I921">
        <v>47.806184999999999</v>
      </c>
      <c r="J921">
        <v>-122.29250399999999</v>
      </c>
      <c r="K921" t="s">
        <v>3936</v>
      </c>
      <c r="L921" t="s">
        <v>3946</v>
      </c>
      <c r="M921" t="s">
        <v>4906</v>
      </c>
      <c r="P921" t="s">
        <v>2711</v>
      </c>
    </row>
    <row r="922" spans="1:16" x14ac:dyDescent="0.2">
      <c r="A922" t="s">
        <v>2167</v>
      </c>
      <c r="B922" t="s">
        <v>6254</v>
      </c>
      <c r="C922" t="s">
        <v>2717</v>
      </c>
      <c r="D922" t="s">
        <v>2307</v>
      </c>
      <c r="E922">
        <v>98036</v>
      </c>
      <c r="F922" t="s">
        <v>1600</v>
      </c>
      <c r="G922" t="s">
        <v>1995</v>
      </c>
      <c r="H922" t="s">
        <v>4482</v>
      </c>
      <c r="I922">
        <v>47.809697</v>
      </c>
      <c r="J922">
        <v>-122.32426700000001</v>
      </c>
      <c r="K922" t="s">
        <v>3936</v>
      </c>
      <c r="L922" t="s">
        <v>3946</v>
      </c>
      <c r="M922" t="s">
        <v>4906</v>
      </c>
      <c r="P922" t="s">
        <v>6054</v>
      </c>
    </row>
    <row r="923" spans="1:16" x14ac:dyDescent="0.2">
      <c r="A923" t="s">
        <v>2081</v>
      </c>
      <c r="B923" t="s">
        <v>2721</v>
      </c>
      <c r="C923" t="s">
        <v>2586</v>
      </c>
      <c r="D923" t="s">
        <v>2307</v>
      </c>
      <c r="E923">
        <v>98052</v>
      </c>
      <c r="F923" t="s">
        <v>1600</v>
      </c>
      <c r="G923" t="s">
        <v>1968</v>
      </c>
      <c r="H923" t="s">
        <v>4485</v>
      </c>
      <c r="I923">
        <v>47.702323</v>
      </c>
      <c r="J923">
        <v>-122.093081</v>
      </c>
      <c r="K923" t="s">
        <v>3936</v>
      </c>
      <c r="L923" t="s">
        <v>3946</v>
      </c>
      <c r="M923" t="s">
        <v>4906</v>
      </c>
      <c r="P923" t="s">
        <v>2721</v>
      </c>
    </row>
    <row r="924" spans="1:16" x14ac:dyDescent="0.2">
      <c r="A924" t="s">
        <v>1738</v>
      </c>
      <c r="B924" t="s">
        <v>3698</v>
      </c>
      <c r="C924" t="s">
        <v>2717</v>
      </c>
      <c r="D924" t="s">
        <v>2307</v>
      </c>
      <c r="E924">
        <v>98036</v>
      </c>
      <c r="F924" t="s">
        <v>1585</v>
      </c>
      <c r="G924" t="s">
        <v>1988</v>
      </c>
      <c r="H924" t="s">
        <v>5193</v>
      </c>
      <c r="I924">
        <v>47.820934999999999</v>
      </c>
      <c r="J924">
        <v>-122.298298</v>
      </c>
      <c r="K924" t="s">
        <v>3936</v>
      </c>
      <c r="L924" t="s">
        <v>3946</v>
      </c>
      <c r="M924" t="s">
        <v>4906</v>
      </c>
      <c r="P924" t="s">
        <v>3698</v>
      </c>
    </row>
    <row r="925" spans="1:16" x14ac:dyDescent="0.2">
      <c r="A925" t="s">
        <v>1743</v>
      </c>
      <c r="B925" t="s">
        <v>3704</v>
      </c>
      <c r="C925" t="s">
        <v>2754</v>
      </c>
      <c r="D925" t="s">
        <v>2307</v>
      </c>
      <c r="E925">
        <v>98310</v>
      </c>
      <c r="F925" t="s">
        <v>1571</v>
      </c>
      <c r="G925" t="s">
        <v>1973</v>
      </c>
      <c r="H925" t="s">
        <v>5523</v>
      </c>
      <c r="I925">
        <v>47.595458000000001</v>
      </c>
      <c r="J925">
        <v>-122.628946</v>
      </c>
      <c r="K925" t="s">
        <v>3936</v>
      </c>
      <c r="L925" t="s">
        <v>3946</v>
      </c>
      <c r="M925" t="s">
        <v>4906</v>
      </c>
      <c r="P925" t="s">
        <v>3704</v>
      </c>
    </row>
    <row r="926" spans="1:16" x14ac:dyDescent="0.2">
      <c r="A926" t="s">
        <v>1874</v>
      </c>
      <c r="B926" t="s">
        <v>2775</v>
      </c>
      <c r="C926" t="s">
        <v>2776</v>
      </c>
      <c r="D926" t="s">
        <v>2307</v>
      </c>
      <c r="E926">
        <v>98346</v>
      </c>
      <c r="F926" t="s">
        <v>1571</v>
      </c>
      <c r="G926" t="s">
        <v>1991</v>
      </c>
      <c r="H926" t="s">
        <v>4513</v>
      </c>
      <c r="I926">
        <v>47.801696</v>
      </c>
      <c r="J926">
        <v>-122.500658</v>
      </c>
      <c r="K926" t="s">
        <v>3936</v>
      </c>
      <c r="L926" t="s">
        <v>3946</v>
      </c>
      <c r="M926" t="s">
        <v>4906</v>
      </c>
      <c r="P926" t="s">
        <v>2775</v>
      </c>
    </row>
    <row r="927" spans="1:16" x14ac:dyDescent="0.2">
      <c r="A927" t="s">
        <v>1751</v>
      </c>
      <c r="B927" t="s">
        <v>3715</v>
      </c>
      <c r="C927" t="s">
        <v>2785</v>
      </c>
      <c r="D927" t="s">
        <v>2307</v>
      </c>
      <c r="E927">
        <v>98027</v>
      </c>
      <c r="F927" t="s">
        <v>1591</v>
      </c>
      <c r="G927" t="s">
        <v>1969</v>
      </c>
      <c r="H927" t="s">
        <v>5194</v>
      </c>
      <c r="I927">
        <v>47.548354000000003</v>
      </c>
      <c r="J927">
        <v>-122.053898</v>
      </c>
      <c r="K927" t="s">
        <v>3936</v>
      </c>
      <c r="L927" t="s">
        <v>3946</v>
      </c>
      <c r="M927" t="s">
        <v>4906</v>
      </c>
      <c r="P927" t="s">
        <v>5710</v>
      </c>
    </row>
    <row r="928" spans="1:16" x14ac:dyDescent="0.2">
      <c r="A928" t="s">
        <v>2191</v>
      </c>
      <c r="B928" t="s">
        <v>2808</v>
      </c>
      <c r="C928" t="s">
        <v>2754</v>
      </c>
      <c r="D928" t="s">
        <v>2307</v>
      </c>
      <c r="E928">
        <v>98337</v>
      </c>
      <c r="F928" t="s">
        <v>1571</v>
      </c>
      <c r="G928" t="s">
        <v>1989</v>
      </c>
      <c r="H928" t="s">
        <v>5195</v>
      </c>
      <c r="I928">
        <v>47.567447999999999</v>
      </c>
      <c r="J928">
        <v>-122.64116799999999</v>
      </c>
      <c r="K928" t="s">
        <v>3936</v>
      </c>
      <c r="L928" t="s">
        <v>3946</v>
      </c>
      <c r="M928" t="s">
        <v>4906</v>
      </c>
      <c r="P928" t="s">
        <v>2808</v>
      </c>
    </row>
    <row r="929" spans="1:16" x14ac:dyDescent="0.2">
      <c r="A929" t="s">
        <v>1686</v>
      </c>
      <c r="B929" t="s">
        <v>2811</v>
      </c>
      <c r="C929" t="s">
        <v>2785</v>
      </c>
      <c r="D929" t="s">
        <v>2307</v>
      </c>
      <c r="E929">
        <v>98027</v>
      </c>
      <c r="F929" t="s">
        <v>1573</v>
      </c>
      <c r="G929" t="s">
        <v>2136</v>
      </c>
      <c r="H929" t="s">
        <v>4532</v>
      </c>
      <c r="I929">
        <v>47.544192000000002</v>
      </c>
      <c r="J929">
        <v>-122.049048</v>
      </c>
      <c r="K929" t="s">
        <v>3936</v>
      </c>
      <c r="L929" t="s">
        <v>3946</v>
      </c>
      <c r="M929" t="s">
        <v>4906</v>
      </c>
      <c r="P929" t="s">
        <v>2811</v>
      </c>
    </row>
    <row r="930" spans="1:16" x14ac:dyDescent="0.2">
      <c r="A930" t="s">
        <v>1874</v>
      </c>
      <c r="B930" t="s">
        <v>2812</v>
      </c>
      <c r="C930" t="s">
        <v>2744</v>
      </c>
      <c r="D930" t="s">
        <v>2307</v>
      </c>
      <c r="E930">
        <v>98366</v>
      </c>
      <c r="F930" t="s">
        <v>1571</v>
      </c>
      <c r="G930" t="s">
        <v>1991</v>
      </c>
      <c r="H930" t="s">
        <v>4533</v>
      </c>
      <c r="I930">
        <v>47.533850999999999</v>
      </c>
      <c r="J930">
        <v>-122.622696</v>
      </c>
      <c r="K930" t="s">
        <v>3936</v>
      </c>
      <c r="L930" t="s">
        <v>3946</v>
      </c>
      <c r="M930" t="s">
        <v>4906</v>
      </c>
      <c r="P930" t="s">
        <v>2812</v>
      </c>
    </row>
    <row r="931" spans="1:16" x14ac:dyDescent="0.2">
      <c r="A931" t="s">
        <v>1755</v>
      </c>
      <c r="B931" t="s">
        <v>3721</v>
      </c>
      <c r="C931" t="s">
        <v>2717</v>
      </c>
      <c r="D931" t="s">
        <v>2307</v>
      </c>
      <c r="E931">
        <v>98037</v>
      </c>
      <c r="F931" t="s">
        <v>1575</v>
      </c>
      <c r="G931" t="s">
        <v>1989</v>
      </c>
      <c r="H931" t="s">
        <v>5524</v>
      </c>
      <c r="I931">
        <v>47.847805999999999</v>
      </c>
      <c r="J931">
        <v>-122.303428</v>
      </c>
      <c r="K931" t="s">
        <v>3936</v>
      </c>
      <c r="L931" t="s">
        <v>3946</v>
      </c>
      <c r="M931" t="s">
        <v>4906</v>
      </c>
      <c r="P931" t="s">
        <v>3721</v>
      </c>
    </row>
    <row r="932" spans="1:16" x14ac:dyDescent="0.2">
      <c r="A932" t="s">
        <v>1949</v>
      </c>
      <c r="B932" t="s">
        <v>6255</v>
      </c>
      <c r="C932" t="s">
        <v>2548</v>
      </c>
      <c r="D932" t="s">
        <v>2307</v>
      </c>
      <c r="E932">
        <v>98012</v>
      </c>
      <c r="F932" t="s">
        <v>1583</v>
      </c>
      <c r="G932" t="s">
        <v>1980</v>
      </c>
      <c r="H932" t="s">
        <v>5525</v>
      </c>
      <c r="I932">
        <v>47.835683000000003</v>
      </c>
      <c r="J932">
        <v>-122.211249</v>
      </c>
      <c r="K932" t="s">
        <v>3936</v>
      </c>
      <c r="L932" t="s">
        <v>3946</v>
      </c>
      <c r="M932" t="s">
        <v>4906</v>
      </c>
      <c r="P932" t="s">
        <v>6055</v>
      </c>
    </row>
    <row r="933" spans="1:16" x14ac:dyDescent="0.2">
      <c r="A933" t="s">
        <v>1766</v>
      </c>
      <c r="B933" t="s">
        <v>3734</v>
      </c>
      <c r="C933" t="s">
        <v>2830</v>
      </c>
      <c r="D933" t="s">
        <v>2307</v>
      </c>
      <c r="E933">
        <v>98198</v>
      </c>
      <c r="F933" t="s">
        <v>1604</v>
      </c>
      <c r="G933" t="s">
        <v>1984</v>
      </c>
      <c r="H933" t="s">
        <v>5196</v>
      </c>
      <c r="I933">
        <v>47.401282000000002</v>
      </c>
      <c r="J933">
        <v>-122.32433</v>
      </c>
      <c r="K933" t="s">
        <v>3936</v>
      </c>
      <c r="L933" t="s">
        <v>3946</v>
      </c>
      <c r="M933" t="s">
        <v>4906</v>
      </c>
      <c r="P933" t="s">
        <v>3734</v>
      </c>
    </row>
    <row r="934" spans="1:16" x14ac:dyDescent="0.2">
      <c r="A934" t="s">
        <v>1686</v>
      </c>
      <c r="B934" t="s">
        <v>2868</v>
      </c>
      <c r="C934" t="s">
        <v>2861</v>
      </c>
      <c r="D934" t="s">
        <v>2307</v>
      </c>
      <c r="E934">
        <v>98012</v>
      </c>
      <c r="F934" t="s">
        <v>1573</v>
      </c>
      <c r="G934" t="s">
        <v>2136</v>
      </c>
      <c r="H934" t="s">
        <v>4565</v>
      </c>
      <c r="I934">
        <v>47.850171000000003</v>
      </c>
      <c r="J934">
        <v>-122.217973</v>
      </c>
      <c r="K934" t="s">
        <v>3936</v>
      </c>
      <c r="L934" t="s">
        <v>3946</v>
      </c>
      <c r="M934" t="s">
        <v>4906</v>
      </c>
      <c r="P934" t="s">
        <v>2868</v>
      </c>
    </row>
    <row r="935" spans="1:16" x14ac:dyDescent="0.2">
      <c r="A935" t="s">
        <v>1594</v>
      </c>
      <c r="B935" t="s">
        <v>3772</v>
      </c>
      <c r="C935" t="s">
        <v>2900</v>
      </c>
      <c r="D935" t="s">
        <v>2307</v>
      </c>
      <c r="E935">
        <v>98201</v>
      </c>
      <c r="F935" t="s">
        <v>1575</v>
      </c>
      <c r="G935" t="s">
        <v>1973</v>
      </c>
      <c r="H935" t="s">
        <v>4145</v>
      </c>
      <c r="I935">
        <v>47.895926000000003</v>
      </c>
      <c r="J935">
        <v>-122.206125</v>
      </c>
      <c r="K935" t="s">
        <v>3936</v>
      </c>
      <c r="L935" t="s">
        <v>3946</v>
      </c>
      <c r="M935" t="s">
        <v>4906</v>
      </c>
      <c r="P935" t="s">
        <v>5711</v>
      </c>
    </row>
    <row r="936" spans="1:16" x14ac:dyDescent="0.2">
      <c r="A936" t="s">
        <v>2220</v>
      </c>
      <c r="B936" t="s">
        <v>2949</v>
      </c>
      <c r="C936" t="s">
        <v>2900</v>
      </c>
      <c r="D936" t="s">
        <v>2307</v>
      </c>
      <c r="E936">
        <v>98208</v>
      </c>
      <c r="F936" t="s">
        <v>1591</v>
      </c>
      <c r="G936" t="s">
        <v>1969</v>
      </c>
      <c r="H936" t="s">
        <v>5809</v>
      </c>
      <c r="I936">
        <v>47.908817999999997</v>
      </c>
      <c r="J936">
        <v>-122.225685</v>
      </c>
      <c r="K936" t="s">
        <v>3936</v>
      </c>
      <c r="L936" t="s">
        <v>3946</v>
      </c>
      <c r="M936" t="s">
        <v>4906</v>
      </c>
      <c r="P936" t="s">
        <v>5752</v>
      </c>
    </row>
    <row r="937" spans="1:16" x14ac:dyDescent="0.2">
      <c r="A937" t="s">
        <v>1738</v>
      </c>
      <c r="B937" t="s">
        <v>3779</v>
      </c>
      <c r="C937" t="s">
        <v>3780</v>
      </c>
      <c r="D937" t="s">
        <v>2307</v>
      </c>
      <c r="E937">
        <v>98208</v>
      </c>
      <c r="F937" t="s">
        <v>1600</v>
      </c>
      <c r="G937" t="s">
        <v>5527</v>
      </c>
      <c r="H937" t="s">
        <v>5528</v>
      </c>
      <c r="I937">
        <v>47.910321000000003</v>
      </c>
      <c r="J937">
        <v>-122.207188</v>
      </c>
      <c r="K937" t="s">
        <v>3936</v>
      </c>
      <c r="L937" t="s">
        <v>3946</v>
      </c>
      <c r="M937" t="s">
        <v>4906</v>
      </c>
      <c r="P937" t="s">
        <v>3779</v>
      </c>
    </row>
    <row r="938" spans="1:16" x14ac:dyDescent="0.2">
      <c r="A938" t="s">
        <v>2081</v>
      </c>
      <c r="B938" t="s">
        <v>5197</v>
      </c>
      <c r="C938" t="s">
        <v>2780</v>
      </c>
      <c r="D938" t="s">
        <v>2307</v>
      </c>
      <c r="E938">
        <v>98030</v>
      </c>
      <c r="F938" t="s">
        <v>1600</v>
      </c>
      <c r="G938" t="s">
        <v>1968</v>
      </c>
      <c r="H938" t="s">
        <v>5529</v>
      </c>
      <c r="I938">
        <v>47.358010999999998</v>
      </c>
      <c r="J938">
        <v>-122.166484</v>
      </c>
      <c r="K938" t="s">
        <v>3936</v>
      </c>
      <c r="L938" t="s">
        <v>3946</v>
      </c>
      <c r="M938" t="s">
        <v>4906</v>
      </c>
      <c r="P938" t="s">
        <v>5197</v>
      </c>
    </row>
    <row r="939" spans="1:16" x14ac:dyDescent="0.2">
      <c r="A939" t="s">
        <v>1955</v>
      </c>
      <c r="B939" t="s">
        <v>3518</v>
      </c>
      <c r="C939" t="s">
        <v>2970</v>
      </c>
      <c r="D939" t="s">
        <v>2307</v>
      </c>
      <c r="E939">
        <v>98042</v>
      </c>
      <c r="F939" t="s">
        <v>1575</v>
      </c>
      <c r="G939" t="s">
        <v>1979</v>
      </c>
      <c r="H939" t="s">
        <v>4026</v>
      </c>
      <c r="I939">
        <v>47.358640000000001</v>
      </c>
      <c r="J939">
        <v>-122.11802400000001</v>
      </c>
      <c r="K939" t="s">
        <v>3936</v>
      </c>
      <c r="L939" t="s">
        <v>3946</v>
      </c>
      <c r="M939" t="s">
        <v>4906</v>
      </c>
      <c r="P939" t="s">
        <v>5753</v>
      </c>
    </row>
    <row r="940" spans="1:16" x14ac:dyDescent="0.2">
      <c r="A940" t="s">
        <v>1738</v>
      </c>
      <c r="B940" t="s">
        <v>3795</v>
      </c>
      <c r="C940" t="s">
        <v>2900</v>
      </c>
      <c r="D940" t="s">
        <v>2307</v>
      </c>
      <c r="E940">
        <v>98203</v>
      </c>
      <c r="F940" t="s">
        <v>1585</v>
      </c>
      <c r="G940" t="s">
        <v>1988</v>
      </c>
      <c r="H940" t="s">
        <v>5198</v>
      </c>
      <c r="I940">
        <v>47.935102999999998</v>
      </c>
      <c r="J940">
        <v>-122.219578</v>
      </c>
      <c r="K940" t="s">
        <v>3936</v>
      </c>
      <c r="L940" t="s">
        <v>3946</v>
      </c>
      <c r="M940" t="s">
        <v>4906</v>
      </c>
      <c r="P940" t="s">
        <v>3795</v>
      </c>
    </row>
    <row r="941" spans="1:16" x14ac:dyDescent="0.2">
      <c r="A941" t="s">
        <v>1668</v>
      </c>
      <c r="B941" t="s">
        <v>3797</v>
      </c>
      <c r="C941" t="s">
        <v>2930</v>
      </c>
      <c r="D941" t="s">
        <v>2307</v>
      </c>
      <c r="E941">
        <v>98003</v>
      </c>
      <c r="F941" t="s">
        <v>1573</v>
      </c>
      <c r="G941" t="s">
        <v>1990</v>
      </c>
      <c r="H941" t="s">
        <v>4155</v>
      </c>
      <c r="I941">
        <v>47.311461000000001</v>
      </c>
      <c r="J941">
        <v>-122.313524</v>
      </c>
      <c r="K941" t="s">
        <v>3936</v>
      </c>
      <c r="L941" t="s">
        <v>3946</v>
      </c>
      <c r="M941" t="s">
        <v>4906</v>
      </c>
      <c r="P941" t="s">
        <v>3797</v>
      </c>
    </row>
    <row r="942" spans="1:16" x14ac:dyDescent="0.2">
      <c r="A942" t="s">
        <v>1807</v>
      </c>
      <c r="B942" t="s">
        <v>3800</v>
      </c>
      <c r="C942" t="s">
        <v>2961</v>
      </c>
      <c r="D942" t="s">
        <v>2307</v>
      </c>
      <c r="E942">
        <v>98092</v>
      </c>
      <c r="F942" t="s">
        <v>1583</v>
      </c>
      <c r="G942" t="s">
        <v>1980</v>
      </c>
      <c r="H942" t="s">
        <v>4157</v>
      </c>
      <c r="I942">
        <v>47.322564</v>
      </c>
      <c r="J942">
        <v>-122.172656</v>
      </c>
      <c r="K942" t="s">
        <v>3936</v>
      </c>
      <c r="L942" t="s">
        <v>3946</v>
      </c>
      <c r="M942" t="s">
        <v>4906</v>
      </c>
      <c r="P942" t="s">
        <v>3800</v>
      </c>
    </row>
    <row r="943" spans="1:16" x14ac:dyDescent="0.2">
      <c r="A943" t="s">
        <v>4986</v>
      </c>
      <c r="B943" t="s">
        <v>4987</v>
      </c>
      <c r="C943" t="s">
        <v>2900</v>
      </c>
      <c r="D943" t="s">
        <v>2307</v>
      </c>
      <c r="E943">
        <v>98203</v>
      </c>
      <c r="F943" t="s">
        <v>1604</v>
      </c>
      <c r="G943" t="s">
        <v>1973</v>
      </c>
      <c r="H943" t="s">
        <v>5530</v>
      </c>
      <c r="I943">
        <v>47.951338999999997</v>
      </c>
      <c r="J943">
        <v>-122.214035</v>
      </c>
      <c r="K943" t="s">
        <v>3936</v>
      </c>
      <c r="L943" t="s">
        <v>3946</v>
      </c>
      <c r="M943" t="s">
        <v>4906</v>
      </c>
      <c r="P943" t="s">
        <v>4987</v>
      </c>
    </row>
    <row r="944" spans="1:16" x14ac:dyDescent="0.2">
      <c r="A944" t="s">
        <v>1738</v>
      </c>
      <c r="B944" t="s">
        <v>3808</v>
      </c>
      <c r="C944" t="s">
        <v>2888</v>
      </c>
      <c r="D944" t="s">
        <v>2307</v>
      </c>
      <c r="E944">
        <v>98290</v>
      </c>
      <c r="F944" t="s">
        <v>1600</v>
      </c>
      <c r="G944" t="s">
        <v>5526</v>
      </c>
      <c r="H944" t="s">
        <v>5531</v>
      </c>
      <c r="I944">
        <v>47.924373000000003</v>
      </c>
      <c r="J944">
        <v>-122.098077</v>
      </c>
      <c r="K944" t="s">
        <v>3936</v>
      </c>
      <c r="L944" t="s">
        <v>3946</v>
      </c>
      <c r="M944" t="s">
        <v>4906</v>
      </c>
      <c r="P944" t="s">
        <v>3808</v>
      </c>
    </row>
    <row r="945" spans="1:16" x14ac:dyDescent="0.2">
      <c r="A945" t="s">
        <v>1738</v>
      </c>
      <c r="B945" t="s">
        <v>3810</v>
      </c>
      <c r="C945" t="s">
        <v>2995</v>
      </c>
      <c r="D945" t="s">
        <v>2307</v>
      </c>
      <c r="E945">
        <v>98272</v>
      </c>
      <c r="F945" t="s">
        <v>1600</v>
      </c>
      <c r="G945" t="s">
        <v>5526</v>
      </c>
      <c r="H945" t="s">
        <v>5532</v>
      </c>
      <c r="I945">
        <v>47.860187000000003</v>
      </c>
      <c r="J945">
        <v>-121.973677</v>
      </c>
      <c r="K945" t="s">
        <v>3936</v>
      </c>
      <c r="L945" t="s">
        <v>3946</v>
      </c>
      <c r="M945" t="s">
        <v>4906</v>
      </c>
      <c r="P945" t="s">
        <v>3810</v>
      </c>
    </row>
    <row r="946" spans="1:16" x14ac:dyDescent="0.2">
      <c r="A946" t="s">
        <v>1686</v>
      </c>
      <c r="B946" t="s">
        <v>3070</v>
      </c>
      <c r="C946" t="s">
        <v>2997</v>
      </c>
      <c r="D946" t="s">
        <v>2307</v>
      </c>
      <c r="E946">
        <v>98335</v>
      </c>
      <c r="F946" t="s">
        <v>1573</v>
      </c>
      <c r="G946" t="s">
        <v>2136</v>
      </c>
      <c r="H946" t="s">
        <v>4675</v>
      </c>
      <c r="I946">
        <v>47.308151000000002</v>
      </c>
      <c r="J946">
        <v>-122.575081</v>
      </c>
      <c r="K946" t="s">
        <v>3936</v>
      </c>
      <c r="L946" t="s">
        <v>3946</v>
      </c>
      <c r="M946" t="s">
        <v>4906</v>
      </c>
      <c r="P946" t="s">
        <v>3070</v>
      </c>
    </row>
    <row r="947" spans="1:16" x14ac:dyDescent="0.2">
      <c r="A947" t="s">
        <v>1826</v>
      </c>
      <c r="B947" t="s">
        <v>3825</v>
      </c>
      <c r="C947" t="s">
        <v>2900</v>
      </c>
      <c r="D947" t="s">
        <v>2307</v>
      </c>
      <c r="E947">
        <v>98201</v>
      </c>
      <c r="F947" t="s">
        <v>1587</v>
      </c>
      <c r="G947" t="s">
        <v>1987</v>
      </c>
      <c r="H947" t="s">
        <v>5533</v>
      </c>
      <c r="I947">
        <v>47.979111000000003</v>
      </c>
      <c r="J947">
        <v>-122.20551</v>
      </c>
      <c r="K947" t="s">
        <v>3936</v>
      </c>
      <c r="L947" t="s">
        <v>3946</v>
      </c>
      <c r="M947" t="s">
        <v>4906</v>
      </c>
      <c r="P947" t="s">
        <v>3825</v>
      </c>
    </row>
    <row r="948" spans="1:16" x14ac:dyDescent="0.2">
      <c r="A948" t="s">
        <v>2259</v>
      </c>
      <c r="B948" t="s">
        <v>3085</v>
      </c>
      <c r="C948" t="s">
        <v>2961</v>
      </c>
      <c r="D948" t="s">
        <v>2307</v>
      </c>
      <c r="E948">
        <v>98002</v>
      </c>
      <c r="F948" t="s">
        <v>1591</v>
      </c>
      <c r="G948" t="s">
        <v>1969</v>
      </c>
      <c r="H948" t="s">
        <v>4988</v>
      </c>
      <c r="I948">
        <v>47.272705000000002</v>
      </c>
      <c r="J948">
        <v>-122.229034</v>
      </c>
      <c r="K948" t="s">
        <v>3936</v>
      </c>
      <c r="L948" t="s">
        <v>3946</v>
      </c>
      <c r="M948" t="s">
        <v>4906</v>
      </c>
      <c r="P948" t="s">
        <v>3085</v>
      </c>
    </row>
    <row r="949" spans="1:16" x14ac:dyDescent="0.2">
      <c r="A949" t="s">
        <v>1738</v>
      </c>
      <c r="B949" t="s">
        <v>3830</v>
      </c>
      <c r="C949" t="s">
        <v>2900</v>
      </c>
      <c r="D949" t="s">
        <v>2307</v>
      </c>
      <c r="E949">
        <v>98201</v>
      </c>
      <c r="F949" t="s">
        <v>1585</v>
      </c>
      <c r="G949" t="s">
        <v>1988</v>
      </c>
      <c r="H949" t="s">
        <v>5199</v>
      </c>
      <c r="I949">
        <v>47.986818</v>
      </c>
      <c r="J949">
        <v>-122.20119</v>
      </c>
      <c r="K949" t="s">
        <v>3936</v>
      </c>
      <c r="L949" t="s">
        <v>3946</v>
      </c>
      <c r="M949" t="s">
        <v>4906</v>
      </c>
      <c r="P949" t="s">
        <v>3830</v>
      </c>
    </row>
    <row r="950" spans="1:16" x14ac:dyDescent="0.2">
      <c r="A950" t="s">
        <v>1686</v>
      </c>
      <c r="B950" t="s">
        <v>3100</v>
      </c>
      <c r="C950" t="s">
        <v>3067</v>
      </c>
      <c r="D950" t="s">
        <v>2307</v>
      </c>
      <c r="E950">
        <v>98407</v>
      </c>
      <c r="F950" t="s">
        <v>1573</v>
      </c>
      <c r="G950" t="s">
        <v>2136</v>
      </c>
      <c r="H950" t="s">
        <v>4686</v>
      </c>
      <c r="I950">
        <v>47.271296</v>
      </c>
      <c r="J950">
        <v>-122.515685</v>
      </c>
      <c r="K950" t="s">
        <v>3936</v>
      </c>
      <c r="L950" t="s">
        <v>3946</v>
      </c>
      <c r="M950" t="s">
        <v>4906</v>
      </c>
      <c r="P950" t="s">
        <v>3100</v>
      </c>
    </row>
    <row r="951" spans="1:16" x14ac:dyDescent="0.2">
      <c r="A951" t="s">
        <v>1834</v>
      </c>
      <c r="B951" t="s">
        <v>3837</v>
      </c>
      <c r="C951" t="s">
        <v>3149</v>
      </c>
      <c r="D951" t="s">
        <v>2307</v>
      </c>
      <c r="E951">
        <v>98258</v>
      </c>
      <c r="F951" t="s">
        <v>1583</v>
      </c>
      <c r="G951" t="s">
        <v>1980</v>
      </c>
      <c r="H951" t="s">
        <v>5810</v>
      </c>
      <c r="I951">
        <v>47.999079000000002</v>
      </c>
      <c r="J951">
        <v>-122.10850600000001</v>
      </c>
      <c r="K951" t="s">
        <v>3936</v>
      </c>
      <c r="L951" t="s">
        <v>3946</v>
      </c>
      <c r="M951" t="s">
        <v>4906</v>
      </c>
      <c r="P951" t="s">
        <v>5754</v>
      </c>
    </row>
    <row r="952" spans="1:16" x14ac:dyDescent="0.2">
      <c r="A952" t="s">
        <v>1738</v>
      </c>
      <c r="B952" t="s">
        <v>3843</v>
      </c>
      <c r="C952" t="s">
        <v>3149</v>
      </c>
      <c r="D952" t="s">
        <v>2307</v>
      </c>
      <c r="E952">
        <v>98258</v>
      </c>
      <c r="F952" t="s">
        <v>1585</v>
      </c>
      <c r="G952" t="s">
        <v>1988</v>
      </c>
      <c r="H952" t="s">
        <v>5201</v>
      </c>
      <c r="I952">
        <v>48.004618000000001</v>
      </c>
      <c r="J952">
        <v>-122.10576399999999</v>
      </c>
      <c r="K952" t="s">
        <v>3936</v>
      </c>
      <c r="L952" t="s">
        <v>3946</v>
      </c>
      <c r="M952" t="s">
        <v>4906</v>
      </c>
      <c r="P952" t="s">
        <v>3843</v>
      </c>
    </row>
    <row r="953" spans="1:16" x14ac:dyDescent="0.2">
      <c r="A953" t="s">
        <v>1686</v>
      </c>
      <c r="B953" t="s">
        <v>3168</v>
      </c>
      <c r="C953" t="s">
        <v>3162</v>
      </c>
      <c r="D953" t="s">
        <v>2307</v>
      </c>
      <c r="E953">
        <v>98466</v>
      </c>
      <c r="F953" t="s">
        <v>1573</v>
      </c>
      <c r="G953" t="s">
        <v>2136</v>
      </c>
      <c r="H953" t="s">
        <v>4723</v>
      </c>
      <c r="I953">
        <v>47.235548999999999</v>
      </c>
      <c r="J953">
        <v>-122.53052099999999</v>
      </c>
      <c r="K953" t="s">
        <v>3936</v>
      </c>
      <c r="L953" t="s">
        <v>3946</v>
      </c>
      <c r="M953" t="s">
        <v>4906</v>
      </c>
      <c r="P953" t="s">
        <v>3168</v>
      </c>
    </row>
    <row r="954" spans="1:16" x14ac:dyDescent="0.2">
      <c r="A954" t="s">
        <v>2272</v>
      </c>
      <c r="B954" t="s">
        <v>3169</v>
      </c>
      <c r="C954" t="s">
        <v>3170</v>
      </c>
      <c r="D954" t="s">
        <v>2307</v>
      </c>
      <c r="E954">
        <v>98294</v>
      </c>
      <c r="F954" t="s">
        <v>1591</v>
      </c>
      <c r="G954" t="s">
        <v>1969</v>
      </c>
      <c r="H954" t="s">
        <v>5534</v>
      </c>
      <c r="I954">
        <v>47.859422000000002</v>
      </c>
      <c r="J954">
        <v>-121.826204</v>
      </c>
      <c r="K954" t="s">
        <v>3936</v>
      </c>
      <c r="L954" t="s">
        <v>3946</v>
      </c>
      <c r="M954" t="s">
        <v>4906</v>
      </c>
      <c r="P954" t="s">
        <v>5713</v>
      </c>
    </row>
    <row r="955" spans="1:16" x14ac:dyDescent="0.2">
      <c r="A955" t="s">
        <v>1738</v>
      </c>
      <c r="B955" t="s">
        <v>3860</v>
      </c>
      <c r="C955" t="s">
        <v>3186</v>
      </c>
      <c r="D955" t="s">
        <v>2307</v>
      </c>
      <c r="E955">
        <v>98372</v>
      </c>
      <c r="F955" t="s">
        <v>1600</v>
      </c>
      <c r="G955" t="s">
        <v>5526</v>
      </c>
      <c r="H955" t="s">
        <v>5535</v>
      </c>
      <c r="I955">
        <v>47.192078000000002</v>
      </c>
      <c r="J955">
        <v>-122.273822</v>
      </c>
      <c r="K955" t="s">
        <v>3936</v>
      </c>
      <c r="L955" t="s">
        <v>3946</v>
      </c>
      <c r="M955" t="s">
        <v>4906</v>
      </c>
      <c r="P955" t="s">
        <v>3860</v>
      </c>
    </row>
    <row r="956" spans="1:16" x14ac:dyDescent="0.2">
      <c r="A956" t="s">
        <v>1686</v>
      </c>
      <c r="B956" t="s">
        <v>3229</v>
      </c>
      <c r="C956" t="s">
        <v>3067</v>
      </c>
      <c r="D956" t="s">
        <v>2307</v>
      </c>
      <c r="E956">
        <v>98408</v>
      </c>
      <c r="F956" t="s">
        <v>1573</v>
      </c>
      <c r="G956" t="s">
        <v>2136</v>
      </c>
      <c r="H956" t="s">
        <v>4762</v>
      </c>
      <c r="I956">
        <v>47.185597000000001</v>
      </c>
      <c r="J956">
        <v>-122.46293</v>
      </c>
      <c r="K956" t="s">
        <v>3936</v>
      </c>
      <c r="L956" t="s">
        <v>3946</v>
      </c>
      <c r="M956" t="s">
        <v>4906</v>
      </c>
      <c r="P956" t="s">
        <v>3229</v>
      </c>
    </row>
    <row r="957" spans="1:16" x14ac:dyDescent="0.2">
      <c r="A957" t="s">
        <v>1738</v>
      </c>
      <c r="B957" t="s">
        <v>3866</v>
      </c>
      <c r="C957" t="s">
        <v>3201</v>
      </c>
      <c r="D957" t="s">
        <v>2307</v>
      </c>
      <c r="E957">
        <v>98270</v>
      </c>
      <c r="F957" t="s">
        <v>1585</v>
      </c>
      <c r="G957" t="s">
        <v>1988</v>
      </c>
      <c r="H957" t="s">
        <v>5202</v>
      </c>
      <c r="I957">
        <v>48.080672</v>
      </c>
      <c r="J957">
        <v>-122.174673</v>
      </c>
      <c r="K957" t="s">
        <v>3936</v>
      </c>
      <c r="L957" t="s">
        <v>3946</v>
      </c>
      <c r="M957" t="s">
        <v>4906</v>
      </c>
      <c r="P957" t="s">
        <v>3866</v>
      </c>
    </row>
    <row r="958" spans="1:16" x14ac:dyDescent="0.2">
      <c r="A958" t="s">
        <v>1738</v>
      </c>
      <c r="B958" t="s">
        <v>3890</v>
      </c>
      <c r="C958" t="s">
        <v>3315</v>
      </c>
      <c r="D958" t="s">
        <v>2307</v>
      </c>
      <c r="E958">
        <v>98252</v>
      </c>
      <c r="F958" t="s">
        <v>1585</v>
      </c>
      <c r="G958" t="s">
        <v>1988</v>
      </c>
      <c r="H958" t="s">
        <v>5536</v>
      </c>
      <c r="I958">
        <v>48.085569999999997</v>
      </c>
      <c r="J958">
        <v>-121.96934899999999</v>
      </c>
      <c r="K958" t="s">
        <v>3936</v>
      </c>
      <c r="L958" t="s">
        <v>3946</v>
      </c>
      <c r="M958" t="s">
        <v>4906</v>
      </c>
      <c r="P958" t="s">
        <v>3890</v>
      </c>
    </row>
    <row r="959" spans="1:16" x14ac:dyDescent="0.2">
      <c r="A959" t="s">
        <v>2291</v>
      </c>
      <c r="B959" t="s">
        <v>3317</v>
      </c>
      <c r="C959" t="s">
        <v>3186</v>
      </c>
      <c r="D959" t="s">
        <v>2307</v>
      </c>
      <c r="E959">
        <v>98375</v>
      </c>
      <c r="F959" t="s">
        <v>1573</v>
      </c>
      <c r="G959" t="s">
        <v>1969</v>
      </c>
      <c r="H959" t="s">
        <v>4810</v>
      </c>
      <c r="I959">
        <v>47.111553000000001</v>
      </c>
      <c r="J959">
        <v>-122.293199</v>
      </c>
      <c r="K959" t="s">
        <v>3936</v>
      </c>
      <c r="L959" t="s">
        <v>3946</v>
      </c>
      <c r="M959" t="s">
        <v>4906</v>
      </c>
      <c r="P959" t="s">
        <v>3317</v>
      </c>
    </row>
    <row r="960" spans="1:16" x14ac:dyDescent="0.2">
      <c r="A960" t="s">
        <v>1686</v>
      </c>
      <c r="B960" t="s">
        <v>3318</v>
      </c>
      <c r="C960" t="s">
        <v>3186</v>
      </c>
      <c r="D960" t="s">
        <v>2307</v>
      </c>
      <c r="E960">
        <v>98375</v>
      </c>
      <c r="F960" t="s">
        <v>1573</v>
      </c>
      <c r="G960" t="s">
        <v>2136</v>
      </c>
      <c r="H960" t="s">
        <v>4811</v>
      </c>
      <c r="I960">
        <v>47.111007000000001</v>
      </c>
      <c r="J960">
        <v>-122.29355700000001</v>
      </c>
      <c r="K960" t="s">
        <v>3936</v>
      </c>
      <c r="L960" t="s">
        <v>3946</v>
      </c>
      <c r="M960" t="s">
        <v>4906</v>
      </c>
      <c r="P960" t="s">
        <v>3318</v>
      </c>
    </row>
    <row r="961" spans="1:16" x14ac:dyDescent="0.2">
      <c r="A961" t="s">
        <v>1868</v>
      </c>
      <c r="B961" t="s">
        <v>3897</v>
      </c>
      <c r="C961" t="s">
        <v>3329</v>
      </c>
      <c r="D961" t="s">
        <v>2307</v>
      </c>
      <c r="E961">
        <v>98223</v>
      </c>
      <c r="F961" t="s">
        <v>1583</v>
      </c>
      <c r="G961" t="s">
        <v>1980</v>
      </c>
      <c r="H961" t="s">
        <v>4208</v>
      </c>
      <c r="I961">
        <v>48.153683999999998</v>
      </c>
      <c r="J961">
        <v>-122.186718</v>
      </c>
      <c r="K961" t="s">
        <v>3936</v>
      </c>
      <c r="L961" t="s">
        <v>3946</v>
      </c>
      <c r="M961" t="s">
        <v>4906</v>
      </c>
      <c r="P961" t="s">
        <v>3897</v>
      </c>
    </row>
    <row r="962" spans="1:16" x14ac:dyDescent="0.2">
      <c r="A962" t="s">
        <v>1738</v>
      </c>
      <c r="B962" t="s">
        <v>5203</v>
      </c>
      <c r="C962" t="s">
        <v>3329</v>
      </c>
      <c r="D962" t="s">
        <v>2307</v>
      </c>
      <c r="E962">
        <v>98223</v>
      </c>
      <c r="F962" t="s">
        <v>1585</v>
      </c>
      <c r="G962" t="s">
        <v>1988</v>
      </c>
      <c r="H962" t="s">
        <v>5537</v>
      </c>
      <c r="I962">
        <v>48.154181000000001</v>
      </c>
      <c r="J962">
        <v>-122.18352</v>
      </c>
      <c r="K962" t="s">
        <v>3936</v>
      </c>
      <c r="L962" t="s">
        <v>3946</v>
      </c>
      <c r="M962" t="s">
        <v>4906</v>
      </c>
      <c r="P962" t="s">
        <v>5203</v>
      </c>
    </row>
    <row r="963" spans="1:16" x14ac:dyDescent="0.2">
      <c r="A963" t="s">
        <v>1686</v>
      </c>
      <c r="B963" t="s">
        <v>3375</v>
      </c>
      <c r="C963" t="s">
        <v>3376</v>
      </c>
      <c r="D963" t="s">
        <v>2307</v>
      </c>
      <c r="E963">
        <v>98516</v>
      </c>
      <c r="F963" t="s">
        <v>1573</v>
      </c>
      <c r="G963" t="s">
        <v>2136</v>
      </c>
      <c r="H963" t="s">
        <v>4845</v>
      </c>
      <c r="I963">
        <v>47.059403000000003</v>
      </c>
      <c r="J963">
        <v>-122.764836</v>
      </c>
      <c r="K963" t="s">
        <v>3936</v>
      </c>
      <c r="L963" t="s">
        <v>3946</v>
      </c>
      <c r="M963" t="s">
        <v>4906</v>
      </c>
      <c r="P963" t="s">
        <v>3375</v>
      </c>
    </row>
    <row r="964" spans="1:16" x14ac:dyDescent="0.2">
      <c r="A964" t="s">
        <v>1889</v>
      </c>
      <c r="B964" t="s">
        <v>3926</v>
      </c>
      <c r="C964" t="s">
        <v>3383</v>
      </c>
      <c r="D964" t="s">
        <v>2307</v>
      </c>
      <c r="E964">
        <v>98501</v>
      </c>
      <c r="F964" t="s">
        <v>1591</v>
      </c>
      <c r="G964" t="s">
        <v>1969</v>
      </c>
      <c r="H964" t="s">
        <v>4234</v>
      </c>
      <c r="I964">
        <v>47.045448</v>
      </c>
      <c r="J964">
        <v>-122.896557</v>
      </c>
      <c r="K964" t="s">
        <v>3936</v>
      </c>
      <c r="L964" t="s">
        <v>3946</v>
      </c>
      <c r="M964" t="s">
        <v>4906</v>
      </c>
      <c r="P964" t="s">
        <v>3926</v>
      </c>
    </row>
    <row r="965" spans="1:16" x14ac:dyDescent="0.2">
      <c r="A965" t="s">
        <v>1893</v>
      </c>
      <c r="B965" t="s">
        <v>3934</v>
      </c>
      <c r="C965" t="s">
        <v>3376</v>
      </c>
      <c r="D965" t="s">
        <v>2307</v>
      </c>
      <c r="E965">
        <v>98513</v>
      </c>
      <c r="F965" t="s">
        <v>1591</v>
      </c>
      <c r="G965" t="s">
        <v>1969</v>
      </c>
      <c r="H965" t="s">
        <v>4240</v>
      </c>
      <c r="I965">
        <v>46.995246999999999</v>
      </c>
      <c r="J965">
        <v>-122.827173</v>
      </c>
      <c r="K965" t="s">
        <v>3936</v>
      </c>
      <c r="L965" t="s">
        <v>3946</v>
      </c>
      <c r="M965" t="s">
        <v>4906</v>
      </c>
      <c r="P965" t="s">
        <v>5755</v>
      </c>
    </row>
    <row r="966" spans="1:16" x14ac:dyDescent="0.2">
      <c r="A966" t="s">
        <v>1576</v>
      </c>
      <c r="B966" t="s">
        <v>3454</v>
      </c>
      <c r="C966" t="s">
        <v>66</v>
      </c>
      <c r="D966" t="s">
        <v>2307</v>
      </c>
      <c r="E966">
        <v>98102</v>
      </c>
      <c r="F966" t="s">
        <v>1604</v>
      </c>
      <c r="G966" t="s">
        <v>1972</v>
      </c>
      <c r="H966" t="s">
        <v>4007</v>
      </c>
      <c r="I966">
        <v>47.624378999999998</v>
      </c>
      <c r="J966">
        <v>-122.321127</v>
      </c>
      <c r="K966" t="s">
        <v>3936</v>
      </c>
      <c r="L966" t="s">
        <v>3946</v>
      </c>
      <c r="M966" t="s">
        <v>4907</v>
      </c>
      <c r="P966" t="s">
        <v>3454</v>
      </c>
    </row>
    <row r="967" spans="1:16" x14ac:dyDescent="0.2">
      <c r="A967" t="s">
        <v>1903</v>
      </c>
      <c r="B967" t="s">
        <v>3458</v>
      </c>
      <c r="C967" t="s">
        <v>66</v>
      </c>
      <c r="D967" t="s">
        <v>2307</v>
      </c>
      <c r="E967">
        <v>98121</v>
      </c>
      <c r="F967" t="s">
        <v>1575</v>
      </c>
      <c r="G967" t="s">
        <v>1974</v>
      </c>
      <c r="H967" t="s">
        <v>4008</v>
      </c>
      <c r="I967">
        <v>47.613652000000002</v>
      </c>
      <c r="J967">
        <v>-122.344734</v>
      </c>
      <c r="K967" t="s">
        <v>3936</v>
      </c>
      <c r="L967" t="s">
        <v>3946</v>
      </c>
      <c r="M967" t="s">
        <v>4907</v>
      </c>
      <c r="P967" t="s">
        <v>3458</v>
      </c>
    </row>
    <row r="968" spans="1:16" x14ac:dyDescent="0.2">
      <c r="A968" t="s">
        <v>1905</v>
      </c>
      <c r="B968" t="s">
        <v>3460</v>
      </c>
      <c r="C968" t="s">
        <v>66</v>
      </c>
      <c r="D968" t="s">
        <v>2307</v>
      </c>
      <c r="E968">
        <v>98112</v>
      </c>
      <c r="F968" t="s">
        <v>1575</v>
      </c>
      <c r="G968" t="s">
        <v>1971</v>
      </c>
      <c r="H968" t="s">
        <v>5204</v>
      </c>
      <c r="I968">
        <v>47.622900000000001</v>
      </c>
      <c r="J968">
        <v>-122.313238</v>
      </c>
      <c r="K968" t="s">
        <v>3936</v>
      </c>
      <c r="L968" t="s">
        <v>3946</v>
      </c>
      <c r="M968" t="s">
        <v>4907</v>
      </c>
      <c r="P968" t="s">
        <v>3460</v>
      </c>
    </row>
    <row r="969" spans="1:16" x14ac:dyDescent="0.2">
      <c r="A969" t="s">
        <v>1605</v>
      </c>
      <c r="B969" t="s">
        <v>3551</v>
      </c>
      <c r="C969" t="s">
        <v>66</v>
      </c>
      <c r="D969" t="s">
        <v>2307</v>
      </c>
      <c r="E969">
        <v>98119</v>
      </c>
      <c r="F969" t="s">
        <v>1600</v>
      </c>
      <c r="G969" t="s">
        <v>1989</v>
      </c>
      <c r="H969" t="s">
        <v>5538</v>
      </c>
      <c r="I969">
        <v>47.651490000000003</v>
      </c>
      <c r="J969">
        <v>-122.375979</v>
      </c>
      <c r="K969" t="s">
        <v>3936</v>
      </c>
      <c r="L969" t="s">
        <v>3946</v>
      </c>
      <c r="M969" t="s">
        <v>4907</v>
      </c>
      <c r="P969" t="s">
        <v>3551</v>
      </c>
    </row>
    <row r="970" spans="1:16" x14ac:dyDescent="0.2">
      <c r="A970" t="s">
        <v>1920</v>
      </c>
      <c r="B970" t="s">
        <v>6256</v>
      </c>
      <c r="C970" t="s">
        <v>66</v>
      </c>
      <c r="D970" t="s">
        <v>2307</v>
      </c>
      <c r="E970">
        <v>98115</v>
      </c>
      <c r="F970" t="s">
        <v>1573</v>
      </c>
      <c r="G970" t="s">
        <v>1974</v>
      </c>
      <c r="H970" t="s">
        <v>5205</v>
      </c>
      <c r="I970">
        <v>47.675756</v>
      </c>
      <c r="J970">
        <v>-122.31992200000001</v>
      </c>
      <c r="K970" t="s">
        <v>3936</v>
      </c>
      <c r="L970" t="s">
        <v>3946</v>
      </c>
      <c r="M970" t="s">
        <v>4907</v>
      </c>
      <c r="P970" t="s">
        <v>6056</v>
      </c>
    </row>
    <row r="971" spans="1:16" x14ac:dyDescent="0.2">
      <c r="A971" t="s">
        <v>1922</v>
      </c>
      <c r="B971" t="s">
        <v>3477</v>
      </c>
      <c r="C971" t="s">
        <v>66</v>
      </c>
      <c r="D971" t="s">
        <v>2307</v>
      </c>
      <c r="E971">
        <v>98115</v>
      </c>
      <c r="F971" t="s">
        <v>1573</v>
      </c>
      <c r="G971" t="s">
        <v>1973</v>
      </c>
      <c r="H971" t="s">
        <v>5539</v>
      </c>
      <c r="I971">
        <v>47.680678</v>
      </c>
      <c r="J971">
        <v>-122.324636</v>
      </c>
      <c r="K971" t="s">
        <v>3936</v>
      </c>
      <c r="L971" t="s">
        <v>3946</v>
      </c>
      <c r="M971" t="s">
        <v>4907</v>
      </c>
      <c r="P971" t="s">
        <v>3477</v>
      </c>
    </row>
    <row r="972" spans="1:16" x14ac:dyDescent="0.2">
      <c r="A972" t="s">
        <v>4989</v>
      </c>
      <c r="B972" t="s">
        <v>4990</v>
      </c>
      <c r="C972" t="s">
        <v>66</v>
      </c>
      <c r="D972" t="s">
        <v>2307</v>
      </c>
      <c r="E972">
        <v>98144</v>
      </c>
      <c r="F972" t="s">
        <v>1583</v>
      </c>
      <c r="G972" t="s">
        <v>1980</v>
      </c>
      <c r="H972" t="s">
        <v>5540</v>
      </c>
      <c r="I972">
        <v>47.574872999999997</v>
      </c>
      <c r="J972">
        <v>-122.30935700000001</v>
      </c>
      <c r="K972" t="s">
        <v>3936</v>
      </c>
      <c r="L972" t="s">
        <v>3946</v>
      </c>
      <c r="M972" t="s">
        <v>4907</v>
      </c>
      <c r="P972" t="s">
        <v>4990</v>
      </c>
    </row>
    <row r="973" spans="1:16" x14ac:dyDescent="0.2">
      <c r="A973" t="s">
        <v>1630</v>
      </c>
      <c r="B973" t="s">
        <v>3577</v>
      </c>
      <c r="C973" t="s">
        <v>66</v>
      </c>
      <c r="D973" t="s">
        <v>2307</v>
      </c>
      <c r="E973">
        <v>98103</v>
      </c>
      <c r="F973" t="s">
        <v>1604</v>
      </c>
      <c r="G973" t="s">
        <v>1984</v>
      </c>
      <c r="H973" t="s">
        <v>5206</v>
      </c>
      <c r="I973">
        <v>47.691634000000001</v>
      </c>
      <c r="J973">
        <v>-122.355102</v>
      </c>
      <c r="K973" t="s">
        <v>3936</v>
      </c>
      <c r="L973" t="s">
        <v>3946</v>
      </c>
      <c r="M973" t="s">
        <v>4907</v>
      </c>
      <c r="P973" t="s">
        <v>3577</v>
      </c>
    </row>
    <row r="974" spans="1:16" x14ac:dyDescent="0.2">
      <c r="A974" t="s">
        <v>5207</v>
      </c>
      <c r="B974" t="s">
        <v>5208</v>
      </c>
      <c r="C974" t="s">
        <v>66</v>
      </c>
      <c r="D974" t="s">
        <v>2307</v>
      </c>
      <c r="E974">
        <v>98117</v>
      </c>
      <c r="F974" t="s">
        <v>1587</v>
      </c>
      <c r="G974" t="s">
        <v>1970</v>
      </c>
      <c r="H974" t="s">
        <v>5209</v>
      </c>
      <c r="I974">
        <v>47.700631000000001</v>
      </c>
      <c r="J974">
        <v>-122.36231600000001</v>
      </c>
      <c r="K974" t="s">
        <v>3936</v>
      </c>
      <c r="L974" t="s">
        <v>3946</v>
      </c>
      <c r="M974" t="s">
        <v>4907</v>
      </c>
      <c r="P974" t="s">
        <v>5208</v>
      </c>
    </row>
    <row r="975" spans="1:16" x14ac:dyDescent="0.2">
      <c r="A975" t="s">
        <v>1639</v>
      </c>
      <c r="B975" t="s">
        <v>3585</v>
      </c>
      <c r="C975" t="s">
        <v>66</v>
      </c>
      <c r="D975" t="s">
        <v>2307</v>
      </c>
      <c r="E975">
        <v>98133</v>
      </c>
      <c r="F975" t="s">
        <v>1583</v>
      </c>
      <c r="G975" t="s">
        <v>1980</v>
      </c>
      <c r="H975" t="s">
        <v>5210</v>
      </c>
      <c r="I975">
        <v>47.705362000000001</v>
      </c>
      <c r="J975">
        <v>-122.355664</v>
      </c>
      <c r="K975" t="s">
        <v>3936</v>
      </c>
      <c r="L975" t="s">
        <v>3946</v>
      </c>
      <c r="M975" t="s">
        <v>4907</v>
      </c>
      <c r="P975" t="s">
        <v>3585</v>
      </c>
    </row>
    <row r="976" spans="1:16" x14ac:dyDescent="0.2">
      <c r="A976" t="s">
        <v>1661</v>
      </c>
      <c r="B976" t="s">
        <v>3608</v>
      </c>
      <c r="C976" t="s">
        <v>66</v>
      </c>
      <c r="D976" t="s">
        <v>2307</v>
      </c>
      <c r="E976">
        <v>98118</v>
      </c>
      <c r="F976" t="s">
        <v>1583</v>
      </c>
      <c r="G976" t="s">
        <v>1980</v>
      </c>
      <c r="H976" t="s">
        <v>4068</v>
      </c>
      <c r="I976">
        <v>47.536929999999998</v>
      </c>
      <c r="J976">
        <v>-122.270205</v>
      </c>
      <c r="K976" t="s">
        <v>3936</v>
      </c>
      <c r="L976" t="s">
        <v>3946</v>
      </c>
      <c r="M976" t="s">
        <v>4907</v>
      </c>
      <c r="P976" t="s">
        <v>3608</v>
      </c>
    </row>
    <row r="977" spans="1:16" x14ac:dyDescent="0.2">
      <c r="A977" t="s">
        <v>1662</v>
      </c>
      <c r="B977" t="s">
        <v>3609</v>
      </c>
      <c r="C977" t="s">
        <v>66</v>
      </c>
      <c r="D977" t="s">
        <v>2307</v>
      </c>
      <c r="E977">
        <v>98118</v>
      </c>
      <c r="F977" t="s">
        <v>1575</v>
      </c>
      <c r="G977" t="s">
        <v>1982</v>
      </c>
      <c r="H977" t="s">
        <v>4069</v>
      </c>
      <c r="I977">
        <v>47.536929999999998</v>
      </c>
      <c r="J977">
        <v>-122.270205</v>
      </c>
      <c r="K977" t="s">
        <v>3936</v>
      </c>
      <c r="L977" t="s">
        <v>3946</v>
      </c>
      <c r="M977" t="s">
        <v>4907</v>
      </c>
      <c r="P977" t="s">
        <v>3609</v>
      </c>
    </row>
    <row r="978" spans="1:16" x14ac:dyDescent="0.2">
      <c r="A978" t="s">
        <v>1670</v>
      </c>
      <c r="B978" t="s">
        <v>3617</v>
      </c>
      <c r="C978" t="s">
        <v>3618</v>
      </c>
      <c r="D978" t="s">
        <v>2307</v>
      </c>
      <c r="E978">
        <v>98106</v>
      </c>
      <c r="F978" t="s">
        <v>1591</v>
      </c>
      <c r="G978" t="s">
        <v>1969</v>
      </c>
      <c r="H978" t="s">
        <v>5211</v>
      </c>
      <c r="I978">
        <v>47.515183</v>
      </c>
      <c r="J978">
        <v>-122.35417</v>
      </c>
      <c r="K978" t="s">
        <v>3936</v>
      </c>
      <c r="L978" t="s">
        <v>3946</v>
      </c>
      <c r="M978" t="s">
        <v>4907</v>
      </c>
      <c r="P978" t="s">
        <v>3617</v>
      </c>
    </row>
    <row r="979" spans="1:16" x14ac:dyDescent="0.2">
      <c r="A979" t="s">
        <v>1672</v>
      </c>
      <c r="B979" t="s">
        <v>3619</v>
      </c>
      <c r="C979" t="s">
        <v>2506</v>
      </c>
      <c r="D979" t="s">
        <v>2307</v>
      </c>
      <c r="E979">
        <v>98034</v>
      </c>
      <c r="F979" t="s">
        <v>1587</v>
      </c>
      <c r="G979" t="s">
        <v>1981</v>
      </c>
      <c r="H979" t="s">
        <v>5212</v>
      </c>
      <c r="I979">
        <v>47.706899</v>
      </c>
      <c r="J979">
        <v>-122.211214</v>
      </c>
      <c r="K979" t="s">
        <v>3936</v>
      </c>
      <c r="L979" t="s">
        <v>3946</v>
      </c>
      <c r="M979" t="s">
        <v>4907</v>
      </c>
      <c r="P979" t="s">
        <v>3619</v>
      </c>
    </row>
    <row r="980" spans="1:16" x14ac:dyDescent="0.2">
      <c r="A980" t="s">
        <v>1673</v>
      </c>
      <c r="B980" t="s">
        <v>3620</v>
      </c>
      <c r="C980" t="s">
        <v>2555</v>
      </c>
      <c r="D980" t="s">
        <v>2307</v>
      </c>
      <c r="E980">
        <v>98110</v>
      </c>
      <c r="F980" t="s">
        <v>1575</v>
      </c>
      <c r="G980" t="s">
        <v>1987</v>
      </c>
      <c r="H980" t="s">
        <v>4071</v>
      </c>
      <c r="I980">
        <v>47.624972999999997</v>
      </c>
      <c r="J980">
        <v>-122.518126</v>
      </c>
      <c r="K980" t="s">
        <v>3936</v>
      </c>
      <c r="L980" t="s">
        <v>3946</v>
      </c>
      <c r="M980" t="s">
        <v>4907</v>
      </c>
      <c r="P980" t="s">
        <v>3620</v>
      </c>
    </row>
    <row r="981" spans="1:16" x14ac:dyDescent="0.2">
      <c r="A981" t="s">
        <v>1675</v>
      </c>
      <c r="B981" t="s">
        <v>3623</v>
      </c>
      <c r="C981" t="s">
        <v>66</v>
      </c>
      <c r="D981" t="s">
        <v>2307</v>
      </c>
      <c r="E981">
        <v>98118</v>
      </c>
      <c r="F981" t="s">
        <v>1575</v>
      </c>
      <c r="G981" t="s">
        <v>1984</v>
      </c>
      <c r="H981" t="s">
        <v>5541</v>
      </c>
      <c r="I981">
        <v>47.519947999999999</v>
      </c>
      <c r="J981">
        <v>-122.263052</v>
      </c>
      <c r="K981" t="s">
        <v>3936</v>
      </c>
      <c r="L981" t="s">
        <v>3946</v>
      </c>
      <c r="M981" t="s">
        <v>4907</v>
      </c>
      <c r="P981" t="s">
        <v>3623</v>
      </c>
    </row>
    <row r="982" spans="1:16" x14ac:dyDescent="0.2">
      <c r="A982" t="s">
        <v>2133</v>
      </c>
      <c r="B982" t="s">
        <v>2573</v>
      </c>
      <c r="C982" t="s">
        <v>2574</v>
      </c>
      <c r="D982" t="s">
        <v>2307</v>
      </c>
      <c r="E982">
        <v>98155</v>
      </c>
      <c r="F982" t="s">
        <v>2039</v>
      </c>
      <c r="G982" t="s">
        <v>2056</v>
      </c>
      <c r="H982" t="s">
        <v>4991</v>
      </c>
      <c r="I982">
        <v>47.752889000000003</v>
      </c>
      <c r="J982">
        <v>-122.27849399999999</v>
      </c>
      <c r="K982" t="s">
        <v>3936</v>
      </c>
      <c r="L982" t="s">
        <v>3946</v>
      </c>
      <c r="M982" t="s">
        <v>4907</v>
      </c>
      <c r="P982" t="s">
        <v>2573</v>
      </c>
    </row>
    <row r="983" spans="1:16" x14ac:dyDescent="0.2">
      <c r="A983" t="s">
        <v>2133</v>
      </c>
      <c r="B983" t="s">
        <v>2602</v>
      </c>
      <c r="C983" t="s">
        <v>2502</v>
      </c>
      <c r="D983" t="s">
        <v>2307</v>
      </c>
      <c r="E983">
        <v>98008</v>
      </c>
      <c r="F983" t="s">
        <v>1583</v>
      </c>
      <c r="G983" t="s">
        <v>1980</v>
      </c>
      <c r="H983" t="s">
        <v>5542</v>
      </c>
      <c r="I983">
        <v>47.617179999999998</v>
      </c>
      <c r="J983">
        <v>-122.13212799999999</v>
      </c>
      <c r="K983" t="s">
        <v>3936</v>
      </c>
      <c r="L983" t="s">
        <v>3946</v>
      </c>
      <c r="M983" t="s">
        <v>4907</v>
      </c>
      <c r="P983" t="s">
        <v>2602</v>
      </c>
    </row>
    <row r="984" spans="1:16" x14ac:dyDescent="0.2">
      <c r="A984" t="s">
        <v>1699</v>
      </c>
      <c r="B984" t="s">
        <v>3645</v>
      </c>
      <c r="C984" t="s">
        <v>2586</v>
      </c>
      <c r="D984" t="s">
        <v>2307</v>
      </c>
      <c r="E984">
        <v>98052</v>
      </c>
      <c r="F984" t="s">
        <v>1604</v>
      </c>
      <c r="G984" t="s">
        <v>1979</v>
      </c>
      <c r="H984" t="s">
        <v>5543</v>
      </c>
      <c r="I984">
        <v>47.668598000000003</v>
      </c>
      <c r="J984">
        <v>-122.119041</v>
      </c>
      <c r="K984" t="s">
        <v>3936</v>
      </c>
      <c r="L984" t="s">
        <v>3946</v>
      </c>
      <c r="M984" t="s">
        <v>4907</v>
      </c>
      <c r="P984" t="s">
        <v>5714</v>
      </c>
    </row>
    <row r="985" spans="1:16" x14ac:dyDescent="0.2">
      <c r="A985" t="s">
        <v>1701</v>
      </c>
      <c r="B985" t="s">
        <v>3647</v>
      </c>
      <c r="C985" t="s">
        <v>2581</v>
      </c>
      <c r="D985" t="s">
        <v>2307</v>
      </c>
      <c r="E985">
        <v>98166</v>
      </c>
      <c r="F985" t="s">
        <v>1575</v>
      </c>
      <c r="G985" t="s">
        <v>1981</v>
      </c>
      <c r="H985" t="s">
        <v>4085</v>
      </c>
      <c r="I985">
        <v>47.473092999999999</v>
      </c>
      <c r="J985">
        <v>-122.347489</v>
      </c>
      <c r="K985" t="s">
        <v>3936</v>
      </c>
      <c r="L985" t="s">
        <v>3946</v>
      </c>
      <c r="M985" t="s">
        <v>4907</v>
      </c>
      <c r="P985" t="s">
        <v>3647</v>
      </c>
    </row>
    <row r="986" spans="1:16" x14ac:dyDescent="0.2">
      <c r="A986" t="s">
        <v>1707</v>
      </c>
      <c r="B986" t="s">
        <v>3655</v>
      </c>
      <c r="C986" t="s">
        <v>2581</v>
      </c>
      <c r="D986" t="s">
        <v>2307</v>
      </c>
      <c r="E986">
        <v>98166</v>
      </c>
      <c r="F986" t="s">
        <v>1587</v>
      </c>
      <c r="G986" t="s">
        <v>1973</v>
      </c>
      <c r="H986" t="s">
        <v>5213</v>
      </c>
      <c r="I986">
        <v>47.466991</v>
      </c>
      <c r="J986">
        <v>-122.336933</v>
      </c>
      <c r="K986" t="s">
        <v>3936</v>
      </c>
      <c r="L986" t="s">
        <v>3946</v>
      </c>
      <c r="M986" t="s">
        <v>4907</v>
      </c>
      <c r="P986" t="s">
        <v>3655</v>
      </c>
    </row>
    <row r="987" spans="1:16" x14ac:dyDescent="0.2">
      <c r="A987" t="s">
        <v>1713</v>
      </c>
      <c r="B987" t="s">
        <v>3661</v>
      </c>
      <c r="C987" t="s">
        <v>2597</v>
      </c>
      <c r="D987" t="s">
        <v>2307</v>
      </c>
      <c r="E987">
        <v>98056</v>
      </c>
      <c r="F987" t="s">
        <v>1600</v>
      </c>
      <c r="G987" t="s">
        <v>1989</v>
      </c>
      <c r="H987" t="s">
        <v>4091</v>
      </c>
      <c r="I987">
        <v>47.504511999999998</v>
      </c>
      <c r="J987">
        <v>-122.17580599999999</v>
      </c>
      <c r="K987" t="s">
        <v>3936</v>
      </c>
      <c r="L987" t="s">
        <v>3946</v>
      </c>
      <c r="M987" t="s">
        <v>4907</v>
      </c>
      <c r="P987" t="s">
        <v>3661</v>
      </c>
    </row>
    <row r="988" spans="1:16" x14ac:dyDescent="0.2">
      <c r="A988" t="s">
        <v>2155</v>
      </c>
      <c r="B988" t="s">
        <v>2677</v>
      </c>
      <c r="C988" t="s">
        <v>2597</v>
      </c>
      <c r="D988" t="s">
        <v>2307</v>
      </c>
      <c r="E988">
        <v>98057</v>
      </c>
      <c r="F988" t="s">
        <v>1716</v>
      </c>
      <c r="G988" t="s">
        <v>2005</v>
      </c>
      <c r="H988" t="s">
        <v>4456</v>
      </c>
      <c r="I988">
        <v>47.487063999999997</v>
      </c>
      <c r="J988">
        <v>-122.20201299999999</v>
      </c>
      <c r="K988" t="s">
        <v>3936</v>
      </c>
      <c r="L988" t="s">
        <v>3946</v>
      </c>
      <c r="M988" t="s">
        <v>4907</v>
      </c>
      <c r="P988" t="s">
        <v>5715</v>
      </c>
    </row>
    <row r="989" spans="1:16" x14ac:dyDescent="0.2">
      <c r="A989" t="s">
        <v>1721</v>
      </c>
      <c r="B989" t="s">
        <v>3672</v>
      </c>
      <c r="C989" t="s">
        <v>2597</v>
      </c>
      <c r="D989" t="s">
        <v>2307</v>
      </c>
      <c r="E989">
        <v>98059</v>
      </c>
      <c r="F989" t="s">
        <v>1575</v>
      </c>
      <c r="G989" t="s">
        <v>1973</v>
      </c>
      <c r="H989" t="s">
        <v>5214</v>
      </c>
      <c r="I989">
        <v>47.504058000000001</v>
      </c>
      <c r="J989">
        <v>-122.164468</v>
      </c>
      <c r="K989" t="s">
        <v>3936</v>
      </c>
      <c r="L989" t="s">
        <v>3946</v>
      </c>
      <c r="M989" t="s">
        <v>4907</v>
      </c>
      <c r="P989" t="s">
        <v>3672</v>
      </c>
    </row>
    <row r="990" spans="1:16" x14ac:dyDescent="0.2">
      <c r="A990" t="s">
        <v>1670</v>
      </c>
      <c r="B990" t="s">
        <v>3683</v>
      </c>
      <c r="C990" t="s">
        <v>2717</v>
      </c>
      <c r="D990" t="s">
        <v>2307</v>
      </c>
      <c r="E990">
        <v>98036</v>
      </c>
      <c r="F990" t="s">
        <v>1591</v>
      </c>
      <c r="G990" t="s">
        <v>1969</v>
      </c>
      <c r="H990" t="s">
        <v>5544</v>
      </c>
      <c r="I990">
        <v>47.811832000000003</v>
      </c>
      <c r="J990">
        <v>-122.32272500000001</v>
      </c>
      <c r="K990" t="s">
        <v>3936</v>
      </c>
      <c r="L990" t="s">
        <v>3946</v>
      </c>
      <c r="M990" t="s">
        <v>4907</v>
      </c>
      <c r="P990" t="s">
        <v>3683</v>
      </c>
    </row>
    <row r="991" spans="1:16" x14ac:dyDescent="0.2">
      <c r="A991" t="s">
        <v>1721</v>
      </c>
      <c r="B991" t="s">
        <v>3687</v>
      </c>
      <c r="C991" t="s">
        <v>2581</v>
      </c>
      <c r="D991" t="s">
        <v>2307</v>
      </c>
      <c r="E991">
        <v>98148</v>
      </c>
      <c r="F991" t="s">
        <v>1575</v>
      </c>
      <c r="G991" t="s">
        <v>1973</v>
      </c>
      <c r="H991" t="s">
        <v>5545</v>
      </c>
      <c r="I991">
        <v>47.444727999999998</v>
      </c>
      <c r="J991">
        <v>-122.33382400000001</v>
      </c>
      <c r="K991" t="s">
        <v>3936</v>
      </c>
      <c r="L991" t="s">
        <v>3946</v>
      </c>
      <c r="M991" t="s">
        <v>4907</v>
      </c>
      <c r="P991" t="s">
        <v>3687</v>
      </c>
    </row>
    <row r="992" spans="1:16" x14ac:dyDescent="0.2">
      <c r="A992" t="s">
        <v>1736</v>
      </c>
      <c r="B992" t="s">
        <v>3694</v>
      </c>
      <c r="C992" t="s">
        <v>2717</v>
      </c>
      <c r="D992" t="s">
        <v>2307</v>
      </c>
      <c r="E992">
        <v>98036</v>
      </c>
      <c r="F992" t="s">
        <v>1575</v>
      </c>
      <c r="G992" t="s">
        <v>2002</v>
      </c>
      <c r="H992" t="s">
        <v>4108</v>
      </c>
      <c r="I992">
        <v>47.821472</v>
      </c>
      <c r="J992">
        <v>-122.325413</v>
      </c>
      <c r="K992" t="s">
        <v>3936</v>
      </c>
      <c r="L992" t="s">
        <v>3946</v>
      </c>
      <c r="M992" t="s">
        <v>4907</v>
      </c>
      <c r="P992" t="s">
        <v>3694</v>
      </c>
    </row>
    <row r="993" spans="1:16" x14ac:dyDescent="0.2">
      <c r="A993" t="s">
        <v>1740</v>
      </c>
      <c r="B993" t="s">
        <v>3702</v>
      </c>
      <c r="C993" t="s">
        <v>2754</v>
      </c>
      <c r="D993" t="s">
        <v>2307</v>
      </c>
      <c r="E993">
        <v>98310</v>
      </c>
      <c r="F993" t="s">
        <v>1575</v>
      </c>
      <c r="G993" t="s">
        <v>1971</v>
      </c>
      <c r="H993" t="s">
        <v>5215</v>
      </c>
      <c r="I993">
        <v>47.601778000000003</v>
      </c>
      <c r="J993">
        <v>-122.62901599999999</v>
      </c>
      <c r="K993" t="s">
        <v>3936</v>
      </c>
      <c r="L993" t="s">
        <v>3946</v>
      </c>
      <c r="M993" t="s">
        <v>4907</v>
      </c>
      <c r="P993" t="s">
        <v>3702</v>
      </c>
    </row>
    <row r="994" spans="1:16" x14ac:dyDescent="0.2">
      <c r="A994" t="s">
        <v>1741</v>
      </c>
      <c r="B994" t="s">
        <v>6257</v>
      </c>
      <c r="C994" t="s">
        <v>2754</v>
      </c>
      <c r="D994" t="s">
        <v>2307</v>
      </c>
      <c r="E994">
        <v>98311</v>
      </c>
      <c r="F994" t="s">
        <v>1583</v>
      </c>
      <c r="G994" t="s">
        <v>1980</v>
      </c>
      <c r="H994" t="s">
        <v>4114</v>
      </c>
      <c r="I994">
        <v>47.608806000000001</v>
      </c>
      <c r="J994">
        <v>-122.630808</v>
      </c>
      <c r="K994" t="s">
        <v>3936</v>
      </c>
      <c r="L994" t="s">
        <v>3946</v>
      </c>
      <c r="M994" t="s">
        <v>4907</v>
      </c>
      <c r="P994" t="s">
        <v>6057</v>
      </c>
    </row>
    <row r="995" spans="1:16" x14ac:dyDescent="0.2">
      <c r="A995" t="s">
        <v>1747</v>
      </c>
      <c r="B995" t="s">
        <v>3708</v>
      </c>
      <c r="C995" t="s">
        <v>2548</v>
      </c>
      <c r="D995" t="s">
        <v>2307</v>
      </c>
      <c r="E995">
        <v>98012</v>
      </c>
      <c r="F995" t="s">
        <v>1573</v>
      </c>
      <c r="G995" t="s">
        <v>1995</v>
      </c>
      <c r="H995" t="s">
        <v>5546</v>
      </c>
      <c r="I995">
        <v>47.811093999999997</v>
      </c>
      <c r="J995">
        <v>-122.207436</v>
      </c>
      <c r="K995" t="s">
        <v>3936</v>
      </c>
      <c r="L995" t="s">
        <v>3946</v>
      </c>
      <c r="M995" t="s">
        <v>4907</v>
      </c>
      <c r="P995" t="s">
        <v>5716</v>
      </c>
    </row>
    <row r="996" spans="1:16" x14ac:dyDescent="0.2">
      <c r="A996" t="s">
        <v>1748</v>
      </c>
      <c r="B996" t="s">
        <v>3711</v>
      </c>
      <c r="C996" t="s">
        <v>2783</v>
      </c>
      <c r="D996" t="s">
        <v>2307</v>
      </c>
      <c r="E996">
        <v>98074</v>
      </c>
      <c r="F996" t="s">
        <v>1573</v>
      </c>
      <c r="G996" t="s">
        <v>1982</v>
      </c>
      <c r="H996" t="s">
        <v>5216</v>
      </c>
      <c r="I996">
        <v>47.613506999999998</v>
      </c>
      <c r="J996">
        <v>-122.035295</v>
      </c>
      <c r="K996" t="s">
        <v>3936</v>
      </c>
      <c r="L996" t="s">
        <v>3946</v>
      </c>
      <c r="M996" t="s">
        <v>4907</v>
      </c>
      <c r="P996" t="s">
        <v>5717</v>
      </c>
    </row>
    <row r="997" spans="1:16" x14ac:dyDescent="0.2">
      <c r="A997" t="s">
        <v>1753</v>
      </c>
      <c r="B997" t="s">
        <v>3718</v>
      </c>
      <c r="C997" t="s">
        <v>2783</v>
      </c>
      <c r="D997" t="s">
        <v>2307</v>
      </c>
      <c r="E997">
        <v>98075</v>
      </c>
      <c r="F997" t="s">
        <v>1573</v>
      </c>
      <c r="G997" t="s">
        <v>1982</v>
      </c>
      <c r="H997" t="s">
        <v>5217</v>
      </c>
      <c r="I997">
        <v>47.581251000000002</v>
      </c>
      <c r="J997">
        <v>-122.032208</v>
      </c>
      <c r="K997" t="s">
        <v>3936</v>
      </c>
      <c r="L997" t="s">
        <v>3946</v>
      </c>
      <c r="M997" t="s">
        <v>4907</v>
      </c>
      <c r="P997" t="s">
        <v>5718</v>
      </c>
    </row>
    <row r="998" spans="1:16" x14ac:dyDescent="0.2">
      <c r="A998" t="s">
        <v>2133</v>
      </c>
      <c r="B998" t="s">
        <v>2816</v>
      </c>
      <c r="C998" t="s">
        <v>2717</v>
      </c>
      <c r="D998" t="s">
        <v>2307</v>
      </c>
      <c r="E998">
        <v>98037</v>
      </c>
      <c r="F998" t="s">
        <v>1583</v>
      </c>
      <c r="G998" t="s">
        <v>1980</v>
      </c>
      <c r="H998" t="s">
        <v>5218</v>
      </c>
      <c r="I998">
        <v>47.842787000000001</v>
      </c>
      <c r="J998">
        <v>-122.29621899999999</v>
      </c>
      <c r="K998" t="s">
        <v>3936</v>
      </c>
      <c r="L998" t="s">
        <v>3946</v>
      </c>
      <c r="M998" t="s">
        <v>4907</v>
      </c>
      <c r="P998" t="s">
        <v>2816</v>
      </c>
    </row>
    <row r="999" spans="1:16" x14ac:dyDescent="0.2">
      <c r="A999" t="s">
        <v>1754</v>
      </c>
      <c r="B999" t="s">
        <v>3720</v>
      </c>
      <c r="C999" t="s">
        <v>2717</v>
      </c>
      <c r="D999" t="s">
        <v>2307</v>
      </c>
      <c r="E999">
        <v>98037</v>
      </c>
      <c r="F999" t="s">
        <v>1591</v>
      </c>
      <c r="G999" t="s">
        <v>1969</v>
      </c>
      <c r="H999" t="s">
        <v>5547</v>
      </c>
      <c r="I999">
        <v>47.847054999999997</v>
      </c>
      <c r="J999">
        <v>-122.29469</v>
      </c>
      <c r="K999" t="s">
        <v>3936</v>
      </c>
      <c r="L999" t="s">
        <v>3946</v>
      </c>
      <c r="M999" t="s">
        <v>4907</v>
      </c>
      <c r="P999" t="s">
        <v>3720</v>
      </c>
    </row>
    <row r="1000" spans="1:16" x14ac:dyDescent="0.2">
      <c r="A1000" t="s">
        <v>1757</v>
      </c>
      <c r="B1000" t="s">
        <v>3724</v>
      </c>
      <c r="C1000" t="s">
        <v>2785</v>
      </c>
      <c r="D1000" t="s">
        <v>2307</v>
      </c>
      <c r="E1000">
        <v>98027</v>
      </c>
      <c r="F1000" t="s">
        <v>1573</v>
      </c>
      <c r="G1000" t="s">
        <v>1982</v>
      </c>
      <c r="H1000" t="s">
        <v>4992</v>
      </c>
      <c r="I1000">
        <v>47.540356000000003</v>
      </c>
      <c r="J1000">
        <v>-122.039834</v>
      </c>
      <c r="K1000" t="s">
        <v>3936</v>
      </c>
      <c r="L1000" t="s">
        <v>3946</v>
      </c>
      <c r="M1000" t="s">
        <v>4907</v>
      </c>
      <c r="P1000" t="s">
        <v>3724</v>
      </c>
    </row>
    <row r="1001" spans="1:16" x14ac:dyDescent="0.2">
      <c r="A1001" t="s">
        <v>1713</v>
      </c>
      <c r="B1001" t="s">
        <v>3728</v>
      </c>
      <c r="C1001" t="s">
        <v>2597</v>
      </c>
      <c r="D1001" t="s">
        <v>2307</v>
      </c>
      <c r="E1001">
        <v>98058</v>
      </c>
      <c r="F1001" t="s">
        <v>1600</v>
      </c>
      <c r="G1001" t="s">
        <v>1989</v>
      </c>
      <c r="H1001" t="s">
        <v>4122</v>
      </c>
      <c r="I1001">
        <v>47.444333999999998</v>
      </c>
      <c r="J1001">
        <v>-122.148861</v>
      </c>
      <c r="K1001" t="s">
        <v>3936</v>
      </c>
      <c r="L1001" t="s">
        <v>3946</v>
      </c>
      <c r="M1001" t="s">
        <v>4907</v>
      </c>
      <c r="P1001" t="s">
        <v>3728</v>
      </c>
    </row>
    <row r="1002" spans="1:16" x14ac:dyDescent="0.2">
      <c r="A1002" t="s">
        <v>1763</v>
      </c>
      <c r="B1002" t="s">
        <v>3732</v>
      </c>
      <c r="C1002" t="s">
        <v>2830</v>
      </c>
      <c r="D1002" t="s">
        <v>2307</v>
      </c>
      <c r="E1002">
        <v>98198</v>
      </c>
      <c r="F1002" t="s">
        <v>1600</v>
      </c>
      <c r="G1002" t="s">
        <v>1973</v>
      </c>
      <c r="H1002" t="s">
        <v>5220</v>
      </c>
      <c r="I1002">
        <v>47.401609999999998</v>
      </c>
      <c r="J1002">
        <v>-122.32570800000001</v>
      </c>
      <c r="K1002" t="s">
        <v>3936</v>
      </c>
      <c r="L1002" t="s">
        <v>3946</v>
      </c>
      <c r="M1002" t="s">
        <v>4907</v>
      </c>
      <c r="P1002" t="s">
        <v>3732</v>
      </c>
    </row>
    <row r="1003" spans="1:16" x14ac:dyDescent="0.2">
      <c r="A1003" t="s">
        <v>1767</v>
      </c>
      <c r="B1003" t="s">
        <v>3735</v>
      </c>
      <c r="C1003" t="s">
        <v>2780</v>
      </c>
      <c r="D1003" t="s">
        <v>2307</v>
      </c>
      <c r="E1003">
        <v>98032</v>
      </c>
      <c r="F1003" t="s">
        <v>1604</v>
      </c>
      <c r="G1003" t="s">
        <v>1982</v>
      </c>
      <c r="H1003" t="s">
        <v>4125</v>
      </c>
      <c r="I1003">
        <v>47.410668999999999</v>
      </c>
      <c r="J1003">
        <v>-122.227779</v>
      </c>
      <c r="K1003" t="s">
        <v>3936</v>
      </c>
      <c r="L1003" t="s">
        <v>3946</v>
      </c>
      <c r="M1003" t="s">
        <v>4907</v>
      </c>
      <c r="P1003" t="s">
        <v>3735</v>
      </c>
    </row>
    <row r="1004" spans="1:16" x14ac:dyDescent="0.2">
      <c r="A1004" t="s">
        <v>1769</v>
      </c>
      <c r="B1004" t="s">
        <v>3514</v>
      </c>
      <c r="C1004" t="s">
        <v>2785</v>
      </c>
      <c r="D1004" t="s">
        <v>2307</v>
      </c>
      <c r="E1004">
        <v>98029</v>
      </c>
      <c r="F1004" t="s">
        <v>1604</v>
      </c>
      <c r="G1004" t="s">
        <v>1982</v>
      </c>
      <c r="H1004" t="s">
        <v>4993</v>
      </c>
      <c r="I1004">
        <v>47.543579000000001</v>
      </c>
      <c r="J1004">
        <v>-122.01559899999999</v>
      </c>
      <c r="K1004" t="s">
        <v>3936</v>
      </c>
      <c r="L1004" t="s">
        <v>3946</v>
      </c>
      <c r="M1004" t="s">
        <v>4907</v>
      </c>
      <c r="P1004" t="s">
        <v>3514</v>
      </c>
    </row>
    <row r="1005" spans="1:16" x14ac:dyDescent="0.2">
      <c r="A1005" t="s">
        <v>1740</v>
      </c>
      <c r="B1005" t="s">
        <v>3740</v>
      </c>
      <c r="C1005" t="s">
        <v>2848</v>
      </c>
      <c r="D1005" t="s">
        <v>2307</v>
      </c>
      <c r="E1005">
        <v>98383</v>
      </c>
      <c r="F1005" t="s">
        <v>1575</v>
      </c>
      <c r="G1005" t="s">
        <v>1971</v>
      </c>
      <c r="H1005" t="s">
        <v>4994</v>
      </c>
      <c r="I1005">
        <v>47.657378000000001</v>
      </c>
      <c r="J1005">
        <v>-122.686987</v>
      </c>
      <c r="K1005" t="s">
        <v>3936</v>
      </c>
      <c r="L1005" t="s">
        <v>3946</v>
      </c>
      <c r="M1005" t="s">
        <v>4907</v>
      </c>
      <c r="P1005" t="s">
        <v>3740</v>
      </c>
    </row>
    <row r="1006" spans="1:16" x14ac:dyDescent="0.2">
      <c r="A1006" t="s">
        <v>1740</v>
      </c>
      <c r="B1006" t="s">
        <v>3744</v>
      </c>
      <c r="C1006" t="s">
        <v>2780</v>
      </c>
      <c r="D1006" t="s">
        <v>2307</v>
      </c>
      <c r="E1006">
        <v>98032</v>
      </c>
      <c r="F1006" t="s">
        <v>1575</v>
      </c>
      <c r="G1006" t="s">
        <v>1971</v>
      </c>
      <c r="H1006" t="s">
        <v>5221</v>
      </c>
      <c r="I1006">
        <v>47.393227000000003</v>
      </c>
      <c r="J1006">
        <v>-122.295084</v>
      </c>
      <c r="K1006" t="s">
        <v>3936</v>
      </c>
      <c r="L1006" t="s">
        <v>3946</v>
      </c>
      <c r="M1006" t="s">
        <v>4907</v>
      </c>
      <c r="P1006" t="s">
        <v>3744</v>
      </c>
    </row>
    <row r="1007" spans="1:16" x14ac:dyDescent="0.2">
      <c r="A1007" t="s">
        <v>1771</v>
      </c>
      <c r="B1007" t="s">
        <v>3746</v>
      </c>
      <c r="C1007" t="s">
        <v>2848</v>
      </c>
      <c r="D1007" t="s">
        <v>2307</v>
      </c>
      <c r="E1007">
        <v>98383</v>
      </c>
      <c r="F1007" t="s">
        <v>1583</v>
      </c>
      <c r="G1007" t="s">
        <v>1980</v>
      </c>
      <c r="H1007" t="s">
        <v>4133</v>
      </c>
      <c r="I1007">
        <v>47.649152999999998</v>
      </c>
      <c r="J1007">
        <v>-122.695262</v>
      </c>
      <c r="K1007" t="s">
        <v>3936</v>
      </c>
      <c r="L1007" t="s">
        <v>3946</v>
      </c>
      <c r="M1007" t="s">
        <v>4907</v>
      </c>
      <c r="P1007" t="s">
        <v>3746</v>
      </c>
    </row>
    <row r="1008" spans="1:16" x14ac:dyDescent="0.2">
      <c r="A1008" t="s">
        <v>5222</v>
      </c>
      <c r="B1008" t="s">
        <v>2878</v>
      </c>
      <c r="C1008" t="s">
        <v>2830</v>
      </c>
      <c r="D1008" t="s">
        <v>2307</v>
      </c>
      <c r="E1008">
        <v>98198</v>
      </c>
      <c r="F1008" t="s">
        <v>1583</v>
      </c>
      <c r="G1008" t="s">
        <v>1980</v>
      </c>
      <c r="H1008" t="s">
        <v>5548</v>
      </c>
      <c r="I1008">
        <v>47.389912000000002</v>
      </c>
      <c r="J1008">
        <v>-122.295821</v>
      </c>
      <c r="K1008" t="s">
        <v>3936</v>
      </c>
      <c r="L1008" t="s">
        <v>3946</v>
      </c>
      <c r="M1008" t="s">
        <v>4907</v>
      </c>
      <c r="P1008" t="s">
        <v>2878</v>
      </c>
    </row>
    <row r="1009" spans="1:16" x14ac:dyDescent="0.2">
      <c r="A1009" t="s">
        <v>1772</v>
      </c>
      <c r="B1009" t="s">
        <v>3749</v>
      </c>
      <c r="C1009" t="s">
        <v>2754</v>
      </c>
      <c r="D1009" t="s">
        <v>2307</v>
      </c>
      <c r="E1009">
        <v>98312</v>
      </c>
      <c r="F1009" t="s">
        <v>1600</v>
      </c>
      <c r="G1009" t="s">
        <v>2000</v>
      </c>
      <c r="H1009" t="s">
        <v>4995</v>
      </c>
      <c r="I1009">
        <v>47.579441000000003</v>
      </c>
      <c r="J1009">
        <v>-122.704031</v>
      </c>
      <c r="K1009" t="s">
        <v>3936</v>
      </c>
      <c r="L1009" t="s">
        <v>3946</v>
      </c>
      <c r="M1009" t="s">
        <v>4907</v>
      </c>
      <c r="P1009" t="s">
        <v>3749</v>
      </c>
    </row>
    <row r="1010" spans="1:16" x14ac:dyDescent="0.2">
      <c r="A1010" t="s">
        <v>1773</v>
      </c>
      <c r="B1010" t="s">
        <v>3751</v>
      </c>
      <c r="C1010" t="s">
        <v>2780</v>
      </c>
      <c r="D1010" t="s">
        <v>2307</v>
      </c>
      <c r="E1010">
        <v>98033</v>
      </c>
      <c r="F1010" t="s">
        <v>1575</v>
      </c>
      <c r="G1010" t="s">
        <v>1973</v>
      </c>
      <c r="H1010" t="s">
        <v>5549</v>
      </c>
      <c r="I1010">
        <v>47.381287999999998</v>
      </c>
      <c r="J1010">
        <v>-122.259458</v>
      </c>
      <c r="K1010" t="s">
        <v>3936</v>
      </c>
      <c r="L1010" t="s">
        <v>3946</v>
      </c>
      <c r="M1010" t="s">
        <v>4907</v>
      </c>
      <c r="P1010" t="s">
        <v>3751</v>
      </c>
    </row>
    <row r="1011" spans="1:16" x14ac:dyDescent="0.2">
      <c r="A1011" t="s">
        <v>1774</v>
      </c>
      <c r="B1011" t="s">
        <v>3753</v>
      </c>
      <c r="C1011" t="s">
        <v>2780</v>
      </c>
      <c r="D1011" t="s">
        <v>2307</v>
      </c>
      <c r="E1011">
        <v>98032</v>
      </c>
      <c r="F1011" t="s">
        <v>1575</v>
      </c>
      <c r="G1011" t="s">
        <v>1973</v>
      </c>
      <c r="H1011" t="s">
        <v>4136</v>
      </c>
      <c r="I1011">
        <v>47.381436999999998</v>
      </c>
      <c r="J1011">
        <v>-122.23531699999999</v>
      </c>
      <c r="K1011" t="s">
        <v>3936</v>
      </c>
      <c r="L1011" t="s">
        <v>3946</v>
      </c>
      <c r="M1011" t="s">
        <v>4907</v>
      </c>
      <c r="P1011" t="s">
        <v>3753</v>
      </c>
    </row>
    <row r="1012" spans="1:16" x14ac:dyDescent="0.2">
      <c r="A1012" t="s">
        <v>1786</v>
      </c>
      <c r="B1012" t="s">
        <v>3516</v>
      </c>
      <c r="C1012" t="s">
        <v>2861</v>
      </c>
      <c r="D1012" t="s">
        <v>2307</v>
      </c>
      <c r="E1012">
        <v>98012</v>
      </c>
      <c r="F1012" t="s">
        <v>1591</v>
      </c>
      <c r="G1012" t="s">
        <v>1969</v>
      </c>
      <c r="H1012" t="s">
        <v>5551</v>
      </c>
      <c r="I1012">
        <v>47.877859999999998</v>
      </c>
      <c r="J1012">
        <v>-122.18857300000001</v>
      </c>
      <c r="K1012" t="s">
        <v>3936</v>
      </c>
      <c r="L1012" t="s">
        <v>3946</v>
      </c>
      <c r="M1012" t="s">
        <v>4907</v>
      </c>
      <c r="P1012" t="s">
        <v>5719</v>
      </c>
    </row>
    <row r="1013" spans="1:16" x14ac:dyDescent="0.2">
      <c r="A1013" t="s">
        <v>2215</v>
      </c>
      <c r="B1013" t="s">
        <v>2926</v>
      </c>
      <c r="C1013" t="s">
        <v>2780</v>
      </c>
      <c r="D1013" t="s">
        <v>2307</v>
      </c>
      <c r="E1013">
        <v>98030</v>
      </c>
      <c r="F1013" t="s">
        <v>1716</v>
      </c>
      <c r="G1013" t="s">
        <v>2000</v>
      </c>
      <c r="H1013" t="s">
        <v>4598</v>
      </c>
      <c r="I1013">
        <v>47.374017000000002</v>
      </c>
      <c r="J1013">
        <v>-122.20256999999999</v>
      </c>
      <c r="K1013" t="s">
        <v>3936</v>
      </c>
      <c r="L1013" t="s">
        <v>3946</v>
      </c>
      <c r="M1013" t="s">
        <v>4907</v>
      </c>
      <c r="P1013" t="s">
        <v>5720</v>
      </c>
    </row>
    <row r="1014" spans="1:16" x14ac:dyDescent="0.2">
      <c r="A1014" t="s">
        <v>1790</v>
      </c>
      <c r="B1014" t="s">
        <v>3771</v>
      </c>
      <c r="C1014" t="s">
        <v>2900</v>
      </c>
      <c r="D1014" t="s">
        <v>2307</v>
      </c>
      <c r="E1014">
        <v>98204</v>
      </c>
      <c r="F1014" t="s">
        <v>1591</v>
      </c>
      <c r="G1014" t="s">
        <v>1969</v>
      </c>
      <c r="H1014" t="s">
        <v>5552</v>
      </c>
      <c r="I1014">
        <v>47.899611</v>
      </c>
      <c r="J1014">
        <v>-122.249179</v>
      </c>
      <c r="K1014" t="s">
        <v>3936</v>
      </c>
      <c r="L1014" t="s">
        <v>3946</v>
      </c>
      <c r="M1014" t="s">
        <v>4907</v>
      </c>
      <c r="P1014" t="s">
        <v>3771</v>
      </c>
    </row>
    <row r="1015" spans="1:16" x14ac:dyDescent="0.2">
      <c r="A1015" t="s">
        <v>1791</v>
      </c>
      <c r="B1015" t="s">
        <v>3773</v>
      </c>
      <c r="C1015" t="s">
        <v>2900</v>
      </c>
      <c r="D1015" t="s">
        <v>2307</v>
      </c>
      <c r="E1015">
        <v>98208</v>
      </c>
      <c r="F1015" t="s">
        <v>1591</v>
      </c>
      <c r="G1015" t="s">
        <v>1969</v>
      </c>
      <c r="H1015" t="s">
        <v>5553</v>
      </c>
      <c r="I1015">
        <v>47.897914999999998</v>
      </c>
      <c r="J1015">
        <v>-122.206992</v>
      </c>
      <c r="K1015" t="s">
        <v>3936</v>
      </c>
      <c r="L1015" t="s">
        <v>3946</v>
      </c>
      <c r="M1015" t="s">
        <v>4907</v>
      </c>
      <c r="P1015" t="s">
        <v>5721</v>
      </c>
    </row>
    <row r="1016" spans="1:16" x14ac:dyDescent="0.2">
      <c r="A1016" t="s">
        <v>1794</v>
      </c>
      <c r="B1016" t="s">
        <v>3777</v>
      </c>
      <c r="C1016" t="s">
        <v>2930</v>
      </c>
      <c r="D1016" t="s">
        <v>2307</v>
      </c>
      <c r="E1016">
        <v>98003</v>
      </c>
      <c r="F1016" t="s">
        <v>1591</v>
      </c>
      <c r="G1016" t="s">
        <v>1969</v>
      </c>
      <c r="H1016" t="s">
        <v>4147</v>
      </c>
      <c r="I1016">
        <v>47.340845999999999</v>
      </c>
      <c r="J1016">
        <v>-122.312066</v>
      </c>
      <c r="K1016" t="s">
        <v>3936</v>
      </c>
      <c r="L1016" t="s">
        <v>3946</v>
      </c>
      <c r="M1016" t="s">
        <v>4907</v>
      </c>
      <c r="P1016" t="s">
        <v>3777</v>
      </c>
    </row>
    <row r="1017" spans="1:16" x14ac:dyDescent="0.2">
      <c r="A1017" t="s">
        <v>1795</v>
      </c>
      <c r="B1017" t="s">
        <v>3778</v>
      </c>
      <c r="C1017" t="s">
        <v>2900</v>
      </c>
      <c r="D1017" t="s">
        <v>2307</v>
      </c>
      <c r="E1017">
        <v>98208</v>
      </c>
      <c r="F1017" t="s">
        <v>1575</v>
      </c>
      <c r="G1017" t="s">
        <v>1984</v>
      </c>
      <c r="H1017" t="s">
        <v>5554</v>
      </c>
      <c r="I1017">
        <v>47.909134999999999</v>
      </c>
      <c r="J1017">
        <v>-122.224504</v>
      </c>
      <c r="K1017" t="s">
        <v>3936</v>
      </c>
      <c r="L1017" t="s">
        <v>3946</v>
      </c>
      <c r="M1017" t="s">
        <v>4907</v>
      </c>
      <c r="P1017" t="s">
        <v>3778</v>
      </c>
    </row>
    <row r="1018" spans="1:16" x14ac:dyDescent="0.2">
      <c r="A1018" t="s">
        <v>1796</v>
      </c>
      <c r="B1018" t="s">
        <v>6258</v>
      </c>
      <c r="C1018" t="s">
        <v>2961</v>
      </c>
      <c r="D1018" t="s">
        <v>2307</v>
      </c>
      <c r="E1018">
        <v>98002</v>
      </c>
      <c r="F1018" t="s">
        <v>1591</v>
      </c>
      <c r="G1018" t="s">
        <v>1969</v>
      </c>
      <c r="H1018" t="s">
        <v>4150</v>
      </c>
      <c r="I1018">
        <v>47.344591999999999</v>
      </c>
      <c r="J1018">
        <v>-122.22211900000001</v>
      </c>
      <c r="K1018" t="s">
        <v>3936</v>
      </c>
      <c r="L1018" t="s">
        <v>3946</v>
      </c>
      <c r="M1018" t="s">
        <v>4907</v>
      </c>
      <c r="P1018" t="s">
        <v>6059</v>
      </c>
    </row>
    <row r="1019" spans="1:16" x14ac:dyDescent="0.2">
      <c r="A1019" t="s">
        <v>1797</v>
      </c>
      <c r="B1019" t="s">
        <v>3784</v>
      </c>
      <c r="C1019" t="s">
        <v>2900</v>
      </c>
      <c r="D1019" t="s">
        <v>2307</v>
      </c>
      <c r="E1019">
        <v>98104</v>
      </c>
      <c r="F1019" t="s">
        <v>1591</v>
      </c>
      <c r="G1019" t="s">
        <v>1969</v>
      </c>
      <c r="H1019" t="s">
        <v>4996</v>
      </c>
      <c r="I1019">
        <v>47.921982999999997</v>
      </c>
      <c r="J1019">
        <v>-122.240781</v>
      </c>
      <c r="K1019" t="s">
        <v>3936</v>
      </c>
      <c r="L1019" t="s">
        <v>3946</v>
      </c>
      <c r="M1019" t="s">
        <v>4907</v>
      </c>
      <c r="P1019" t="s">
        <v>3784</v>
      </c>
    </row>
    <row r="1020" spans="1:16" x14ac:dyDescent="0.2">
      <c r="A1020" t="s">
        <v>2223</v>
      </c>
      <c r="B1020" t="s">
        <v>2963</v>
      </c>
      <c r="C1020" t="s">
        <v>2930</v>
      </c>
      <c r="D1020" t="s">
        <v>2307</v>
      </c>
      <c r="E1020">
        <v>98003</v>
      </c>
      <c r="F1020" t="s">
        <v>1583</v>
      </c>
      <c r="G1020" t="s">
        <v>1980</v>
      </c>
      <c r="H1020" t="s">
        <v>4619</v>
      </c>
      <c r="I1020">
        <v>47.329355</v>
      </c>
      <c r="J1020">
        <v>-122.312071</v>
      </c>
      <c r="K1020" t="s">
        <v>3936</v>
      </c>
      <c r="L1020" t="s">
        <v>3946</v>
      </c>
      <c r="M1020" t="s">
        <v>4907</v>
      </c>
      <c r="P1020" t="s">
        <v>5756</v>
      </c>
    </row>
    <row r="1021" spans="1:16" x14ac:dyDescent="0.2">
      <c r="A1021" t="s">
        <v>1799</v>
      </c>
      <c r="B1021" t="s">
        <v>3786</v>
      </c>
      <c r="C1021" t="s">
        <v>3787</v>
      </c>
      <c r="D1021" t="s">
        <v>2307</v>
      </c>
      <c r="E1021">
        <v>98024</v>
      </c>
      <c r="F1021" t="s">
        <v>1583</v>
      </c>
      <c r="G1021" t="s">
        <v>1980</v>
      </c>
      <c r="H1021" t="s">
        <v>5224</v>
      </c>
      <c r="I1021">
        <v>47.567819999999998</v>
      </c>
      <c r="J1021">
        <v>-121.89004300000001</v>
      </c>
      <c r="K1021" t="s">
        <v>3936</v>
      </c>
      <c r="L1021" t="s">
        <v>3946</v>
      </c>
      <c r="M1021" t="s">
        <v>4907</v>
      </c>
      <c r="P1021" t="s">
        <v>5722</v>
      </c>
    </row>
    <row r="1022" spans="1:16" x14ac:dyDescent="0.2">
      <c r="A1022" t="s">
        <v>1740</v>
      </c>
      <c r="B1022" t="s">
        <v>3788</v>
      </c>
      <c r="C1022" t="s">
        <v>2970</v>
      </c>
      <c r="D1022" t="s">
        <v>2307</v>
      </c>
      <c r="E1022">
        <v>98042</v>
      </c>
      <c r="F1022" t="s">
        <v>1575</v>
      </c>
      <c r="G1022" t="s">
        <v>1971</v>
      </c>
      <c r="H1022" t="s">
        <v>4997</v>
      </c>
      <c r="I1022">
        <v>47.358006000000003</v>
      </c>
      <c r="J1022">
        <v>-122.117709</v>
      </c>
      <c r="K1022" t="s">
        <v>3936</v>
      </c>
      <c r="L1022" t="s">
        <v>3946</v>
      </c>
      <c r="M1022" t="s">
        <v>4907</v>
      </c>
      <c r="P1022" t="s">
        <v>3788</v>
      </c>
    </row>
    <row r="1023" spans="1:16" x14ac:dyDescent="0.2">
      <c r="A1023" t="s">
        <v>1802</v>
      </c>
      <c r="B1023" t="s">
        <v>3790</v>
      </c>
      <c r="C1023" t="s">
        <v>2961</v>
      </c>
      <c r="D1023" t="s">
        <v>2307</v>
      </c>
      <c r="E1023">
        <v>98002</v>
      </c>
      <c r="F1023" t="s">
        <v>1591</v>
      </c>
      <c r="G1023" t="s">
        <v>1969</v>
      </c>
      <c r="H1023" t="s">
        <v>4152</v>
      </c>
      <c r="I1023">
        <v>47.325839000000002</v>
      </c>
      <c r="J1023">
        <v>-122.221684</v>
      </c>
      <c r="K1023" t="s">
        <v>3936</v>
      </c>
      <c r="L1023" t="s">
        <v>3946</v>
      </c>
      <c r="M1023" t="s">
        <v>4907</v>
      </c>
      <c r="P1023" t="s">
        <v>3790</v>
      </c>
    </row>
    <row r="1024" spans="1:16" x14ac:dyDescent="0.2">
      <c r="A1024" t="s">
        <v>1816</v>
      </c>
      <c r="B1024" t="s">
        <v>3806</v>
      </c>
      <c r="C1024" t="s">
        <v>2888</v>
      </c>
      <c r="D1024" t="s">
        <v>2307</v>
      </c>
      <c r="E1024">
        <v>98290</v>
      </c>
      <c r="F1024" t="s">
        <v>1604</v>
      </c>
      <c r="G1024" t="s">
        <v>1973</v>
      </c>
      <c r="H1024" t="s">
        <v>5555</v>
      </c>
      <c r="I1024">
        <v>47.921689999999998</v>
      </c>
      <c r="J1024">
        <v>-122.09781700000001</v>
      </c>
      <c r="K1024" t="s">
        <v>3936</v>
      </c>
      <c r="L1024" t="s">
        <v>3946</v>
      </c>
      <c r="M1024" t="s">
        <v>4907</v>
      </c>
      <c r="P1024" t="s">
        <v>3806</v>
      </c>
    </row>
    <row r="1025" spans="1:16" x14ac:dyDescent="0.2">
      <c r="A1025" t="s">
        <v>1816</v>
      </c>
      <c r="B1025" t="s">
        <v>3807</v>
      </c>
      <c r="C1025" t="s">
        <v>2995</v>
      </c>
      <c r="D1025" t="s">
        <v>2307</v>
      </c>
      <c r="E1025">
        <v>98272</v>
      </c>
      <c r="F1025" t="s">
        <v>1604</v>
      </c>
      <c r="G1025" t="s">
        <v>1973</v>
      </c>
      <c r="H1025" t="s">
        <v>5556</v>
      </c>
      <c r="I1025">
        <v>47.855544000000002</v>
      </c>
      <c r="J1025">
        <v>-121.97103</v>
      </c>
      <c r="K1025" t="s">
        <v>3936</v>
      </c>
      <c r="L1025" t="s">
        <v>3946</v>
      </c>
      <c r="M1025" t="s">
        <v>4907</v>
      </c>
      <c r="P1025" t="s">
        <v>3807</v>
      </c>
    </row>
    <row r="1026" spans="1:16" x14ac:dyDescent="0.2">
      <c r="A1026" t="s">
        <v>1740</v>
      </c>
      <c r="B1026" t="s">
        <v>3813</v>
      </c>
      <c r="C1026" t="s">
        <v>2961</v>
      </c>
      <c r="D1026" t="s">
        <v>2307</v>
      </c>
      <c r="E1026">
        <v>98001</v>
      </c>
      <c r="F1026" t="s">
        <v>1583</v>
      </c>
      <c r="G1026" t="s">
        <v>1980</v>
      </c>
      <c r="H1026" t="s">
        <v>5557</v>
      </c>
      <c r="I1026">
        <v>47.296022999999998</v>
      </c>
      <c r="J1026">
        <v>-122.25005400000001</v>
      </c>
      <c r="K1026" t="s">
        <v>3936</v>
      </c>
      <c r="L1026" t="s">
        <v>3946</v>
      </c>
      <c r="M1026" t="s">
        <v>4907</v>
      </c>
      <c r="P1026" t="s">
        <v>3813</v>
      </c>
    </row>
    <row r="1027" spans="1:16" x14ac:dyDescent="0.2">
      <c r="A1027" t="s">
        <v>1791</v>
      </c>
      <c r="B1027" t="s">
        <v>3815</v>
      </c>
      <c r="C1027" t="s">
        <v>2888</v>
      </c>
      <c r="D1027" t="s">
        <v>2307</v>
      </c>
      <c r="E1027">
        <v>98290</v>
      </c>
      <c r="F1027" t="s">
        <v>1658</v>
      </c>
      <c r="G1027" t="s">
        <v>1971</v>
      </c>
      <c r="H1027" t="s">
        <v>5558</v>
      </c>
      <c r="I1027">
        <v>47.928553999999998</v>
      </c>
      <c r="J1027">
        <v>-122.099013</v>
      </c>
      <c r="K1027" t="s">
        <v>3936</v>
      </c>
      <c r="L1027" t="s">
        <v>3946</v>
      </c>
      <c r="M1027" t="s">
        <v>4907</v>
      </c>
      <c r="P1027" t="s">
        <v>3815</v>
      </c>
    </row>
    <row r="1028" spans="1:16" x14ac:dyDescent="0.2">
      <c r="A1028" t="s">
        <v>1821</v>
      </c>
      <c r="B1028" t="s">
        <v>3820</v>
      </c>
      <c r="C1028" t="s">
        <v>2968</v>
      </c>
      <c r="D1028" t="s">
        <v>2307</v>
      </c>
      <c r="E1028">
        <v>98038</v>
      </c>
      <c r="F1028" t="s">
        <v>1575</v>
      </c>
      <c r="G1028" t="s">
        <v>1984</v>
      </c>
      <c r="H1028" t="s">
        <v>5559</v>
      </c>
      <c r="I1028">
        <v>47.355341000000003</v>
      </c>
      <c r="J1028">
        <v>-122.01983</v>
      </c>
      <c r="K1028" t="s">
        <v>3936</v>
      </c>
      <c r="L1028" t="s">
        <v>3946</v>
      </c>
      <c r="M1028" t="s">
        <v>4907</v>
      </c>
      <c r="P1028" t="s">
        <v>5723</v>
      </c>
    </row>
    <row r="1029" spans="1:16" x14ac:dyDescent="0.2">
      <c r="A1029" t="s">
        <v>1960</v>
      </c>
      <c r="B1029" t="s">
        <v>3523</v>
      </c>
      <c r="C1029" t="s">
        <v>3067</v>
      </c>
      <c r="D1029" t="s">
        <v>2307</v>
      </c>
      <c r="E1029">
        <v>98407</v>
      </c>
      <c r="F1029" t="s">
        <v>1591</v>
      </c>
      <c r="G1029" t="s">
        <v>1969</v>
      </c>
      <c r="H1029" t="s">
        <v>4029</v>
      </c>
      <c r="I1029">
        <v>47.271310999999997</v>
      </c>
      <c r="J1029">
        <v>-122.48908</v>
      </c>
      <c r="K1029" t="s">
        <v>3936</v>
      </c>
      <c r="L1029" t="s">
        <v>3946</v>
      </c>
      <c r="M1029" t="s">
        <v>4907</v>
      </c>
      <c r="P1029" t="s">
        <v>3523</v>
      </c>
    </row>
    <row r="1030" spans="1:16" x14ac:dyDescent="0.2">
      <c r="A1030" t="s">
        <v>6259</v>
      </c>
      <c r="B1030" t="s">
        <v>3833</v>
      </c>
      <c r="C1030" t="s">
        <v>2900</v>
      </c>
      <c r="D1030" t="s">
        <v>2307</v>
      </c>
      <c r="E1030">
        <v>98201</v>
      </c>
      <c r="F1030" t="s">
        <v>1591</v>
      </c>
      <c r="G1030" t="s">
        <v>1969</v>
      </c>
      <c r="H1030" t="s">
        <v>4169</v>
      </c>
      <c r="I1030">
        <v>48.003174000000001</v>
      </c>
      <c r="J1030">
        <v>-122.201114</v>
      </c>
      <c r="K1030" t="s">
        <v>3936</v>
      </c>
      <c r="L1030" t="s">
        <v>3946</v>
      </c>
      <c r="M1030" t="s">
        <v>4907</v>
      </c>
      <c r="P1030" t="s">
        <v>3833</v>
      </c>
    </row>
    <row r="1031" spans="1:16" x14ac:dyDescent="0.2">
      <c r="A1031" t="s">
        <v>1740</v>
      </c>
      <c r="B1031" t="s">
        <v>3834</v>
      </c>
      <c r="C1031" t="s">
        <v>3113</v>
      </c>
      <c r="D1031" t="s">
        <v>2307</v>
      </c>
      <c r="E1031">
        <v>98010</v>
      </c>
      <c r="F1031" t="s">
        <v>1575</v>
      </c>
      <c r="G1031" t="s">
        <v>1971</v>
      </c>
      <c r="H1031" t="s">
        <v>5560</v>
      </c>
      <c r="I1031">
        <v>47.308864</v>
      </c>
      <c r="J1031">
        <v>-122.003271</v>
      </c>
      <c r="K1031" t="s">
        <v>3936</v>
      </c>
      <c r="L1031" t="s">
        <v>3946</v>
      </c>
      <c r="M1031" t="s">
        <v>4907</v>
      </c>
      <c r="P1031" t="s">
        <v>3834</v>
      </c>
    </row>
    <row r="1032" spans="1:16" x14ac:dyDescent="0.2">
      <c r="A1032" t="s">
        <v>5226</v>
      </c>
      <c r="B1032" t="s">
        <v>6260</v>
      </c>
      <c r="C1032" t="s">
        <v>3067</v>
      </c>
      <c r="D1032" t="s">
        <v>2307</v>
      </c>
      <c r="E1032">
        <v>98409</v>
      </c>
      <c r="F1032" t="s">
        <v>1591</v>
      </c>
      <c r="G1032" t="s">
        <v>1969</v>
      </c>
      <c r="H1032" t="s">
        <v>5227</v>
      </c>
      <c r="I1032">
        <v>47.222552</v>
      </c>
      <c r="J1032">
        <v>-122.47484300000001</v>
      </c>
      <c r="K1032" t="s">
        <v>3936</v>
      </c>
      <c r="L1032" t="s">
        <v>3946</v>
      </c>
      <c r="M1032" t="s">
        <v>4907</v>
      </c>
      <c r="P1032" t="s">
        <v>6060</v>
      </c>
    </row>
    <row r="1033" spans="1:16" x14ac:dyDescent="0.2">
      <c r="A1033" t="s">
        <v>1839</v>
      </c>
      <c r="B1033" t="s">
        <v>3848</v>
      </c>
      <c r="C1033" t="s">
        <v>3149</v>
      </c>
      <c r="D1033" t="s">
        <v>2307</v>
      </c>
      <c r="E1033">
        <v>98258</v>
      </c>
      <c r="F1033" t="s">
        <v>1575</v>
      </c>
      <c r="G1033" t="s">
        <v>1979</v>
      </c>
      <c r="H1033" t="s">
        <v>5228</v>
      </c>
      <c r="I1033">
        <v>48.015583999999997</v>
      </c>
      <c r="J1033">
        <v>-122.06317300000001</v>
      </c>
      <c r="K1033" t="s">
        <v>3936</v>
      </c>
      <c r="L1033" t="s">
        <v>3946</v>
      </c>
      <c r="M1033" t="s">
        <v>4907</v>
      </c>
      <c r="P1033" t="s">
        <v>3848</v>
      </c>
    </row>
    <row r="1034" spans="1:16" x14ac:dyDescent="0.2">
      <c r="A1034" t="s">
        <v>1848</v>
      </c>
      <c r="B1034" t="s">
        <v>3858</v>
      </c>
      <c r="C1034" t="s">
        <v>3186</v>
      </c>
      <c r="D1034" t="s">
        <v>2307</v>
      </c>
      <c r="E1034">
        <v>98371</v>
      </c>
      <c r="F1034" t="s">
        <v>1591</v>
      </c>
      <c r="G1034" t="s">
        <v>1969</v>
      </c>
      <c r="H1034" t="s">
        <v>4184</v>
      </c>
      <c r="I1034">
        <v>47.195512000000001</v>
      </c>
      <c r="J1034">
        <v>-122.29387199999999</v>
      </c>
      <c r="K1034" t="s">
        <v>3936</v>
      </c>
      <c r="L1034" t="s">
        <v>3946</v>
      </c>
      <c r="M1034" t="s">
        <v>4907</v>
      </c>
      <c r="P1034" t="s">
        <v>3858</v>
      </c>
    </row>
    <row r="1035" spans="1:16" x14ac:dyDescent="0.2">
      <c r="A1035" t="s">
        <v>1853</v>
      </c>
      <c r="B1035" t="s">
        <v>3864</v>
      </c>
      <c r="C1035" t="s">
        <v>3067</v>
      </c>
      <c r="D1035" t="s">
        <v>2307</v>
      </c>
      <c r="E1035">
        <v>98444</v>
      </c>
      <c r="F1035" t="s">
        <v>1583</v>
      </c>
      <c r="G1035" t="s">
        <v>1980</v>
      </c>
      <c r="H1035" t="s">
        <v>4189</v>
      </c>
      <c r="I1035">
        <v>47.174906999999997</v>
      </c>
      <c r="J1035">
        <v>-122.43424400000001</v>
      </c>
      <c r="K1035" t="s">
        <v>3936</v>
      </c>
      <c r="L1035" t="s">
        <v>3946</v>
      </c>
      <c r="M1035" t="s">
        <v>4907</v>
      </c>
      <c r="P1035" t="s">
        <v>3864</v>
      </c>
    </row>
    <row r="1036" spans="1:16" x14ac:dyDescent="0.2">
      <c r="A1036" t="s">
        <v>1795</v>
      </c>
      <c r="B1036" t="s">
        <v>3870</v>
      </c>
      <c r="C1036" t="s">
        <v>3201</v>
      </c>
      <c r="D1036" t="s">
        <v>2307</v>
      </c>
      <c r="E1036">
        <v>98270</v>
      </c>
      <c r="F1036" t="s">
        <v>1587</v>
      </c>
      <c r="G1036" t="s">
        <v>1973</v>
      </c>
      <c r="H1036" t="s">
        <v>5561</v>
      </c>
      <c r="I1036">
        <v>48.085123000000003</v>
      </c>
      <c r="J1036">
        <v>-122.172512</v>
      </c>
      <c r="K1036" t="s">
        <v>3936</v>
      </c>
      <c r="L1036" t="s">
        <v>3946</v>
      </c>
      <c r="M1036" t="s">
        <v>4907</v>
      </c>
      <c r="P1036" t="s">
        <v>3870</v>
      </c>
    </row>
    <row r="1037" spans="1:16" x14ac:dyDescent="0.2">
      <c r="A1037" t="s">
        <v>4998</v>
      </c>
      <c r="B1037" t="s">
        <v>4999</v>
      </c>
      <c r="C1037" t="s">
        <v>3237</v>
      </c>
      <c r="D1037" t="s">
        <v>2307</v>
      </c>
      <c r="E1037">
        <v>98498</v>
      </c>
      <c r="F1037" t="s">
        <v>1583</v>
      </c>
      <c r="G1037" t="s">
        <v>1980</v>
      </c>
      <c r="H1037" t="s">
        <v>5000</v>
      </c>
      <c r="I1037">
        <v>47.180072000000003</v>
      </c>
      <c r="J1037">
        <v>-122.54366</v>
      </c>
      <c r="K1037" t="s">
        <v>3936</v>
      </c>
      <c r="L1037" t="s">
        <v>3946</v>
      </c>
      <c r="M1037" t="s">
        <v>4907</v>
      </c>
      <c r="P1037" t="s">
        <v>6061</v>
      </c>
    </row>
    <row r="1038" spans="1:16" x14ac:dyDescent="0.2">
      <c r="A1038" t="s">
        <v>1605</v>
      </c>
      <c r="B1038" t="s">
        <v>3880</v>
      </c>
      <c r="C1038" t="s">
        <v>3237</v>
      </c>
      <c r="D1038" t="s">
        <v>2307</v>
      </c>
      <c r="E1038">
        <v>98499</v>
      </c>
      <c r="F1038" t="s">
        <v>1591</v>
      </c>
      <c r="G1038" t="s">
        <v>1969</v>
      </c>
      <c r="H1038" t="s">
        <v>4197</v>
      </c>
      <c r="I1038">
        <v>47.165227999999999</v>
      </c>
      <c r="J1038">
        <v>-122.512333</v>
      </c>
      <c r="K1038" t="s">
        <v>3936</v>
      </c>
      <c r="L1038" t="s">
        <v>3946</v>
      </c>
      <c r="M1038" t="s">
        <v>4907</v>
      </c>
      <c r="P1038" t="s">
        <v>3880</v>
      </c>
    </row>
    <row r="1039" spans="1:16" x14ac:dyDescent="0.2">
      <c r="A1039" t="s">
        <v>1795</v>
      </c>
      <c r="B1039" t="s">
        <v>3884</v>
      </c>
      <c r="C1039" t="s">
        <v>3885</v>
      </c>
      <c r="D1039" t="s">
        <v>2307</v>
      </c>
      <c r="E1039">
        <v>98251</v>
      </c>
      <c r="F1039" t="s">
        <v>1587</v>
      </c>
      <c r="G1039" t="s">
        <v>1973</v>
      </c>
      <c r="H1039" t="s">
        <v>4201</v>
      </c>
      <c r="I1039">
        <v>47.855632999999997</v>
      </c>
      <c r="J1039">
        <v>-121.69859700000001</v>
      </c>
      <c r="K1039" t="s">
        <v>3936</v>
      </c>
      <c r="L1039" t="s">
        <v>3946</v>
      </c>
      <c r="M1039" t="s">
        <v>4907</v>
      </c>
      <c r="P1039" t="s">
        <v>3884</v>
      </c>
    </row>
    <row r="1040" spans="1:16" x14ac:dyDescent="0.2">
      <c r="A1040" t="s">
        <v>1862</v>
      </c>
      <c r="B1040" t="s">
        <v>3886</v>
      </c>
      <c r="C1040" t="s">
        <v>3067</v>
      </c>
      <c r="D1040" t="s">
        <v>2307</v>
      </c>
      <c r="E1040">
        <v>98444</v>
      </c>
      <c r="F1040" t="s">
        <v>1591</v>
      </c>
      <c r="G1040" t="s">
        <v>1969</v>
      </c>
      <c r="H1040" t="s">
        <v>4202</v>
      </c>
      <c r="I1040">
        <v>47.146281999999999</v>
      </c>
      <c r="J1040">
        <v>-122.437449</v>
      </c>
      <c r="K1040" t="s">
        <v>3936</v>
      </c>
      <c r="L1040" t="s">
        <v>3946</v>
      </c>
      <c r="M1040" t="s">
        <v>4907</v>
      </c>
      <c r="P1040" t="s">
        <v>3886</v>
      </c>
    </row>
    <row r="1041" spans="1:16" x14ac:dyDescent="0.2">
      <c r="A1041" t="s">
        <v>1802</v>
      </c>
      <c r="B1041" t="s">
        <v>3889</v>
      </c>
      <c r="C1041" t="s">
        <v>3307</v>
      </c>
      <c r="D1041" t="s">
        <v>2307</v>
      </c>
      <c r="E1041">
        <v>98321</v>
      </c>
      <c r="F1041" t="s">
        <v>1591</v>
      </c>
      <c r="G1041" t="s">
        <v>1969</v>
      </c>
      <c r="H1041" t="s">
        <v>4204</v>
      </c>
      <c r="I1041">
        <v>47.163117</v>
      </c>
      <c r="J1041">
        <v>-122.026786</v>
      </c>
      <c r="K1041" t="s">
        <v>3936</v>
      </c>
      <c r="L1041" t="s">
        <v>3946</v>
      </c>
      <c r="M1041" t="s">
        <v>4907</v>
      </c>
      <c r="P1041" t="s">
        <v>3889</v>
      </c>
    </row>
    <row r="1042" spans="1:16" x14ac:dyDescent="0.2">
      <c r="A1042" t="s">
        <v>1864</v>
      </c>
      <c r="B1042" t="s">
        <v>3892</v>
      </c>
      <c r="C1042" t="s">
        <v>3893</v>
      </c>
      <c r="D1042" t="s">
        <v>2307</v>
      </c>
      <c r="E1042">
        <v>98223</v>
      </c>
      <c r="F1042" t="s">
        <v>1591</v>
      </c>
      <c r="G1042" t="s">
        <v>1969</v>
      </c>
      <c r="H1042" t="s">
        <v>4205</v>
      </c>
      <c r="I1042">
        <v>48.148420999999999</v>
      </c>
      <c r="J1042">
        <v>-122.181989</v>
      </c>
      <c r="K1042" t="s">
        <v>3936</v>
      </c>
      <c r="L1042" t="s">
        <v>3946</v>
      </c>
      <c r="M1042" t="s">
        <v>4907</v>
      </c>
      <c r="P1042" t="s">
        <v>3892</v>
      </c>
    </row>
    <row r="1043" spans="1:16" x14ac:dyDescent="0.2">
      <c r="A1043" t="s">
        <v>1865</v>
      </c>
      <c r="B1043" t="s">
        <v>3894</v>
      </c>
      <c r="C1043" t="s">
        <v>3893</v>
      </c>
      <c r="D1043" t="s">
        <v>2307</v>
      </c>
      <c r="E1043">
        <v>98223</v>
      </c>
      <c r="F1043" t="s">
        <v>1583</v>
      </c>
      <c r="G1043" t="s">
        <v>1980</v>
      </c>
      <c r="H1043" t="s">
        <v>4206</v>
      </c>
      <c r="I1043">
        <v>48.148677999999997</v>
      </c>
      <c r="J1043">
        <v>-122.181134</v>
      </c>
      <c r="K1043" t="s">
        <v>3936</v>
      </c>
      <c r="L1043" t="s">
        <v>3946</v>
      </c>
      <c r="M1043" t="s">
        <v>4907</v>
      </c>
      <c r="P1043" t="s">
        <v>3894</v>
      </c>
    </row>
    <row r="1044" spans="1:16" x14ac:dyDescent="0.2">
      <c r="A1044" t="s">
        <v>4998</v>
      </c>
      <c r="B1044" t="s">
        <v>5001</v>
      </c>
      <c r="C1044" t="s">
        <v>3186</v>
      </c>
      <c r="D1044" t="s">
        <v>2307</v>
      </c>
      <c r="E1044">
        <v>98375</v>
      </c>
      <c r="F1044" t="s">
        <v>1583</v>
      </c>
      <c r="G1044" t="s">
        <v>1980</v>
      </c>
      <c r="H1044" t="s">
        <v>5002</v>
      </c>
      <c r="I1044">
        <v>47.097185000000003</v>
      </c>
      <c r="J1044">
        <v>-122.293724</v>
      </c>
      <c r="K1044" t="s">
        <v>3936</v>
      </c>
      <c r="L1044" t="s">
        <v>3946</v>
      </c>
      <c r="M1044" t="s">
        <v>4907</v>
      </c>
      <c r="P1044" t="s">
        <v>5001</v>
      </c>
    </row>
    <row r="1045" spans="1:16" x14ac:dyDescent="0.2">
      <c r="A1045" t="s">
        <v>1867</v>
      </c>
      <c r="B1045" t="s">
        <v>3896</v>
      </c>
      <c r="C1045" t="s">
        <v>3329</v>
      </c>
      <c r="D1045" t="s">
        <v>2307</v>
      </c>
      <c r="E1045">
        <v>98223</v>
      </c>
      <c r="F1045" t="s">
        <v>1583</v>
      </c>
      <c r="G1045" t="s">
        <v>1980</v>
      </c>
      <c r="H1045" t="s">
        <v>4207</v>
      </c>
      <c r="I1045">
        <v>48.152262999999998</v>
      </c>
      <c r="J1045">
        <v>-122.18047199999999</v>
      </c>
      <c r="K1045" t="s">
        <v>3936</v>
      </c>
      <c r="L1045" t="s">
        <v>3946</v>
      </c>
      <c r="M1045" t="s">
        <v>4907</v>
      </c>
      <c r="P1045" t="s">
        <v>6009</v>
      </c>
    </row>
    <row r="1046" spans="1:16" x14ac:dyDescent="0.2">
      <c r="A1046" t="s">
        <v>1869</v>
      </c>
      <c r="B1046" t="s">
        <v>3898</v>
      </c>
      <c r="C1046" t="s">
        <v>3893</v>
      </c>
      <c r="D1046" t="s">
        <v>2307</v>
      </c>
      <c r="E1046">
        <v>98223</v>
      </c>
      <c r="F1046" t="s">
        <v>1591</v>
      </c>
      <c r="G1046" t="s">
        <v>1969</v>
      </c>
      <c r="H1046" t="s">
        <v>4209</v>
      </c>
      <c r="I1046">
        <v>48.15484</v>
      </c>
      <c r="J1046">
        <v>-122.187319</v>
      </c>
      <c r="K1046" t="s">
        <v>3936</v>
      </c>
      <c r="L1046" t="s">
        <v>3946</v>
      </c>
      <c r="M1046" t="s">
        <v>4907</v>
      </c>
      <c r="P1046" t="s">
        <v>3898</v>
      </c>
    </row>
    <row r="1047" spans="1:16" x14ac:dyDescent="0.2">
      <c r="A1047" t="s">
        <v>1795</v>
      </c>
      <c r="B1047" t="s">
        <v>3904</v>
      </c>
      <c r="C1047" t="s">
        <v>3329</v>
      </c>
      <c r="D1047" t="s">
        <v>2307</v>
      </c>
      <c r="E1047">
        <v>98223</v>
      </c>
      <c r="F1047" t="s">
        <v>1587</v>
      </c>
      <c r="G1047" t="s">
        <v>1973</v>
      </c>
      <c r="H1047" t="s">
        <v>5562</v>
      </c>
      <c r="I1047">
        <v>48.198587000000003</v>
      </c>
      <c r="J1047">
        <v>-122.128371</v>
      </c>
      <c r="K1047" t="s">
        <v>3936</v>
      </c>
      <c r="L1047" t="s">
        <v>3946</v>
      </c>
      <c r="M1047" t="s">
        <v>4907</v>
      </c>
      <c r="P1047" t="s">
        <v>3904</v>
      </c>
    </row>
    <row r="1048" spans="1:16" x14ac:dyDescent="0.2">
      <c r="A1048" t="s">
        <v>1876</v>
      </c>
      <c r="B1048" t="s">
        <v>3906</v>
      </c>
      <c r="C1048" t="s">
        <v>3364</v>
      </c>
      <c r="D1048" t="s">
        <v>2307</v>
      </c>
      <c r="E1048">
        <v>98292</v>
      </c>
      <c r="F1048" t="s">
        <v>1591</v>
      </c>
      <c r="G1048" t="s">
        <v>1969</v>
      </c>
      <c r="H1048" t="s">
        <v>4217</v>
      </c>
      <c r="I1048">
        <v>48.240535000000001</v>
      </c>
      <c r="J1048">
        <v>-122.367377</v>
      </c>
      <c r="K1048" t="s">
        <v>3936</v>
      </c>
      <c r="L1048" t="s">
        <v>3946</v>
      </c>
      <c r="M1048" t="s">
        <v>4907</v>
      </c>
      <c r="P1048" t="s">
        <v>3906</v>
      </c>
    </row>
    <row r="1049" spans="1:16" x14ac:dyDescent="0.2">
      <c r="A1049" t="s">
        <v>1880</v>
      </c>
      <c r="B1049" t="s">
        <v>3912</v>
      </c>
      <c r="C1049" t="s">
        <v>3376</v>
      </c>
      <c r="D1049" t="s">
        <v>2307</v>
      </c>
      <c r="E1049">
        <v>98516</v>
      </c>
      <c r="F1049" t="s">
        <v>1583</v>
      </c>
      <c r="G1049" t="s">
        <v>1980</v>
      </c>
      <c r="H1049" t="s">
        <v>4222</v>
      </c>
      <c r="I1049">
        <v>47.064959999999999</v>
      </c>
      <c r="J1049">
        <v>-122.765356</v>
      </c>
      <c r="K1049" t="s">
        <v>3936</v>
      </c>
      <c r="L1049" t="s">
        <v>3946</v>
      </c>
      <c r="M1049" t="s">
        <v>4907</v>
      </c>
      <c r="P1049" t="s">
        <v>3912</v>
      </c>
    </row>
    <row r="1050" spans="1:16" x14ac:dyDescent="0.2">
      <c r="A1050" t="s">
        <v>1881</v>
      </c>
      <c r="B1050" t="s">
        <v>3913</v>
      </c>
      <c r="C1050" t="s">
        <v>3376</v>
      </c>
      <c r="D1050" t="s">
        <v>2307</v>
      </c>
      <c r="E1050">
        <v>98516</v>
      </c>
      <c r="F1050" t="s">
        <v>1583</v>
      </c>
      <c r="G1050" t="s">
        <v>1980</v>
      </c>
      <c r="H1050" t="s">
        <v>4223</v>
      </c>
      <c r="I1050">
        <v>47.064959999999999</v>
      </c>
      <c r="J1050">
        <v>-122.765356</v>
      </c>
      <c r="K1050" t="s">
        <v>3936</v>
      </c>
      <c r="L1050" t="s">
        <v>3946</v>
      </c>
      <c r="M1050" t="s">
        <v>4907</v>
      </c>
      <c r="P1050" t="s">
        <v>3913</v>
      </c>
    </row>
    <row r="1051" spans="1:16" x14ac:dyDescent="0.2">
      <c r="A1051" t="s">
        <v>1883</v>
      </c>
      <c r="B1051" t="s">
        <v>3916</v>
      </c>
      <c r="C1051" t="s">
        <v>3383</v>
      </c>
      <c r="D1051" t="s">
        <v>2307</v>
      </c>
      <c r="E1051">
        <v>98506</v>
      </c>
      <c r="F1051" t="s">
        <v>1583</v>
      </c>
      <c r="G1051" t="s">
        <v>1980</v>
      </c>
      <c r="H1051" t="s">
        <v>4226</v>
      </c>
      <c r="I1051">
        <v>47.047708</v>
      </c>
      <c r="J1051">
        <v>-122.835459</v>
      </c>
      <c r="K1051" t="s">
        <v>3936</v>
      </c>
      <c r="L1051" t="s">
        <v>3946</v>
      </c>
      <c r="M1051" t="s">
        <v>4907</v>
      </c>
      <c r="P1051" t="s">
        <v>3916</v>
      </c>
    </row>
    <row r="1052" spans="1:16" x14ac:dyDescent="0.2">
      <c r="A1052" t="s">
        <v>1880</v>
      </c>
      <c r="B1052" t="s">
        <v>3918</v>
      </c>
      <c r="C1052" t="s">
        <v>3376</v>
      </c>
      <c r="D1052" t="s">
        <v>2307</v>
      </c>
      <c r="E1052">
        <v>98503</v>
      </c>
      <c r="F1052" t="s">
        <v>1583</v>
      </c>
      <c r="G1052" t="s">
        <v>1980</v>
      </c>
      <c r="H1052" t="s">
        <v>4227</v>
      </c>
      <c r="I1052">
        <v>47.037813999999997</v>
      </c>
      <c r="J1052">
        <v>-122.82526300000001</v>
      </c>
      <c r="K1052" t="s">
        <v>3936</v>
      </c>
      <c r="L1052" t="s">
        <v>3946</v>
      </c>
      <c r="M1052" t="s">
        <v>4907</v>
      </c>
      <c r="P1052" t="s">
        <v>3918</v>
      </c>
    </row>
    <row r="1053" spans="1:16" x14ac:dyDescent="0.2">
      <c r="A1053" t="s">
        <v>1881</v>
      </c>
      <c r="B1053" t="s">
        <v>3919</v>
      </c>
      <c r="C1053" t="s">
        <v>3376</v>
      </c>
      <c r="D1053" t="s">
        <v>2307</v>
      </c>
      <c r="E1053">
        <v>98503</v>
      </c>
      <c r="F1053" t="s">
        <v>1583</v>
      </c>
      <c r="G1053" t="s">
        <v>1980</v>
      </c>
      <c r="H1053" t="s">
        <v>4228</v>
      </c>
      <c r="I1053">
        <v>47.037813999999997</v>
      </c>
      <c r="J1053">
        <v>-122.82526300000001</v>
      </c>
      <c r="K1053" t="s">
        <v>3936</v>
      </c>
      <c r="L1053" t="s">
        <v>3946</v>
      </c>
      <c r="M1053" t="s">
        <v>4907</v>
      </c>
      <c r="P1053" t="s">
        <v>3919</v>
      </c>
    </row>
    <row r="1054" spans="1:16" x14ac:dyDescent="0.2">
      <c r="A1054" t="s">
        <v>1885</v>
      </c>
      <c r="B1054" t="s">
        <v>3922</v>
      </c>
      <c r="C1054" t="s">
        <v>3409</v>
      </c>
      <c r="D1054" t="s">
        <v>2307</v>
      </c>
      <c r="E1054">
        <v>98277</v>
      </c>
      <c r="F1054" t="s">
        <v>1583</v>
      </c>
      <c r="G1054" t="s">
        <v>1980</v>
      </c>
      <c r="H1054" t="s">
        <v>4230</v>
      </c>
      <c r="I1054">
        <v>48.288251000000002</v>
      </c>
      <c r="J1054">
        <v>-122.645752</v>
      </c>
      <c r="K1054" t="s">
        <v>3936</v>
      </c>
      <c r="L1054" t="s">
        <v>3946</v>
      </c>
      <c r="M1054" t="s">
        <v>4907</v>
      </c>
      <c r="P1054" t="s">
        <v>3922</v>
      </c>
    </row>
    <row r="1055" spans="1:16" x14ac:dyDescent="0.2">
      <c r="A1055" t="s">
        <v>1886</v>
      </c>
      <c r="B1055" t="s">
        <v>3923</v>
      </c>
      <c r="C1055" t="s">
        <v>3409</v>
      </c>
      <c r="D1055" t="s">
        <v>2307</v>
      </c>
      <c r="E1055">
        <v>98277</v>
      </c>
      <c r="F1055" t="s">
        <v>1591</v>
      </c>
      <c r="G1055" t="s">
        <v>1969</v>
      </c>
      <c r="H1055" t="s">
        <v>4231</v>
      </c>
      <c r="I1055">
        <v>48.288071000000002</v>
      </c>
      <c r="J1055">
        <v>-122.649151</v>
      </c>
      <c r="K1055" t="s">
        <v>3936</v>
      </c>
      <c r="L1055" t="s">
        <v>3946</v>
      </c>
      <c r="M1055" t="s">
        <v>4907</v>
      </c>
      <c r="P1055" t="s">
        <v>3923</v>
      </c>
    </row>
    <row r="1056" spans="1:16" x14ac:dyDescent="0.2">
      <c r="A1056" t="s">
        <v>1892</v>
      </c>
      <c r="B1056" t="s">
        <v>3931</v>
      </c>
      <c r="C1056" t="s">
        <v>3430</v>
      </c>
      <c r="D1056" t="s">
        <v>2307</v>
      </c>
      <c r="E1056">
        <v>98597</v>
      </c>
      <c r="F1056" t="s">
        <v>1591</v>
      </c>
      <c r="G1056" t="s">
        <v>1969</v>
      </c>
      <c r="H1056" t="s">
        <v>4237</v>
      </c>
      <c r="I1056">
        <v>46.940365999999997</v>
      </c>
      <c r="J1056">
        <v>-122.603956</v>
      </c>
      <c r="K1056" t="s">
        <v>3936</v>
      </c>
      <c r="L1056" t="s">
        <v>3946</v>
      </c>
      <c r="M1056" t="s">
        <v>4907</v>
      </c>
      <c r="P1056" t="s">
        <v>3931</v>
      </c>
    </row>
    <row r="1057" spans="1:16" x14ac:dyDescent="0.2">
      <c r="A1057" t="s">
        <v>1880</v>
      </c>
      <c r="B1057" t="s">
        <v>3932</v>
      </c>
      <c r="C1057" t="s">
        <v>3376</v>
      </c>
      <c r="D1057" t="s">
        <v>2307</v>
      </c>
      <c r="E1057">
        <v>98503</v>
      </c>
      <c r="F1057" t="s">
        <v>1583</v>
      </c>
      <c r="G1057" t="s">
        <v>1980</v>
      </c>
      <c r="H1057" t="s">
        <v>4238</v>
      </c>
      <c r="I1057">
        <v>46.996257999999997</v>
      </c>
      <c r="J1057">
        <v>-122.821916</v>
      </c>
      <c r="K1057" t="s">
        <v>3936</v>
      </c>
      <c r="L1057" t="s">
        <v>3946</v>
      </c>
      <c r="M1057" t="s">
        <v>4907</v>
      </c>
      <c r="P1057" t="s">
        <v>3932</v>
      </c>
    </row>
    <row r="1058" spans="1:16" x14ac:dyDescent="0.2">
      <c r="A1058" t="s">
        <v>1881</v>
      </c>
      <c r="B1058" t="s">
        <v>3933</v>
      </c>
      <c r="C1058" t="s">
        <v>3376</v>
      </c>
      <c r="D1058" t="s">
        <v>2307</v>
      </c>
      <c r="E1058">
        <v>98501</v>
      </c>
      <c r="F1058" t="s">
        <v>1583</v>
      </c>
      <c r="G1058" t="s">
        <v>1980</v>
      </c>
      <c r="H1058" t="s">
        <v>4239</v>
      </c>
      <c r="I1058">
        <v>46.996257999999997</v>
      </c>
      <c r="J1058">
        <v>-122.821916</v>
      </c>
      <c r="K1058" t="s">
        <v>3936</v>
      </c>
      <c r="L1058" t="s">
        <v>3946</v>
      </c>
      <c r="M1058" t="s">
        <v>4907</v>
      </c>
      <c r="P1058" t="s">
        <v>3933</v>
      </c>
    </row>
    <row r="1059" spans="1:16" x14ac:dyDescent="0.2">
      <c r="A1059" t="s">
        <v>1883</v>
      </c>
      <c r="B1059" t="s">
        <v>5229</v>
      </c>
      <c r="C1059" t="s">
        <v>3383</v>
      </c>
      <c r="D1059" t="s">
        <v>2307</v>
      </c>
      <c r="E1059">
        <v>98502</v>
      </c>
      <c r="F1059" t="s">
        <v>1583</v>
      </c>
      <c r="G1059" t="s">
        <v>1980</v>
      </c>
      <c r="H1059" t="s">
        <v>5230</v>
      </c>
      <c r="I1059">
        <v>47.055886999999998</v>
      </c>
      <c r="J1059">
        <v>-122.94098200000001</v>
      </c>
      <c r="K1059" t="s">
        <v>3936</v>
      </c>
      <c r="L1059" t="s">
        <v>3946</v>
      </c>
      <c r="M1059" t="s">
        <v>4907</v>
      </c>
      <c r="P1059" t="s">
        <v>5229</v>
      </c>
    </row>
    <row r="1060" spans="1:16" x14ac:dyDescent="0.2">
      <c r="A1060" t="s">
        <v>1920</v>
      </c>
      <c r="B1060" t="s">
        <v>6256</v>
      </c>
      <c r="C1060" t="s">
        <v>66</v>
      </c>
      <c r="D1060" t="s">
        <v>2307</v>
      </c>
      <c r="E1060">
        <v>98115</v>
      </c>
      <c r="F1060" t="s">
        <v>1573</v>
      </c>
      <c r="G1060" t="s">
        <v>1974</v>
      </c>
      <c r="H1060" t="s">
        <v>5205</v>
      </c>
      <c r="I1060">
        <v>47.675756</v>
      </c>
      <c r="J1060">
        <v>-122.31992200000001</v>
      </c>
      <c r="K1060" t="s">
        <v>3936</v>
      </c>
      <c r="L1060" t="s">
        <v>3946</v>
      </c>
      <c r="M1060" t="s">
        <v>4907</v>
      </c>
      <c r="N1060" t="s">
        <v>4908</v>
      </c>
      <c r="P1060" t="s">
        <v>6056</v>
      </c>
    </row>
    <row r="1061" spans="1:16" x14ac:dyDescent="0.2">
      <c r="A1061" t="s">
        <v>4998</v>
      </c>
      <c r="B1061" t="s">
        <v>4999</v>
      </c>
      <c r="C1061" t="s">
        <v>3237</v>
      </c>
      <c r="D1061" t="s">
        <v>2307</v>
      </c>
      <c r="E1061">
        <v>98498</v>
      </c>
      <c r="F1061" t="s">
        <v>1583</v>
      </c>
      <c r="G1061" t="s">
        <v>1980</v>
      </c>
      <c r="H1061" t="s">
        <v>5000</v>
      </c>
      <c r="I1061">
        <v>47.180072000000003</v>
      </c>
      <c r="J1061">
        <v>-122.54366</v>
      </c>
      <c r="K1061" t="s">
        <v>3936</v>
      </c>
      <c r="L1061" t="s">
        <v>3946</v>
      </c>
      <c r="M1061" t="s">
        <v>4907</v>
      </c>
      <c r="N1061" t="s">
        <v>4908</v>
      </c>
      <c r="P1061" t="s">
        <v>6061</v>
      </c>
    </row>
    <row r="1062" spans="1:16" x14ac:dyDescent="0.2">
      <c r="A1062" t="s">
        <v>4998</v>
      </c>
      <c r="B1062" t="s">
        <v>5001</v>
      </c>
      <c r="C1062" t="s">
        <v>3186</v>
      </c>
      <c r="D1062" t="s">
        <v>2307</v>
      </c>
      <c r="E1062">
        <v>98375</v>
      </c>
      <c r="F1062" t="s">
        <v>1583</v>
      </c>
      <c r="G1062" t="s">
        <v>1980</v>
      </c>
      <c r="H1062" t="s">
        <v>5002</v>
      </c>
      <c r="I1062">
        <v>47.097185000000003</v>
      </c>
      <c r="J1062">
        <v>-122.293724</v>
      </c>
      <c r="K1062" t="s">
        <v>3936</v>
      </c>
      <c r="L1062" t="s">
        <v>3946</v>
      </c>
      <c r="M1062" t="s">
        <v>4907</v>
      </c>
      <c r="N1062" t="s">
        <v>4908</v>
      </c>
      <c r="P1062" t="s">
        <v>5001</v>
      </c>
    </row>
    <row r="1063" spans="1:16" x14ac:dyDescent="0.2">
      <c r="A1063" t="s">
        <v>2133</v>
      </c>
      <c r="B1063" t="s">
        <v>2573</v>
      </c>
      <c r="C1063" t="s">
        <v>2574</v>
      </c>
      <c r="D1063" t="s">
        <v>2307</v>
      </c>
      <c r="E1063">
        <v>98155</v>
      </c>
      <c r="F1063" t="s">
        <v>2039</v>
      </c>
      <c r="G1063" t="s">
        <v>2056</v>
      </c>
      <c r="H1063" t="s">
        <v>4991</v>
      </c>
      <c r="I1063">
        <v>47.752889000000003</v>
      </c>
      <c r="J1063">
        <v>-122.27849399999999</v>
      </c>
      <c r="K1063" t="s">
        <v>3936</v>
      </c>
      <c r="L1063" t="s">
        <v>3946</v>
      </c>
      <c r="M1063" t="s">
        <v>4907</v>
      </c>
      <c r="N1063" t="s">
        <v>5003</v>
      </c>
      <c r="P1063" t="s">
        <v>2573</v>
      </c>
    </row>
    <row r="1064" spans="1:16" x14ac:dyDescent="0.2">
      <c r="A1064" t="s">
        <v>2133</v>
      </c>
      <c r="B1064" t="s">
        <v>2602</v>
      </c>
      <c r="C1064" t="s">
        <v>2502</v>
      </c>
      <c r="D1064" t="s">
        <v>2307</v>
      </c>
      <c r="E1064">
        <v>98008</v>
      </c>
      <c r="F1064" t="s">
        <v>1583</v>
      </c>
      <c r="G1064" t="s">
        <v>1980</v>
      </c>
      <c r="H1064" t="s">
        <v>5542</v>
      </c>
      <c r="I1064">
        <v>47.617179999999998</v>
      </c>
      <c r="J1064">
        <v>-122.13212799999999</v>
      </c>
      <c r="K1064" t="s">
        <v>3936</v>
      </c>
      <c r="L1064" t="s">
        <v>3946</v>
      </c>
      <c r="M1064" t="s">
        <v>4907</v>
      </c>
      <c r="N1064" t="s">
        <v>5003</v>
      </c>
      <c r="P1064" t="s">
        <v>2602</v>
      </c>
    </row>
    <row r="1065" spans="1:16" x14ac:dyDescent="0.2">
      <c r="A1065" t="s">
        <v>1699</v>
      </c>
      <c r="B1065" t="s">
        <v>3645</v>
      </c>
      <c r="C1065" t="s">
        <v>2586</v>
      </c>
      <c r="D1065" t="s">
        <v>2307</v>
      </c>
      <c r="E1065">
        <v>98052</v>
      </c>
      <c r="F1065" t="s">
        <v>1604</v>
      </c>
      <c r="G1065" t="s">
        <v>1979</v>
      </c>
      <c r="H1065" t="s">
        <v>5543</v>
      </c>
      <c r="I1065">
        <v>47.668598000000003</v>
      </c>
      <c r="J1065">
        <v>-122.119041</v>
      </c>
      <c r="K1065" t="s">
        <v>3936</v>
      </c>
      <c r="L1065" t="s">
        <v>3946</v>
      </c>
      <c r="M1065" t="s">
        <v>4907</v>
      </c>
      <c r="N1065" t="s">
        <v>5003</v>
      </c>
      <c r="P1065" t="s">
        <v>5714</v>
      </c>
    </row>
    <row r="1066" spans="1:16" x14ac:dyDescent="0.2">
      <c r="A1066" t="s">
        <v>2133</v>
      </c>
      <c r="B1066" t="s">
        <v>2816</v>
      </c>
      <c r="C1066" t="s">
        <v>2717</v>
      </c>
      <c r="D1066" t="s">
        <v>2307</v>
      </c>
      <c r="E1066">
        <v>98037</v>
      </c>
      <c r="F1066" t="s">
        <v>1583</v>
      </c>
      <c r="G1066" t="s">
        <v>1980</v>
      </c>
      <c r="H1066" t="s">
        <v>5218</v>
      </c>
      <c r="I1066">
        <v>47.842787000000001</v>
      </c>
      <c r="J1066">
        <v>-122.29621899999999</v>
      </c>
      <c r="K1066" t="s">
        <v>3936</v>
      </c>
      <c r="L1066" t="s">
        <v>3946</v>
      </c>
      <c r="M1066" t="s">
        <v>4907</v>
      </c>
      <c r="N1066" t="s">
        <v>5003</v>
      </c>
      <c r="P1066" t="s">
        <v>2816</v>
      </c>
    </row>
    <row r="1067" spans="1:16" x14ac:dyDescent="0.2">
      <c r="A1067" t="s">
        <v>1623</v>
      </c>
      <c r="B1067" t="s">
        <v>3570</v>
      </c>
      <c r="C1067" t="s">
        <v>66</v>
      </c>
      <c r="D1067" t="s">
        <v>2307</v>
      </c>
      <c r="E1067">
        <v>98115</v>
      </c>
      <c r="F1067" t="s">
        <v>1583</v>
      </c>
      <c r="G1067" t="s">
        <v>1980</v>
      </c>
      <c r="H1067" t="s">
        <v>5231</v>
      </c>
      <c r="I1067">
        <v>47.675646</v>
      </c>
      <c r="J1067">
        <v>-122.30324</v>
      </c>
      <c r="K1067" t="s">
        <v>3936</v>
      </c>
      <c r="L1067" t="s">
        <v>3946</v>
      </c>
      <c r="M1067" t="s">
        <v>4910</v>
      </c>
      <c r="P1067" t="s">
        <v>3570</v>
      </c>
    </row>
    <row r="1068" spans="1:16" x14ac:dyDescent="0.2">
      <c r="A1068" t="s">
        <v>1629</v>
      </c>
      <c r="B1068" t="s">
        <v>3576</v>
      </c>
      <c r="C1068" t="s">
        <v>66</v>
      </c>
      <c r="D1068" t="s">
        <v>2307</v>
      </c>
      <c r="E1068">
        <v>98103</v>
      </c>
      <c r="F1068" t="s">
        <v>1577</v>
      </c>
      <c r="G1068" t="s">
        <v>1987</v>
      </c>
      <c r="H1068" t="s">
        <v>4056</v>
      </c>
      <c r="I1068">
        <v>47.689301999999998</v>
      </c>
      <c r="J1068">
        <v>-122.35545399999999</v>
      </c>
      <c r="K1068" t="s">
        <v>3936</v>
      </c>
      <c r="L1068" t="s">
        <v>3946</v>
      </c>
      <c r="M1068" t="s">
        <v>4910</v>
      </c>
      <c r="P1068" t="s">
        <v>3576</v>
      </c>
    </row>
    <row r="1069" spans="1:16" x14ac:dyDescent="0.2">
      <c r="A1069" t="s">
        <v>2105</v>
      </c>
      <c r="B1069" t="s">
        <v>2484</v>
      </c>
      <c r="C1069" t="s">
        <v>66</v>
      </c>
      <c r="D1069" t="s">
        <v>2307</v>
      </c>
      <c r="E1069">
        <v>98125</v>
      </c>
      <c r="F1069" t="s">
        <v>1583</v>
      </c>
      <c r="G1069" t="s">
        <v>1980</v>
      </c>
      <c r="H1069" t="s">
        <v>5563</v>
      </c>
      <c r="I1069">
        <v>47.709057999999999</v>
      </c>
      <c r="J1069">
        <v>-122.320359</v>
      </c>
      <c r="K1069" t="s">
        <v>3936</v>
      </c>
      <c r="L1069" t="s">
        <v>3946</v>
      </c>
      <c r="M1069" t="s">
        <v>4910</v>
      </c>
      <c r="P1069" t="s">
        <v>2484</v>
      </c>
    </row>
    <row r="1070" spans="1:16" x14ac:dyDescent="0.2">
      <c r="A1070" t="s">
        <v>1655</v>
      </c>
      <c r="B1070" t="s">
        <v>3600</v>
      </c>
      <c r="C1070" t="s">
        <v>3601</v>
      </c>
      <c r="D1070" t="s">
        <v>2307</v>
      </c>
      <c r="E1070">
        <v>98004</v>
      </c>
      <c r="F1070" t="s">
        <v>1575</v>
      </c>
      <c r="G1070" t="s">
        <v>1973</v>
      </c>
      <c r="H1070" t="s">
        <v>4065</v>
      </c>
      <c r="I1070">
        <v>47.611285000000002</v>
      </c>
      <c r="J1070">
        <v>-122.201431</v>
      </c>
      <c r="K1070" t="s">
        <v>3936</v>
      </c>
      <c r="L1070" t="s">
        <v>3946</v>
      </c>
      <c r="M1070" t="s">
        <v>4910</v>
      </c>
      <c r="P1070" t="s">
        <v>3600</v>
      </c>
    </row>
    <row r="1071" spans="1:16" x14ac:dyDescent="0.2">
      <c r="A1071" t="s">
        <v>2120</v>
      </c>
      <c r="B1071" t="s">
        <v>2540</v>
      </c>
      <c r="C1071" t="s">
        <v>386</v>
      </c>
      <c r="D1071" t="s">
        <v>2307</v>
      </c>
      <c r="E1071">
        <v>98133</v>
      </c>
      <c r="F1071" t="s">
        <v>1716</v>
      </c>
      <c r="G1071" t="s">
        <v>1990</v>
      </c>
      <c r="H1071" t="s">
        <v>5004</v>
      </c>
      <c r="I1071">
        <v>47.738770000000002</v>
      </c>
      <c r="J1071">
        <v>-122.344055</v>
      </c>
      <c r="K1071" t="s">
        <v>3936</v>
      </c>
      <c r="L1071" t="s">
        <v>3946</v>
      </c>
      <c r="M1071" t="s">
        <v>4910</v>
      </c>
      <c r="P1071" t="s">
        <v>2540</v>
      </c>
    </row>
    <row r="1072" spans="1:16" x14ac:dyDescent="0.2">
      <c r="A1072" t="s">
        <v>1823</v>
      </c>
      <c r="B1072" t="s">
        <v>3822</v>
      </c>
      <c r="C1072" t="s">
        <v>2900</v>
      </c>
      <c r="D1072" t="s">
        <v>2307</v>
      </c>
      <c r="E1072">
        <v>98201</v>
      </c>
      <c r="F1072" t="s">
        <v>1583</v>
      </c>
      <c r="G1072" t="s">
        <v>1980</v>
      </c>
      <c r="H1072" t="s">
        <v>5564</v>
      </c>
      <c r="I1072">
        <v>47.979495</v>
      </c>
      <c r="J1072">
        <v>-122.211303</v>
      </c>
      <c r="K1072" t="s">
        <v>3936</v>
      </c>
      <c r="L1072" t="s">
        <v>3946</v>
      </c>
      <c r="M1072" t="s">
        <v>4911</v>
      </c>
      <c r="P1072" t="s">
        <v>3822</v>
      </c>
    </row>
    <row r="1073" spans="1:16" x14ac:dyDescent="0.2">
      <c r="A1073" t="s">
        <v>1617</v>
      </c>
      <c r="B1073" t="s">
        <v>3564</v>
      </c>
      <c r="C1073" t="s">
        <v>66</v>
      </c>
      <c r="D1073" t="s">
        <v>2307</v>
      </c>
      <c r="E1073">
        <v>98115</v>
      </c>
      <c r="F1073" t="s">
        <v>1583</v>
      </c>
      <c r="G1073" t="s">
        <v>1980</v>
      </c>
      <c r="H1073" t="s">
        <v>5565</v>
      </c>
      <c r="I1073">
        <v>47.675958000000001</v>
      </c>
      <c r="J1073">
        <v>-122.3171</v>
      </c>
      <c r="K1073" t="s">
        <v>3936</v>
      </c>
      <c r="L1073" t="s">
        <v>3946</v>
      </c>
      <c r="M1073" t="s">
        <v>4912</v>
      </c>
      <c r="P1073" t="s">
        <v>3564</v>
      </c>
    </row>
    <row r="1074" spans="1:16" x14ac:dyDescent="0.2">
      <c r="A1074" t="s">
        <v>5005</v>
      </c>
      <c r="B1074" t="s">
        <v>6261</v>
      </c>
      <c r="C1074" t="s">
        <v>2888</v>
      </c>
      <c r="D1074" t="s">
        <v>2307</v>
      </c>
      <c r="E1074">
        <v>98290</v>
      </c>
      <c r="F1074" t="s">
        <v>1583</v>
      </c>
      <c r="G1074" t="s">
        <v>1980</v>
      </c>
      <c r="H1074" t="s">
        <v>5566</v>
      </c>
      <c r="I1074">
        <v>47.911495000000002</v>
      </c>
      <c r="J1074">
        <v>-122.094855</v>
      </c>
      <c r="K1074" t="s">
        <v>3936</v>
      </c>
      <c r="L1074" t="s">
        <v>3946</v>
      </c>
      <c r="M1074" t="s">
        <v>4912</v>
      </c>
      <c r="P1074" t="s">
        <v>6062</v>
      </c>
    </row>
    <row r="1075" spans="1:16" x14ac:dyDescent="0.2">
      <c r="A1075" t="s">
        <v>1875</v>
      </c>
      <c r="B1075" t="s">
        <v>3905</v>
      </c>
      <c r="C1075" t="s">
        <v>3329</v>
      </c>
      <c r="D1075" t="s">
        <v>2307</v>
      </c>
      <c r="E1075">
        <v>98223</v>
      </c>
      <c r="F1075" t="s">
        <v>1591</v>
      </c>
      <c r="G1075" t="s">
        <v>1969</v>
      </c>
      <c r="H1075" t="s">
        <v>4216</v>
      </c>
      <c r="I1075">
        <v>48.198723999999999</v>
      </c>
      <c r="J1075">
        <v>-122.126126</v>
      </c>
      <c r="K1075" t="s">
        <v>3936</v>
      </c>
      <c r="L1075" t="s">
        <v>3946</v>
      </c>
      <c r="M1075" t="s">
        <v>4912</v>
      </c>
      <c r="P1075" t="s">
        <v>3905</v>
      </c>
    </row>
    <row r="1076" spans="1:16" x14ac:dyDescent="0.2">
      <c r="A1076" t="s">
        <v>1896</v>
      </c>
      <c r="B1076" t="s">
        <v>3450</v>
      </c>
      <c r="C1076" t="s">
        <v>66</v>
      </c>
      <c r="D1076" t="s">
        <v>2307</v>
      </c>
      <c r="E1076">
        <v>98109</v>
      </c>
      <c r="F1076" t="s">
        <v>1575</v>
      </c>
      <c r="G1076" t="s">
        <v>1971</v>
      </c>
      <c r="H1076" t="s">
        <v>4936</v>
      </c>
      <c r="I1076">
        <v>47.637262999999997</v>
      </c>
      <c r="J1076">
        <v>-122.340329</v>
      </c>
      <c r="K1076" t="s">
        <v>3936</v>
      </c>
      <c r="L1076" t="s">
        <v>3946</v>
      </c>
      <c r="M1076" t="s">
        <v>3947</v>
      </c>
      <c r="P1076" t="s">
        <v>3450</v>
      </c>
    </row>
    <row r="1077" spans="1:16" x14ac:dyDescent="0.2">
      <c r="A1077" t="s">
        <v>1897</v>
      </c>
      <c r="B1077" t="s">
        <v>3451</v>
      </c>
      <c r="C1077" t="s">
        <v>66</v>
      </c>
      <c r="D1077" t="s">
        <v>2307</v>
      </c>
      <c r="E1077">
        <v>98109</v>
      </c>
      <c r="F1077" t="s">
        <v>1575</v>
      </c>
      <c r="G1077" t="s">
        <v>1970</v>
      </c>
      <c r="H1077" t="s">
        <v>5321</v>
      </c>
      <c r="I1077">
        <v>47.625577999999997</v>
      </c>
      <c r="J1077">
        <v>-122.34971899999999</v>
      </c>
      <c r="K1077" t="s">
        <v>3936</v>
      </c>
      <c r="L1077" t="s">
        <v>3946</v>
      </c>
      <c r="M1077" t="s">
        <v>3947</v>
      </c>
      <c r="P1077" t="s">
        <v>3451</v>
      </c>
    </row>
    <row r="1078" spans="1:16" x14ac:dyDescent="0.2">
      <c r="A1078" t="s">
        <v>1898</v>
      </c>
      <c r="B1078" t="s">
        <v>6253</v>
      </c>
      <c r="C1078" t="s">
        <v>66</v>
      </c>
      <c r="D1078" t="s">
        <v>2307</v>
      </c>
      <c r="E1078">
        <v>98109</v>
      </c>
      <c r="F1078" t="s">
        <v>1604</v>
      </c>
      <c r="G1078" t="s">
        <v>1971</v>
      </c>
      <c r="H1078" t="s">
        <v>4004</v>
      </c>
      <c r="I1078">
        <v>47.632741000000003</v>
      </c>
      <c r="J1078">
        <v>-122.35678</v>
      </c>
      <c r="K1078" t="s">
        <v>3936</v>
      </c>
      <c r="L1078" t="s">
        <v>3946</v>
      </c>
      <c r="M1078" t="s">
        <v>3947</v>
      </c>
      <c r="P1078" t="s">
        <v>6053</v>
      </c>
    </row>
    <row r="1079" spans="1:16" x14ac:dyDescent="0.2">
      <c r="A1079" t="s">
        <v>1899</v>
      </c>
      <c r="B1079" t="s">
        <v>3452</v>
      </c>
      <c r="C1079" t="s">
        <v>66</v>
      </c>
      <c r="D1079" t="s">
        <v>2307</v>
      </c>
      <c r="E1079">
        <v>98109</v>
      </c>
      <c r="F1079" t="s">
        <v>1604</v>
      </c>
      <c r="G1079" t="s">
        <v>1971</v>
      </c>
      <c r="H1079" t="s">
        <v>4005</v>
      </c>
      <c r="I1079">
        <v>47.623528</v>
      </c>
      <c r="J1079">
        <v>-122.355621</v>
      </c>
      <c r="K1079" t="s">
        <v>3936</v>
      </c>
      <c r="L1079" t="s">
        <v>3946</v>
      </c>
      <c r="M1079" t="s">
        <v>3947</v>
      </c>
      <c r="P1079" t="s">
        <v>3452</v>
      </c>
    </row>
    <row r="1080" spans="1:16" x14ac:dyDescent="0.2">
      <c r="A1080" t="s">
        <v>1900</v>
      </c>
      <c r="B1080" t="s">
        <v>3453</v>
      </c>
      <c r="C1080" t="s">
        <v>66</v>
      </c>
      <c r="D1080" t="s">
        <v>2307</v>
      </c>
      <c r="E1080">
        <v>98109</v>
      </c>
      <c r="F1080" t="s">
        <v>1575</v>
      </c>
      <c r="G1080" t="s">
        <v>1972</v>
      </c>
      <c r="H1080" t="s">
        <v>4006</v>
      </c>
      <c r="I1080">
        <v>47.624369999999999</v>
      </c>
      <c r="J1080">
        <v>-122.356358</v>
      </c>
      <c r="K1080" t="s">
        <v>3936</v>
      </c>
      <c r="L1080" t="s">
        <v>3946</v>
      </c>
      <c r="M1080" t="s">
        <v>3947</v>
      </c>
      <c r="P1080" t="s">
        <v>3453</v>
      </c>
    </row>
    <row r="1081" spans="1:16" x14ac:dyDescent="0.2">
      <c r="A1081" t="s">
        <v>1576</v>
      </c>
      <c r="B1081" t="s">
        <v>3454</v>
      </c>
      <c r="C1081" t="s">
        <v>66</v>
      </c>
      <c r="D1081" t="s">
        <v>2307</v>
      </c>
      <c r="E1081">
        <v>98102</v>
      </c>
      <c r="F1081" t="s">
        <v>1604</v>
      </c>
      <c r="G1081" t="s">
        <v>1972</v>
      </c>
      <c r="H1081" t="s">
        <v>4007</v>
      </c>
      <c r="I1081">
        <v>47.624378999999998</v>
      </c>
      <c r="J1081">
        <v>-122.321127</v>
      </c>
      <c r="K1081" t="s">
        <v>3936</v>
      </c>
      <c r="L1081" t="s">
        <v>3946</v>
      </c>
      <c r="M1081" t="s">
        <v>3947</v>
      </c>
      <c r="P1081" t="s">
        <v>3454</v>
      </c>
    </row>
    <row r="1082" spans="1:16" x14ac:dyDescent="0.2">
      <c r="A1082" t="s">
        <v>1901</v>
      </c>
      <c r="B1082" t="s">
        <v>3455</v>
      </c>
      <c r="C1082" t="s">
        <v>66</v>
      </c>
      <c r="D1082" t="s">
        <v>2307</v>
      </c>
      <c r="E1082">
        <v>98109</v>
      </c>
      <c r="F1082" t="s">
        <v>1604</v>
      </c>
      <c r="G1082" t="s">
        <v>1973</v>
      </c>
      <c r="H1082" t="s">
        <v>5188</v>
      </c>
      <c r="I1082">
        <v>47.637574000000001</v>
      </c>
      <c r="J1082">
        <v>-122.356736</v>
      </c>
      <c r="K1082" t="s">
        <v>3936</v>
      </c>
      <c r="L1082" t="s">
        <v>3946</v>
      </c>
      <c r="M1082" t="s">
        <v>3947</v>
      </c>
      <c r="P1082" t="s">
        <v>3455</v>
      </c>
    </row>
    <row r="1083" spans="1:16" x14ac:dyDescent="0.2">
      <c r="A1083" t="s">
        <v>1578</v>
      </c>
      <c r="B1083" t="s">
        <v>3457</v>
      </c>
      <c r="C1083" t="s">
        <v>66</v>
      </c>
      <c r="D1083" t="s">
        <v>2307</v>
      </c>
      <c r="E1083">
        <v>98109</v>
      </c>
      <c r="F1083" t="s">
        <v>1591</v>
      </c>
      <c r="G1083" t="s">
        <v>1969</v>
      </c>
      <c r="H1083" t="s">
        <v>5057</v>
      </c>
      <c r="I1083">
        <v>47.637537999999999</v>
      </c>
      <c r="J1083">
        <v>-122.357136</v>
      </c>
      <c r="K1083" t="s">
        <v>3936</v>
      </c>
      <c r="L1083" t="s">
        <v>3946</v>
      </c>
      <c r="M1083" t="s">
        <v>3947</v>
      </c>
      <c r="P1083" t="s">
        <v>3457</v>
      </c>
    </row>
    <row r="1084" spans="1:16" x14ac:dyDescent="0.2">
      <c r="A1084" t="s">
        <v>1904</v>
      </c>
      <c r="B1084" t="s">
        <v>3459</v>
      </c>
      <c r="C1084" t="s">
        <v>66</v>
      </c>
      <c r="D1084" t="s">
        <v>2307</v>
      </c>
      <c r="E1084">
        <v>98101</v>
      </c>
      <c r="F1084" t="s">
        <v>1604</v>
      </c>
      <c r="G1084" t="s">
        <v>1969</v>
      </c>
      <c r="H1084" t="s">
        <v>4009</v>
      </c>
      <c r="I1084">
        <v>47.613157000000001</v>
      </c>
      <c r="J1084">
        <v>-122.33789299999999</v>
      </c>
      <c r="K1084" t="s">
        <v>3936</v>
      </c>
      <c r="L1084" t="s">
        <v>3946</v>
      </c>
      <c r="M1084" t="s">
        <v>3947</v>
      </c>
      <c r="P1084" t="s">
        <v>3459</v>
      </c>
    </row>
    <row r="1085" spans="1:16" x14ac:dyDescent="0.2">
      <c r="A1085" t="s">
        <v>1905</v>
      </c>
      <c r="B1085" t="s">
        <v>3460</v>
      </c>
      <c r="C1085" t="s">
        <v>66</v>
      </c>
      <c r="D1085" t="s">
        <v>2307</v>
      </c>
      <c r="E1085">
        <v>98112</v>
      </c>
      <c r="F1085" t="s">
        <v>1575</v>
      </c>
      <c r="G1085" t="s">
        <v>1971</v>
      </c>
      <c r="H1085" t="s">
        <v>5204</v>
      </c>
      <c r="I1085">
        <v>47.622900000000001</v>
      </c>
      <c r="J1085">
        <v>-122.313238</v>
      </c>
      <c r="K1085" t="s">
        <v>3936</v>
      </c>
      <c r="L1085" t="s">
        <v>3946</v>
      </c>
      <c r="M1085" t="s">
        <v>3947</v>
      </c>
      <c r="P1085" t="s">
        <v>3460</v>
      </c>
    </row>
    <row r="1086" spans="1:16" x14ac:dyDescent="0.2">
      <c r="A1086" t="s">
        <v>1906</v>
      </c>
      <c r="B1086" t="s">
        <v>3461</v>
      </c>
      <c r="C1086" t="s">
        <v>66</v>
      </c>
      <c r="D1086" t="s">
        <v>2307</v>
      </c>
      <c r="E1086">
        <v>98101</v>
      </c>
      <c r="F1086" t="s">
        <v>1575</v>
      </c>
      <c r="G1086" t="s">
        <v>1975</v>
      </c>
      <c r="H1086" t="s">
        <v>5354</v>
      </c>
      <c r="I1086">
        <v>47.609760000000001</v>
      </c>
      <c r="J1086">
        <v>-122.33499999999999</v>
      </c>
      <c r="K1086" t="s">
        <v>3936</v>
      </c>
      <c r="L1086" t="s">
        <v>3946</v>
      </c>
      <c r="M1086" t="s">
        <v>3947</v>
      </c>
      <c r="P1086" t="s">
        <v>3461</v>
      </c>
    </row>
    <row r="1087" spans="1:16" x14ac:dyDescent="0.2">
      <c r="A1087" t="s">
        <v>1907</v>
      </c>
      <c r="B1087" t="s">
        <v>3462</v>
      </c>
      <c r="C1087" t="s">
        <v>66</v>
      </c>
      <c r="D1087" t="s">
        <v>2307</v>
      </c>
      <c r="E1087">
        <v>98101</v>
      </c>
      <c r="F1087" t="s">
        <v>1604</v>
      </c>
      <c r="G1087" t="s">
        <v>1976</v>
      </c>
      <c r="H1087" t="s">
        <v>4010</v>
      </c>
      <c r="I1087">
        <v>47.608178000000002</v>
      </c>
      <c r="J1087">
        <v>-122.334621</v>
      </c>
      <c r="K1087" t="s">
        <v>3936</v>
      </c>
      <c r="L1087" t="s">
        <v>3946</v>
      </c>
      <c r="M1087" t="s">
        <v>3947</v>
      </c>
      <c r="P1087" t="s">
        <v>3462</v>
      </c>
    </row>
    <row r="1088" spans="1:16" x14ac:dyDescent="0.2">
      <c r="A1088" t="s">
        <v>1908</v>
      </c>
      <c r="B1088" t="s">
        <v>3462</v>
      </c>
      <c r="C1088" t="s">
        <v>66</v>
      </c>
      <c r="D1088" t="s">
        <v>2307</v>
      </c>
      <c r="E1088">
        <v>98101</v>
      </c>
      <c r="F1088" t="s">
        <v>1604</v>
      </c>
      <c r="G1088" t="s">
        <v>1977</v>
      </c>
      <c r="H1088" t="s">
        <v>5058</v>
      </c>
      <c r="I1088">
        <v>47.608178000000002</v>
      </c>
      <c r="J1088">
        <v>-122.334621</v>
      </c>
      <c r="K1088" t="s">
        <v>3936</v>
      </c>
      <c r="L1088" t="s">
        <v>3946</v>
      </c>
      <c r="M1088" t="s">
        <v>3947</v>
      </c>
      <c r="P1088" t="s">
        <v>3462</v>
      </c>
    </row>
    <row r="1089" spans="1:16" x14ac:dyDescent="0.2">
      <c r="A1089" t="s">
        <v>1593</v>
      </c>
      <c r="B1089" t="s">
        <v>3463</v>
      </c>
      <c r="C1089" t="s">
        <v>66</v>
      </c>
      <c r="D1089" t="s">
        <v>2307</v>
      </c>
      <c r="E1089">
        <v>98101</v>
      </c>
      <c r="F1089" t="s">
        <v>1575</v>
      </c>
      <c r="G1089" t="s">
        <v>1978</v>
      </c>
      <c r="H1089" t="s">
        <v>5045</v>
      </c>
      <c r="I1089">
        <v>47.605884000000003</v>
      </c>
      <c r="J1089">
        <v>-122.340521</v>
      </c>
      <c r="K1089" t="s">
        <v>3936</v>
      </c>
      <c r="L1089" t="s">
        <v>3946</v>
      </c>
      <c r="M1089" t="s">
        <v>3947</v>
      </c>
      <c r="P1089" t="s">
        <v>3463</v>
      </c>
    </row>
    <row r="1090" spans="1:16" x14ac:dyDescent="0.2">
      <c r="A1090" t="s">
        <v>1910</v>
      </c>
      <c r="B1090" t="s">
        <v>3464</v>
      </c>
      <c r="C1090" t="s">
        <v>66</v>
      </c>
      <c r="D1090" t="s">
        <v>2307</v>
      </c>
      <c r="E1090">
        <v>98105</v>
      </c>
      <c r="F1090" t="s">
        <v>1573</v>
      </c>
      <c r="G1090" t="s">
        <v>1974</v>
      </c>
      <c r="H1090" t="s">
        <v>4012</v>
      </c>
      <c r="I1090">
        <v>47.653773000000001</v>
      </c>
      <c r="J1090">
        <v>-122.324462</v>
      </c>
      <c r="K1090" t="s">
        <v>3936</v>
      </c>
      <c r="L1090" t="s">
        <v>3946</v>
      </c>
      <c r="M1090" t="s">
        <v>3947</v>
      </c>
      <c r="P1090" t="s">
        <v>3464</v>
      </c>
    </row>
    <row r="1091" spans="1:16" x14ac:dyDescent="0.2">
      <c r="A1091" t="s">
        <v>1911</v>
      </c>
      <c r="B1091" t="s">
        <v>3465</v>
      </c>
      <c r="C1091" t="s">
        <v>66</v>
      </c>
      <c r="D1091" t="s">
        <v>2307</v>
      </c>
      <c r="E1091">
        <v>98104</v>
      </c>
      <c r="F1091" t="s">
        <v>1604</v>
      </c>
      <c r="G1091" t="s">
        <v>1979</v>
      </c>
      <c r="H1091" t="s">
        <v>4013</v>
      </c>
      <c r="I1091">
        <v>47.602611000000003</v>
      </c>
      <c r="J1091">
        <v>-122.334287</v>
      </c>
      <c r="K1091" t="s">
        <v>3936</v>
      </c>
      <c r="L1091" t="s">
        <v>3946</v>
      </c>
      <c r="M1091" t="s">
        <v>3947</v>
      </c>
      <c r="P1091" t="s">
        <v>3465</v>
      </c>
    </row>
    <row r="1092" spans="1:16" x14ac:dyDescent="0.2">
      <c r="A1092" t="s">
        <v>1914</v>
      </c>
      <c r="B1092" t="s">
        <v>3468</v>
      </c>
      <c r="C1092" t="s">
        <v>66</v>
      </c>
      <c r="D1092" t="s">
        <v>2307</v>
      </c>
      <c r="E1092">
        <v>98105</v>
      </c>
      <c r="F1092" t="s">
        <v>1658</v>
      </c>
      <c r="G1092" t="s">
        <v>1980</v>
      </c>
      <c r="H1092" t="s">
        <v>5498</v>
      </c>
      <c r="I1092">
        <v>47.658645999999997</v>
      </c>
      <c r="J1092">
        <v>-122.312978</v>
      </c>
      <c r="K1092" t="s">
        <v>3936</v>
      </c>
      <c r="L1092" t="s">
        <v>3946</v>
      </c>
      <c r="M1092" t="s">
        <v>3947</v>
      </c>
      <c r="P1092" t="s">
        <v>3468</v>
      </c>
    </row>
    <row r="1093" spans="1:16" x14ac:dyDescent="0.2">
      <c r="A1093" t="s">
        <v>1915</v>
      </c>
      <c r="B1093" t="s">
        <v>3469</v>
      </c>
      <c r="C1093" t="s">
        <v>66</v>
      </c>
      <c r="D1093" t="s">
        <v>2307</v>
      </c>
      <c r="E1093">
        <v>98144</v>
      </c>
      <c r="F1093" t="s">
        <v>1577</v>
      </c>
      <c r="G1093" t="s">
        <v>1981</v>
      </c>
      <c r="H1093" t="s">
        <v>3965</v>
      </c>
      <c r="I1093">
        <v>47.59854</v>
      </c>
      <c r="J1093">
        <v>-122.315207</v>
      </c>
      <c r="K1093" t="s">
        <v>3936</v>
      </c>
      <c r="L1093" t="s">
        <v>3946</v>
      </c>
      <c r="M1093" t="s">
        <v>3947</v>
      </c>
      <c r="P1093" t="s">
        <v>3469</v>
      </c>
    </row>
    <row r="1094" spans="1:16" x14ac:dyDescent="0.2">
      <c r="A1094" t="s">
        <v>1916</v>
      </c>
      <c r="B1094" t="s">
        <v>3470</v>
      </c>
      <c r="C1094" t="s">
        <v>66</v>
      </c>
      <c r="D1094" t="s">
        <v>2307</v>
      </c>
      <c r="E1094">
        <v>98105</v>
      </c>
      <c r="F1094" t="s">
        <v>1604</v>
      </c>
      <c r="G1094" t="s">
        <v>1982</v>
      </c>
      <c r="H1094" t="s">
        <v>4016</v>
      </c>
      <c r="I1094">
        <v>47.663851000000001</v>
      </c>
      <c r="J1094">
        <v>-122.317645</v>
      </c>
      <c r="K1094" t="s">
        <v>3936</v>
      </c>
      <c r="L1094" t="s">
        <v>3946</v>
      </c>
      <c r="M1094" t="s">
        <v>3947</v>
      </c>
      <c r="P1094" t="s">
        <v>3470</v>
      </c>
    </row>
    <row r="1095" spans="1:16" x14ac:dyDescent="0.2">
      <c r="A1095" t="s">
        <v>1917</v>
      </c>
      <c r="B1095" t="s">
        <v>3471</v>
      </c>
      <c r="C1095" t="s">
        <v>66</v>
      </c>
      <c r="D1095" t="s">
        <v>2307</v>
      </c>
      <c r="E1095">
        <v>98105</v>
      </c>
      <c r="F1095" t="s">
        <v>1591</v>
      </c>
      <c r="G1095" t="s">
        <v>1969</v>
      </c>
      <c r="H1095" t="s">
        <v>4017</v>
      </c>
      <c r="I1095">
        <v>47.664136999999997</v>
      </c>
      <c r="J1095">
        <v>-122.314402</v>
      </c>
      <c r="K1095" t="s">
        <v>3936</v>
      </c>
      <c r="L1095" t="s">
        <v>3946</v>
      </c>
      <c r="M1095" t="s">
        <v>3947</v>
      </c>
      <c r="P1095" t="s">
        <v>3471</v>
      </c>
    </row>
    <row r="1096" spans="1:16" x14ac:dyDescent="0.2">
      <c r="A1096" t="s">
        <v>1918</v>
      </c>
      <c r="B1096" t="s">
        <v>3472</v>
      </c>
      <c r="C1096" t="s">
        <v>66</v>
      </c>
      <c r="D1096" t="s">
        <v>2307</v>
      </c>
      <c r="E1096">
        <v>98105</v>
      </c>
      <c r="F1096" t="s">
        <v>1575</v>
      </c>
      <c r="G1096" t="s">
        <v>1982</v>
      </c>
      <c r="H1096" t="s">
        <v>4976</v>
      </c>
      <c r="I1096">
        <v>47.665354000000001</v>
      </c>
      <c r="J1096">
        <v>-122.312866</v>
      </c>
      <c r="K1096" t="s">
        <v>3936</v>
      </c>
      <c r="L1096" t="s">
        <v>3946</v>
      </c>
      <c r="M1096" t="s">
        <v>3947</v>
      </c>
      <c r="P1096" t="s">
        <v>3472</v>
      </c>
    </row>
    <row r="1097" spans="1:16" x14ac:dyDescent="0.2">
      <c r="A1097" t="s">
        <v>1613</v>
      </c>
      <c r="B1097" t="s">
        <v>3473</v>
      </c>
      <c r="C1097" t="s">
        <v>66</v>
      </c>
      <c r="D1097" t="s">
        <v>2307</v>
      </c>
      <c r="E1097">
        <v>98199</v>
      </c>
      <c r="F1097" t="s">
        <v>1604</v>
      </c>
      <c r="G1097" t="s">
        <v>1979</v>
      </c>
      <c r="H1097" t="s">
        <v>4979</v>
      </c>
      <c r="I1097">
        <v>47.639828999999999</v>
      </c>
      <c r="J1097">
        <v>-122.39985299999999</v>
      </c>
      <c r="K1097" t="s">
        <v>3936</v>
      </c>
      <c r="L1097" t="s">
        <v>3946</v>
      </c>
      <c r="M1097" t="s">
        <v>3947</v>
      </c>
      <c r="P1097" t="s">
        <v>5750</v>
      </c>
    </row>
    <row r="1098" spans="1:16" x14ac:dyDescent="0.2">
      <c r="A1098" t="s">
        <v>1919</v>
      </c>
      <c r="B1098" t="s">
        <v>3474</v>
      </c>
      <c r="C1098" t="s">
        <v>66</v>
      </c>
      <c r="D1098" t="s">
        <v>2307</v>
      </c>
      <c r="E1098">
        <v>98105</v>
      </c>
      <c r="F1098" t="s">
        <v>1575</v>
      </c>
      <c r="G1098" t="s">
        <v>1982</v>
      </c>
      <c r="H1098" t="s">
        <v>4018</v>
      </c>
      <c r="I1098">
        <v>47.668729999999996</v>
      </c>
      <c r="J1098">
        <v>-122.31752400000001</v>
      </c>
      <c r="K1098" t="s">
        <v>3936</v>
      </c>
      <c r="L1098" t="s">
        <v>3946</v>
      </c>
      <c r="M1098" t="s">
        <v>3947</v>
      </c>
      <c r="P1098" t="s">
        <v>3474</v>
      </c>
    </row>
    <row r="1099" spans="1:16" x14ac:dyDescent="0.2">
      <c r="A1099" t="s">
        <v>1920</v>
      </c>
      <c r="B1099" t="s">
        <v>6256</v>
      </c>
      <c r="C1099" t="s">
        <v>66</v>
      </c>
      <c r="D1099" t="s">
        <v>2307</v>
      </c>
      <c r="E1099">
        <v>98115</v>
      </c>
      <c r="F1099" t="s">
        <v>1573</v>
      </c>
      <c r="G1099" t="s">
        <v>1974</v>
      </c>
      <c r="H1099" t="s">
        <v>5205</v>
      </c>
      <c r="I1099">
        <v>47.675756</v>
      </c>
      <c r="J1099">
        <v>-122.31992200000001</v>
      </c>
      <c r="K1099" t="s">
        <v>3936</v>
      </c>
      <c r="L1099" t="s">
        <v>3946</v>
      </c>
      <c r="M1099" t="s">
        <v>3947</v>
      </c>
      <c r="P1099" t="s">
        <v>6056</v>
      </c>
    </row>
    <row r="1100" spans="1:16" x14ac:dyDescent="0.2">
      <c r="A1100" t="s">
        <v>1621</v>
      </c>
      <c r="B1100" t="s">
        <v>3475</v>
      </c>
      <c r="C1100" t="s">
        <v>66</v>
      </c>
      <c r="D1100" t="s">
        <v>2307</v>
      </c>
      <c r="E1100">
        <v>98107</v>
      </c>
      <c r="F1100" t="s">
        <v>1573</v>
      </c>
      <c r="G1100" t="s">
        <v>1971</v>
      </c>
      <c r="H1100" t="s">
        <v>5232</v>
      </c>
      <c r="I1100">
        <v>47.668588999999997</v>
      </c>
      <c r="J1100">
        <v>-122.386431</v>
      </c>
      <c r="K1100" t="s">
        <v>3936</v>
      </c>
      <c r="L1100" t="s">
        <v>3946</v>
      </c>
      <c r="M1100" t="s">
        <v>3947</v>
      </c>
      <c r="P1100" t="s">
        <v>3475</v>
      </c>
    </row>
    <row r="1101" spans="1:16" x14ac:dyDescent="0.2">
      <c r="A1101" t="s">
        <v>1921</v>
      </c>
      <c r="B1101" t="s">
        <v>3476</v>
      </c>
      <c r="C1101" t="s">
        <v>66</v>
      </c>
      <c r="D1101" t="s">
        <v>2307</v>
      </c>
      <c r="E1101">
        <v>98115</v>
      </c>
      <c r="F1101" t="s">
        <v>1575</v>
      </c>
      <c r="G1101" t="s">
        <v>1968</v>
      </c>
      <c r="H1101" t="s">
        <v>4974</v>
      </c>
      <c r="I1101">
        <v>47.675980000000003</v>
      </c>
      <c r="J1101">
        <v>-122.30486500000001</v>
      </c>
      <c r="K1101" t="s">
        <v>3936</v>
      </c>
      <c r="L1101" t="s">
        <v>3946</v>
      </c>
      <c r="M1101" t="s">
        <v>3947</v>
      </c>
      <c r="P1101" t="s">
        <v>3476</v>
      </c>
    </row>
    <row r="1102" spans="1:16" x14ac:dyDescent="0.2">
      <c r="A1102" t="s">
        <v>1922</v>
      </c>
      <c r="B1102" t="s">
        <v>3477</v>
      </c>
      <c r="C1102" t="s">
        <v>66</v>
      </c>
      <c r="D1102" t="s">
        <v>2307</v>
      </c>
      <c r="E1102">
        <v>98115</v>
      </c>
      <c r="F1102" t="s">
        <v>1573</v>
      </c>
      <c r="G1102" t="s">
        <v>1973</v>
      </c>
      <c r="H1102" t="s">
        <v>5539</v>
      </c>
      <c r="I1102">
        <v>47.680678</v>
      </c>
      <c r="J1102">
        <v>-122.324636</v>
      </c>
      <c r="K1102" t="s">
        <v>3936</v>
      </c>
      <c r="L1102" t="s">
        <v>3946</v>
      </c>
      <c r="M1102" t="s">
        <v>3947</v>
      </c>
      <c r="P1102" t="s">
        <v>3477</v>
      </c>
    </row>
    <row r="1103" spans="1:16" x14ac:dyDescent="0.2">
      <c r="A1103" t="s">
        <v>1923</v>
      </c>
      <c r="B1103" t="s">
        <v>3478</v>
      </c>
      <c r="C1103" t="s">
        <v>66</v>
      </c>
      <c r="D1103" t="s">
        <v>2307</v>
      </c>
      <c r="E1103">
        <v>98103</v>
      </c>
      <c r="F1103" t="s">
        <v>1575</v>
      </c>
      <c r="G1103" t="s">
        <v>1983</v>
      </c>
      <c r="H1103" t="s">
        <v>5501</v>
      </c>
      <c r="I1103">
        <v>47.690984999999998</v>
      </c>
      <c r="J1103">
        <v>-122.355226</v>
      </c>
      <c r="K1103" t="s">
        <v>3936</v>
      </c>
      <c r="L1103" t="s">
        <v>3946</v>
      </c>
      <c r="M1103" t="s">
        <v>3947</v>
      </c>
      <c r="P1103" t="s">
        <v>3478</v>
      </c>
    </row>
    <row r="1104" spans="1:16" x14ac:dyDescent="0.2">
      <c r="A1104" t="s">
        <v>1924</v>
      </c>
      <c r="B1104" t="s">
        <v>3479</v>
      </c>
      <c r="C1104" t="s">
        <v>66</v>
      </c>
      <c r="D1104" t="s">
        <v>2307</v>
      </c>
      <c r="E1104">
        <v>98133</v>
      </c>
      <c r="F1104" t="s">
        <v>1604</v>
      </c>
      <c r="G1104" t="s">
        <v>1982</v>
      </c>
      <c r="H1104" t="s">
        <v>3969</v>
      </c>
      <c r="I1104">
        <v>47.701791</v>
      </c>
      <c r="J1104">
        <v>-122.344464</v>
      </c>
      <c r="K1104" t="s">
        <v>3936</v>
      </c>
      <c r="L1104" t="s">
        <v>3946</v>
      </c>
      <c r="M1104" t="s">
        <v>3947</v>
      </c>
      <c r="P1104" t="s">
        <v>5663</v>
      </c>
    </row>
    <row r="1105" spans="1:16" x14ac:dyDescent="0.2">
      <c r="A1105" t="s">
        <v>1636</v>
      </c>
      <c r="B1105" t="s">
        <v>3480</v>
      </c>
      <c r="C1105" t="s">
        <v>66</v>
      </c>
      <c r="D1105" t="s">
        <v>2307</v>
      </c>
      <c r="E1105">
        <v>98133</v>
      </c>
      <c r="F1105" t="s">
        <v>1573</v>
      </c>
      <c r="G1105" t="s">
        <v>1971</v>
      </c>
      <c r="H1105" t="s">
        <v>5190</v>
      </c>
      <c r="I1105">
        <v>47.704326000000002</v>
      </c>
      <c r="J1105">
        <v>-122.356746</v>
      </c>
      <c r="K1105" t="s">
        <v>3936</v>
      </c>
      <c r="L1105" t="s">
        <v>3946</v>
      </c>
      <c r="M1105" t="s">
        <v>3947</v>
      </c>
      <c r="P1105" t="s">
        <v>3480</v>
      </c>
    </row>
    <row r="1106" spans="1:16" x14ac:dyDescent="0.2">
      <c r="A1106" t="s">
        <v>1925</v>
      </c>
      <c r="B1106" t="s">
        <v>3481</v>
      </c>
      <c r="C1106" t="s">
        <v>66</v>
      </c>
      <c r="D1106" t="s">
        <v>2307</v>
      </c>
      <c r="E1106">
        <v>98133</v>
      </c>
      <c r="F1106" t="s">
        <v>1575</v>
      </c>
      <c r="G1106" t="s">
        <v>1970</v>
      </c>
      <c r="H1106" t="s">
        <v>5180</v>
      </c>
      <c r="I1106">
        <v>47.708776999999998</v>
      </c>
      <c r="J1106">
        <v>-122.332612</v>
      </c>
      <c r="K1106" t="s">
        <v>3936</v>
      </c>
      <c r="L1106" t="s">
        <v>3946</v>
      </c>
      <c r="M1106" t="s">
        <v>3947</v>
      </c>
      <c r="P1106" t="s">
        <v>3481</v>
      </c>
    </row>
    <row r="1107" spans="1:16" x14ac:dyDescent="0.2">
      <c r="A1107" t="s">
        <v>1926</v>
      </c>
      <c r="B1107" t="s">
        <v>3482</v>
      </c>
      <c r="C1107" t="s">
        <v>66</v>
      </c>
      <c r="D1107" t="s">
        <v>2307</v>
      </c>
      <c r="E1107">
        <v>98118</v>
      </c>
      <c r="F1107" t="s">
        <v>1591</v>
      </c>
      <c r="G1107" t="s">
        <v>1969</v>
      </c>
      <c r="H1107" t="s">
        <v>5352</v>
      </c>
      <c r="I1107">
        <v>47.549593000000002</v>
      </c>
      <c r="J1107">
        <v>-122.277275</v>
      </c>
      <c r="K1107" t="s">
        <v>3936</v>
      </c>
      <c r="L1107" t="s">
        <v>3946</v>
      </c>
      <c r="M1107" t="s">
        <v>3947</v>
      </c>
      <c r="P1107" t="s">
        <v>3482</v>
      </c>
    </row>
    <row r="1108" spans="1:16" x14ac:dyDescent="0.2">
      <c r="A1108" t="s">
        <v>1927</v>
      </c>
      <c r="B1108" t="s">
        <v>3483</v>
      </c>
      <c r="C1108" t="s">
        <v>2502</v>
      </c>
      <c r="D1108" t="s">
        <v>2307</v>
      </c>
      <c r="E1108">
        <v>98004</v>
      </c>
      <c r="F1108" t="s">
        <v>1604</v>
      </c>
      <c r="G1108" t="s">
        <v>1971</v>
      </c>
      <c r="H1108" t="s">
        <v>4019</v>
      </c>
      <c r="I1108">
        <v>47.618678000000003</v>
      </c>
      <c r="J1108">
        <v>-122.193416</v>
      </c>
      <c r="K1108" t="s">
        <v>3936</v>
      </c>
      <c r="L1108" t="s">
        <v>3946</v>
      </c>
      <c r="M1108" t="s">
        <v>3947</v>
      </c>
      <c r="P1108" t="s">
        <v>3483</v>
      </c>
    </row>
    <row r="1109" spans="1:16" x14ac:dyDescent="0.2">
      <c r="A1109" t="s">
        <v>1928</v>
      </c>
      <c r="B1109" t="s">
        <v>3484</v>
      </c>
      <c r="C1109" t="s">
        <v>2502</v>
      </c>
      <c r="D1109" t="s">
        <v>2307</v>
      </c>
      <c r="E1109">
        <v>98004</v>
      </c>
      <c r="F1109" t="s">
        <v>1573</v>
      </c>
      <c r="G1109" t="s">
        <v>1971</v>
      </c>
      <c r="H1109" t="s">
        <v>5493</v>
      </c>
      <c r="I1109">
        <v>47.610464</v>
      </c>
      <c r="J1109">
        <v>-122.201722</v>
      </c>
      <c r="K1109" t="s">
        <v>3936</v>
      </c>
      <c r="L1109" t="s">
        <v>3946</v>
      </c>
      <c r="M1109" t="s">
        <v>3947</v>
      </c>
      <c r="P1109" t="s">
        <v>3484</v>
      </c>
    </row>
    <row r="1110" spans="1:16" x14ac:dyDescent="0.2">
      <c r="A1110" t="s">
        <v>1929</v>
      </c>
      <c r="B1110" t="s">
        <v>3485</v>
      </c>
      <c r="C1110" t="s">
        <v>2502</v>
      </c>
      <c r="D1110" t="s">
        <v>2307</v>
      </c>
      <c r="E1110">
        <v>98004</v>
      </c>
      <c r="F1110" t="s">
        <v>1587</v>
      </c>
      <c r="G1110" t="s">
        <v>1979</v>
      </c>
      <c r="H1110" t="s">
        <v>5085</v>
      </c>
      <c r="I1110">
        <v>47.609932000000001</v>
      </c>
      <c r="J1110">
        <v>-122.190647</v>
      </c>
      <c r="K1110" t="s">
        <v>3936</v>
      </c>
      <c r="L1110" t="s">
        <v>3946</v>
      </c>
      <c r="M1110" t="s">
        <v>3947</v>
      </c>
      <c r="P1110" t="s">
        <v>3485</v>
      </c>
    </row>
    <row r="1111" spans="1:16" x14ac:dyDescent="0.2">
      <c r="A1111" t="s">
        <v>1930</v>
      </c>
      <c r="B1111" t="s">
        <v>3486</v>
      </c>
      <c r="C1111" t="s">
        <v>2502</v>
      </c>
      <c r="D1111" t="s">
        <v>2307</v>
      </c>
      <c r="E1111">
        <v>98005</v>
      </c>
      <c r="F1111" t="s">
        <v>1604</v>
      </c>
      <c r="G1111" t="s">
        <v>1979</v>
      </c>
      <c r="H1111" t="s">
        <v>5504</v>
      </c>
      <c r="I1111">
        <v>47.616816999999998</v>
      </c>
      <c r="J1111">
        <v>-122.18051</v>
      </c>
      <c r="K1111" t="s">
        <v>3936</v>
      </c>
      <c r="L1111" t="s">
        <v>3946</v>
      </c>
      <c r="M1111" t="s">
        <v>3947</v>
      </c>
      <c r="P1111" t="s">
        <v>5706</v>
      </c>
    </row>
    <row r="1112" spans="1:16" x14ac:dyDescent="0.2">
      <c r="A1112" t="s">
        <v>1931</v>
      </c>
      <c r="B1112" t="s">
        <v>3487</v>
      </c>
      <c r="C1112" t="s">
        <v>2502</v>
      </c>
      <c r="D1112" t="s">
        <v>2307</v>
      </c>
      <c r="E1112">
        <v>98005</v>
      </c>
      <c r="F1112" t="s">
        <v>1658</v>
      </c>
      <c r="G1112" t="s">
        <v>1974</v>
      </c>
      <c r="H1112" t="s">
        <v>5191</v>
      </c>
      <c r="I1112">
        <v>47.626553999999999</v>
      </c>
      <c r="J1112">
        <v>-122.16692399999999</v>
      </c>
      <c r="K1112" t="s">
        <v>3936</v>
      </c>
      <c r="L1112" t="s">
        <v>3946</v>
      </c>
      <c r="M1112" t="s">
        <v>3947</v>
      </c>
      <c r="P1112" t="s">
        <v>5709</v>
      </c>
    </row>
    <row r="1113" spans="1:16" x14ac:dyDescent="0.2">
      <c r="A1113" t="s">
        <v>1932</v>
      </c>
      <c r="B1113" t="s">
        <v>3488</v>
      </c>
      <c r="C1113" t="s">
        <v>2555</v>
      </c>
      <c r="D1113" t="s">
        <v>2307</v>
      </c>
      <c r="E1113">
        <v>98110</v>
      </c>
      <c r="F1113" t="s">
        <v>1583</v>
      </c>
      <c r="G1113" t="s">
        <v>1980</v>
      </c>
      <c r="H1113" t="s">
        <v>5348</v>
      </c>
      <c r="I1113">
        <v>47.635652999999998</v>
      </c>
      <c r="J1113">
        <v>-122.518192</v>
      </c>
      <c r="K1113" t="s">
        <v>3936</v>
      </c>
      <c r="L1113" t="s">
        <v>3946</v>
      </c>
      <c r="M1113" t="s">
        <v>3947</v>
      </c>
      <c r="P1113" t="s">
        <v>3488</v>
      </c>
    </row>
    <row r="1114" spans="1:16" x14ac:dyDescent="0.2">
      <c r="A1114" t="s">
        <v>1914</v>
      </c>
      <c r="B1114" t="s">
        <v>3489</v>
      </c>
      <c r="C1114" t="s">
        <v>2502</v>
      </c>
      <c r="D1114" t="s">
        <v>2307</v>
      </c>
      <c r="E1114">
        <v>98007</v>
      </c>
      <c r="F1114" t="s">
        <v>1658</v>
      </c>
      <c r="G1114" t="s">
        <v>1980</v>
      </c>
      <c r="H1114" t="s">
        <v>5506</v>
      </c>
      <c r="I1114">
        <v>47.627828000000001</v>
      </c>
      <c r="J1114">
        <v>-122.151315</v>
      </c>
      <c r="K1114" t="s">
        <v>3936</v>
      </c>
      <c r="L1114" t="s">
        <v>3946</v>
      </c>
      <c r="M1114" t="s">
        <v>3947</v>
      </c>
      <c r="P1114" t="s">
        <v>3489</v>
      </c>
    </row>
    <row r="1115" spans="1:16" x14ac:dyDescent="0.2">
      <c r="A1115" t="s">
        <v>1933</v>
      </c>
      <c r="B1115" t="s">
        <v>3490</v>
      </c>
      <c r="C1115" t="s">
        <v>386</v>
      </c>
      <c r="D1115" t="s">
        <v>2307</v>
      </c>
      <c r="E1115">
        <v>98155</v>
      </c>
      <c r="F1115" t="s">
        <v>1583</v>
      </c>
      <c r="G1115" t="s">
        <v>1980</v>
      </c>
      <c r="H1115" t="s">
        <v>5517</v>
      </c>
      <c r="I1115">
        <v>47.757634000000003</v>
      </c>
      <c r="J1115">
        <v>-122.312686</v>
      </c>
      <c r="K1115" t="s">
        <v>3936</v>
      </c>
      <c r="L1115" t="s">
        <v>3946</v>
      </c>
      <c r="M1115" t="s">
        <v>3947</v>
      </c>
      <c r="P1115" t="s">
        <v>3490</v>
      </c>
    </row>
    <row r="1116" spans="1:16" x14ac:dyDescent="0.2">
      <c r="A1116" t="s">
        <v>1683</v>
      </c>
      <c r="B1116" t="s">
        <v>3491</v>
      </c>
      <c r="C1116" t="s">
        <v>386</v>
      </c>
      <c r="D1116" t="s">
        <v>2307</v>
      </c>
      <c r="E1116">
        <v>98133</v>
      </c>
      <c r="F1116" t="s">
        <v>1604</v>
      </c>
      <c r="G1116" t="s">
        <v>1971</v>
      </c>
      <c r="H1116" t="s">
        <v>3973</v>
      </c>
      <c r="I1116">
        <v>47.761727999999998</v>
      </c>
      <c r="J1116">
        <v>-122.34602099999999</v>
      </c>
      <c r="K1116" t="s">
        <v>3936</v>
      </c>
      <c r="L1116" t="s">
        <v>3946</v>
      </c>
      <c r="M1116" t="s">
        <v>3947</v>
      </c>
      <c r="P1116" t="s">
        <v>3491</v>
      </c>
    </row>
    <row r="1117" spans="1:16" x14ac:dyDescent="0.2">
      <c r="A1117" t="s">
        <v>1934</v>
      </c>
      <c r="B1117" t="s">
        <v>3492</v>
      </c>
      <c r="C1117" t="s">
        <v>2506</v>
      </c>
      <c r="D1117" t="s">
        <v>2307</v>
      </c>
      <c r="E1117">
        <v>98034</v>
      </c>
      <c r="F1117" t="s">
        <v>1575</v>
      </c>
      <c r="G1117" t="s">
        <v>1968</v>
      </c>
      <c r="H1117" t="s">
        <v>3974</v>
      </c>
      <c r="I1117">
        <v>47.708722000000002</v>
      </c>
      <c r="J1117">
        <v>-122.17557100000001</v>
      </c>
      <c r="K1117" t="s">
        <v>3936</v>
      </c>
      <c r="L1117" t="s">
        <v>3946</v>
      </c>
      <c r="M1117" t="s">
        <v>3947</v>
      </c>
      <c r="P1117" t="s">
        <v>3492</v>
      </c>
    </row>
    <row r="1118" spans="1:16" x14ac:dyDescent="0.2">
      <c r="A1118" t="s">
        <v>1935</v>
      </c>
      <c r="B1118" t="s">
        <v>3493</v>
      </c>
      <c r="C1118" t="s">
        <v>2599</v>
      </c>
      <c r="D1118" t="s">
        <v>2307</v>
      </c>
      <c r="E1118">
        <v>98028</v>
      </c>
      <c r="F1118" t="s">
        <v>1573</v>
      </c>
      <c r="G1118" t="s">
        <v>1985</v>
      </c>
      <c r="H1118" t="s">
        <v>5518</v>
      </c>
      <c r="I1118">
        <v>47.756855999999999</v>
      </c>
      <c r="J1118">
        <v>-122.239356</v>
      </c>
      <c r="K1118" t="s">
        <v>3936</v>
      </c>
      <c r="L1118" t="s">
        <v>3946</v>
      </c>
      <c r="M1118" t="s">
        <v>3947</v>
      </c>
      <c r="P1118" t="s">
        <v>3493</v>
      </c>
    </row>
    <row r="1119" spans="1:16" x14ac:dyDescent="0.2">
      <c r="A1119" t="s">
        <v>1697</v>
      </c>
      <c r="B1119" t="s">
        <v>3494</v>
      </c>
      <c r="C1119" t="s">
        <v>2586</v>
      </c>
      <c r="D1119" t="s">
        <v>2307</v>
      </c>
      <c r="E1119">
        <v>98052</v>
      </c>
      <c r="F1119" t="s">
        <v>1591</v>
      </c>
      <c r="G1119" t="s">
        <v>1969</v>
      </c>
      <c r="H1119" t="s">
        <v>4978</v>
      </c>
      <c r="I1119">
        <v>47.670568000000003</v>
      </c>
      <c r="J1119">
        <v>-122.12035899999999</v>
      </c>
      <c r="K1119" t="s">
        <v>3936</v>
      </c>
      <c r="L1119" t="s">
        <v>3946</v>
      </c>
      <c r="M1119" t="s">
        <v>3947</v>
      </c>
      <c r="P1119" t="s">
        <v>3494</v>
      </c>
    </row>
    <row r="1120" spans="1:16" x14ac:dyDescent="0.2">
      <c r="A1120" t="s">
        <v>1698</v>
      </c>
      <c r="B1120" t="s">
        <v>3495</v>
      </c>
      <c r="C1120" t="s">
        <v>2586</v>
      </c>
      <c r="D1120" t="s">
        <v>2307</v>
      </c>
      <c r="E1120">
        <v>98059</v>
      </c>
      <c r="F1120" t="s">
        <v>1591</v>
      </c>
      <c r="G1120" t="s">
        <v>1969</v>
      </c>
      <c r="H1120" t="s">
        <v>4020</v>
      </c>
      <c r="I1120">
        <v>47.672727999999999</v>
      </c>
      <c r="J1120">
        <v>-122.121144</v>
      </c>
      <c r="K1120" t="s">
        <v>3936</v>
      </c>
      <c r="L1120" t="s">
        <v>3946</v>
      </c>
      <c r="M1120" t="s">
        <v>3947</v>
      </c>
      <c r="P1120" t="s">
        <v>5666</v>
      </c>
    </row>
    <row r="1121" spans="1:16" x14ac:dyDescent="0.2">
      <c r="A1121" t="s">
        <v>1931</v>
      </c>
      <c r="B1121" t="s">
        <v>3497</v>
      </c>
      <c r="C1121" t="s">
        <v>2581</v>
      </c>
      <c r="D1121" t="s">
        <v>2307</v>
      </c>
      <c r="E1121">
        <v>98166</v>
      </c>
      <c r="F1121" t="s">
        <v>1658</v>
      </c>
      <c r="G1121" t="s">
        <v>1974</v>
      </c>
      <c r="H1121" t="s">
        <v>5521</v>
      </c>
      <c r="I1121">
        <v>47.465710999999999</v>
      </c>
      <c r="J1121">
        <v>-122.34214299999999</v>
      </c>
      <c r="K1121" t="s">
        <v>3936</v>
      </c>
      <c r="L1121" t="s">
        <v>3946</v>
      </c>
      <c r="M1121" t="s">
        <v>3947</v>
      </c>
      <c r="P1121" t="s">
        <v>3497</v>
      </c>
    </row>
    <row r="1122" spans="1:16" x14ac:dyDescent="0.2">
      <c r="A1122" t="s">
        <v>1937</v>
      </c>
      <c r="B1122" t="s">
        <v>3498</v>
      </c>
      <c r="C1122" t="s">
        <v>2597</v>
      </c>
      <c r="D1122" t="s">
        <v>2307</v>
      </c>
      <c r="E1122">
        <v>98056</v>
      </c>
      <c r="F1122" t="s">
        <v>1575</v>
      </c>
      <c r="G1122" t="s">
        <v>1968</v>
      </c>
      <c r="H1122" t="s">
        <v>3979</v>
      </c>
      <c r="I1122">
        <v>47.500943999999997</v>
      </c>
      <c r="J1122">
        <v>-122.18085000000001</v>
      </c>
      <c r="K1122" t="s">
        <v>3936</v>
      </c>
      <c r="L1122" t="s">
        <v>3946</v>
      </c>
      <c r="M1122" t="s">
        <v>3947</v>
      </c>
      <c r="P1122" t="s">
        <v>3498</v>
      </c>
    </row>
    <row r="1123" spans="1:16" x14ac:dyDescent="0.2">
      <c r="A1123" t="s">
        <v>1938</v>
      </c>
      <c r="B1123" t="s">
        <v>3499</v>
      </c>
      <c r="C1123" t="s">
        <v>2636</v>
      </c>
      <c r="D1123" t="s">
        <v>2307</v>
      </c>
      <c r="E1123">
        <v>98188</v>
      </c>
      <c r="F1123" t="s">
        <v>1583</v>
      </c>
      <c r="G1123" t="s">
        <v>1980</v>
      </c>
      <c r="H1123" t="s">
        <v>5038</v>
      </c>
      <c r="I1123">
        <v>47.459406000000001</v>
      </c>
      <c r="J1123">
        <v>-122.255534</v>
      </c>
      <c r="K1123" t="s">
        <v>3936</v>
      </c>
      <c r="L1123" t="s">
        <v>3946</v>
      </c>
      <c r="M1123" t="s">
        <v>3947</v>
      </c>
      <c r="P1123" t="s">
        <v>3499</v>
      </c>
    </row>
    <row r="1124" spans="1:16" x14ac:dyDescent="0.2">
      <c r="A1124" t="s">
        <v>1939</v>
      </c>
      <c r="B1124" t="s">
        <v>3500</v>
      </c>
      <c r="C1124" t="s">
        <v>2636</v>
      </c>
      <c r="D1124" t="s">
        <v>2307</v>
      </c>
      <c r="E1124">
        <v>98188</v>
      </c>
      <c r="F1124" t="s">
        <v>1575</v>
      </c>
      <c r="G1124" t="s">
        <v>1975</v>
      </c>
      <c r="H1124" t="s">
        <v>4021</v>
      </c>
      <c r="I1124">
        <v>47.454813000000001</v>
      </c>
      <c r="J1124">
        <v>-122.262275</v>
      </c>
      <c r="K1124" t="s">
        <v>3936</v>
      </c>
      <c r="L1124" t="s">
        <v>3946</v>
      </c>
      <c r="M1124" t="s">
        <v>3947</v>
      </c>
      <c r="P1124" t="s">
        <v>3500</v>
      </c>
    </row>
    <row r="1125" spans="1:16" x14ac:dyDescent="0.2">
      <c r="A1125" t="s">
        <v>1940</v>
      </c>
      <c r="B1125" t="s">
        <v>3501</v>
      </c>
      <c r="C1125" t="s">
        <v>66</v>
      </c>
      <c r="D1125" t="s">
        <v>2307</v>
      </c>
      <c r="E1125">
        <v>98188</v>
      </c>
      <c r="F1125" t="s">
        <v>1591</v>
      </c>
      <c r="G1125" t="s">
        <v>1969</v>
      </c>
      <c r="H1125" t="s">
        <v>5495</v>
      </c>
      <c r="I1125">
        <v>47.447164999999998</v>
      </c>
      <c r="J1125">
        <v>-122.296145</v>
      </c>
      <c r="K1125" t="s">
        <v>3936</v>
      </c>
      <c r="L1125" t="s">
        <v>3946</v>
      </c>
      <c r="M1125" t="s">
        <v>3947</v>
      </c>
      <c r="P1125" t="s">
        <v>3501</v>
      </c>
    </row>
    <row r="1126" spans="1:16" x14ac:dyDescent="0.2">
      <c r="A1126" t="s">
        <v>1941</v>
      </c>
      <c r="B1126" t="s">
        <v>3502</v>
      </c>
      <c r="C1126" t="s">
        <v>2627</v>
      </c>
      <c r="D1126" t="s">
        <v>2307</v>
      </c>
      <c r="E1126">
        <v>98020</v>
      </c>
      <c r="F1126" t="s">
        <v>1604</v>
      </c>
      <c r="G1126" t="s">
        <v>1985</v>
      </c>
      <c r="H1126" t="s">
        <v>4022</v>
      </c>
      <c r="I1126">
        <v>47.812269999999998</v>
      </c>
      <c r="J1126">
        <v>-122.381635</v>
      </c>
      <c r="K1126" t="s">
        <v>3936</v>
      </c>
      <c r="L1126" t="s">
        <v>3946</v>
      </c>
      <c r="M1126" t="s">
        <v>3947</v>
      </c>
      <c r="P1126" t="s">
        <v>3502</v>
      </c>
    </row>
    <row r="1127" spans="1:16" x14ac:dyDescent="0.2">
      <c r="A1127" t="s">
        <v>1942</v>
      </c>
      <c r="B1127" t="s">
        <v>3503</v>
      </c>
      <c r="C1127" t="s">
        <v>2636</v>
      </c>
      <c r="D1127" t="s">
        <v>2307</v>
      </c>
      <c r="E1127">
        <v>98188</v>
      </c>
      <c r="F1127" t="s">
        <v>1575</v>
      </c>
      <c r="G1127" t="s">
        <v>1968</v>
      </c>
      <c r="H1127" t="s">
        <v>4023</v>
      </c>
      <c r="I1127">
        <v>47.451985000000001</v>
      </c>
      <c r="J1127">
        <v>-122.262263</v>
      </c>
      <c r="K1127" t="s">
        <v>3936</v>
      </c>
      <c r="L1127" t="s">
        <v>3946</v>
      </c>
      <c r="M1127" t="s">
        <v>3947</v>
      </c>
      <c r="P1127" t="s">
        <v>3503</v>
      </c>
    </row>
    <row r="1128" spans="1:16" x14ac:dyDescent="0.2">
      <c r="A1128" t="s">
        <v>1943</v>
      </c>
      <c r="B1128" t="s">
        <v>3504</v>
      </c>
      <c r="C1128" t="s">
        <v>2717</v>
      </c>
      <c r="D1128" t="s">
        <v>2307</v>
      </c>
      <c r="E1128">
        <v>98036</v>
      </c>
      <c r="F1128" t="s">
        <v>1591</v>
      </c>
      <c r="G1128" t="s">
        <v>1969</v>
      </c>
      <c r="H1128" t="s">
        <v>5400</v>
      </c>
      <c r="I1128">
        <v>47.811999</v>
      </c>
      <c r="J1128">
        <v>-122.292492</v>
      </c>
      <c r="K1128" t="s">
        <v>3936</v>
      </c>
      <c r="L1128" t="s">
        <v>3946</v>
      </c>
      <c r="M1128" t="s">
        <v>3947</v>
      </c>
      <c r="P1128" t="s">
        <v>3504</v>
      </c>
    </row>
    <row r="1129" spans="1:16" x14ac:dyDescent="0.2">
      <c r="A1129" t="s">
        <v>1944</v>
      </c>
      <c r="B1129" t="s">
        <v>3505</v>
      </c>
      <c r="C1129" t="s">
        <v>2717</v>
      </c>
      <c r="D1129" t="s">
        <v>2307</v>
      </c>
      <c r="E1129">
        <v>98036</v>
      </c>
      <c r="F1129" t="s">
        <v>1591</v>
      </c>
      <c r="G1129" t="s">
        <v>1969</v>
      </c>
      <c r="H1129" t="s">
        <v>4024</v>
      </c>
      <c r="I1129">
        <v>47.817210000000003</v>
      </c>
      <c r="J1129">
        <v>-122.293935</v>
      </c>
      <c r="K1129" t="s">
        <v>3936</v>
      </c>
      <c r="L1129" t="s">
        <v>3946</v>
      </c>
      <c r="M1129" t="s">
        <v>3947</v>
      </c>
      <c r="P1129" t="s">
        <v>5748</v>
      </c>
    </row>
    <row r="1130" spans="1:16" x14ac:dyDescent="0.2">
      <c r="A1130" t="s">
        <v>1944</v>
      </c>
      <c r="B1130" t="s">
        <v>3506</v>
      </c>
      <c r="C1130" t="s">
        <v>2717</v>
      </c>
      <c r="D1130" t="s">
        <v>2307</v>
      </c>
      <c r="E1130">
        <v>98036</v>
      </c>
      <c r="F1130" t="s">
        <v>1575</v>
      </c>
      <c r="G1130" t="s">
        <v>1983</v>
      </c>
      <c r="H1130" t="s">
        <v>5186</v>
      </c>
      <c r="I1130">
        <v>47.817210000000003</v>
      </c>
      <c r="J1130">
        <v>-122.293935</v>
      </c>
      <c r="K1130" t="s">
        <v>3936</v>
      </c>
      <c r="L1130" t="s">
        <v>3946</v>
      </c>
      <c r="M1130" t="s">
        <v>3947</v>
      </c>
      <c r="P1130" t="s">
        <v>5749</v>
      </c>
    </row>
    <row r="1131" spans="1:16" x14ac:dyDescent="0.2">
      <c r="A1131" t="s">
        <v>1945</v>
      </c>
      <c r="B1131" t="s">
        <v>3507</v>
      </c>
      <c r="C1131" t="s">
        <v>2548</v>
      </c>
      <c r="D1131" t="s">
        <v>2307</v>
      </c>
      <c r="E1131">
        <v>98012</v>
      </c>
      <c r="F1131" t="s">
        <v>1575</v>
      </c>
      <c r="G1131" t="s">
        <v>1973</v>
      </c>
      <c r="H1131" t="s">
        <v>4025</v>
      </c>
      <c r="I1131">
        <v>47.821648000000003</v>
      </c>
      <c r="J1131">
        <v>-122.20724800000001</v>
      </c>
      <c r="K1131" t="s">
        <v>3936</v>
      </c>
      <c r="L1131" t="s">
        <v>3946</v>
      </c>
      <c r="M1131" t="s">
        <v>3947</v>
      </c>
      <c r="P1131" t="s">
        <v>5707</v>
      </c>
    </row>
    <row r="1132" spans="1:16" x14ac:dyDescent="0.2">
      <c r="A1132" t="s">
        <v>1946</v>
      </c>
      <c r="B1132" t="s">
        <v>3508</v>
      </c>
      <c r="C1132" t="s">
        <v>2785</v>
      </c>
      <c r="D1132" t="s">
        <v>2307</v>
      </c>
      <c r="E1132">
        <v>98027</v>
      </c>
      <c r="F1132" t="s">
        <v>1658</v>
      </c>
      <c r="G1132" t="s">
        <v>1973</v>
      </c>
      <c r="H1132" t="s">
        <v>5177</v>
      </c>
      <c r="I1132">
        <v>47.540477000000003</v>
      </c>
      <c r="J1132">
        <v>-122.040936</v>
      </c>
      <c r="K1132" t="s">
        <v>3936</v>
      </c>
      <c r="L1132" t="s">
        <v>3946</v>
      </c>
      <c r="M1132" t="s">
        <v>3947</v>
      </c>
      <c r="P1132" t="s">
        <v>3508</v>
      </c>
    </row>
    <row r="1133" spans="1:16" x14ac:dyDescent="0.2">
      <c r="A1133" t="s">
        <v>1947</v>
      </c>
      <c r="B1133" t="s">
        <v>3509</v>
      </c>
      <c r="C1133" t="s">
        <v>2785</v>
      </c>
      <c r="D1133" t="s">
        <v>2307</v>
      </c>
      <c r="E1133">
        <v>98027</v>
      </c>
      <c r="F1133" t="s">
        <v>1591</v>
      </c>
      <c r="G1133" t="s">
        <v>1969</v>
      </c>
      <c r="H1133" t="s">
        <v>5178</v>
      </c>
      <c r="I1133">
        <v>47.534436999999997</v>
      </c>
      <c r="J1133">
        <v>-122.031328</v>
      </c>
      <c r="K1133" t="s">
        <v>3936</v>
      </c>
      <c r="L1133" t="s">
        <v>3946</v>
      </c>
      <c r="M1133" t="s">
        <v>3947</v>
      </c>
      <c r="P1133" t="s">
        <v>3509</v>
      </c>
    </row>
    <row r="1134" spans="1:16" x14ac:dyDescent="0.2">
      <c r="A1134" t="s">
        <v>1948</v>
      </c>
      <c r="B1134" t="s">
        <v>3510</v>
      </c>
      <c r="C1134" t="s">
        <v>2830</v>
      </c>
      <c r="D1134" t="s">
        <v>2307</v>
      </c>
      <c r="E1134">
        <v>98198</v>
      </c>
      <c r="F1134" t="s">
        <v>1575</v>
      </c>
      <c r="G1134" t="s">
        <v>1973</v>
      </c>
      <c r="H1134" t="s">
        <v>5041</v>
      </c>
      <c r="I1134">
        <v>47.408079999999998</v>
      </c>
      <c r="J1134">
        <v>-122.324714</v>
      </c>
      <c r="K1134" t="s">
        <v>3936</v>
      </c>
      <c r="L1134" t="s">
        <v>3946</v>
      </c>
      <c r="M1134" t="s">
        <v>3947</v>
      </c>
      <c r="P1134" t="s">
        <v>3510</v>
      </c>
    </row>
    <row r="1135" spans="1:16" x14ac:dyDescent="0.2">
      <c r="A1135" t="s">
        <v>1949</v>
      </c>
      <c r="B1135" t="s">
        <v>6255</v>
      </c>
      <c r="C1135" t="s">
        <v>2548</v>
      </c>
      <c r="D1135" t="s">
        <v>2307</v>
      </c>
      <c r="E1135">
        <v>98012</v>
      </c>
      <c r="F1135" t="s">
        <v>1583</v>
      </c>
      <c r="G1135" t="s">
        <v>1980</v>
      </c>
      <c r="H1135" t="s">
        <v>5525</v>
      </c>
      <c r="I1135">
        <v>47.835683000000003</v>
      </c>
      <c r="J1135">
        <v>-122.211249</v>
      </c>
      <c r="K1135" t="s">
        <v>3936</v>
      </c>
      <c r="L1135" t="s">
        <v>3946</v>
      </c>
      <c r="M1135" t="s">
        <v>3947</v>
      </c>
      <c r="P1135" t="s">
        <v>6055</v>
      </c>
    </row>
    <row r="1136" spans="1:16" x14ac:dyDescent="0.2">
      <c r="A1136" t="s">
        <v>5099</v>
      </c>
      <c r="B1136" t="s">
        <v>5100</v>
      </c>
      <c r="C1136" t="s">
        <v>2744</v>
      </c>
      <c r="D1136" t="s">
        <v>2307</v>
      </c>
      <c r="E1136">
        <v>98366</v>
      </c>
      <c r="F1136" t="s">
        <v>1583</v>
      </c>
      <c r="G1136" t="s">
        <v>1980</v>
      </c>
      <c r="H1136" t="s">
        <v>5101</v>
      </c>
      <c r="I1136">
        <v>47.539563999999999</v>
      </c>
      <c r="J1136">
        <v>-122.642617</v>
      </c>
      <c r="K1136" t="s">
        <v>3936</v>
      </c>
      <c r="L1136" t="s">
        <v>3946</v>
      </c>
      <c r="M1136" t="s">
        <v>3947</v>
      </c>
      <c r="P1136" t="s">
        <v>5100</v>
      </c>
    </row>
    <row r="1137" spans="1:16" x14ac:dyDescent="0.2">
      <c r="A1137" t="s">
        <v>1950</v>
      </c>
      <c r="B1137" t="s">
        <v>3511</v>
      </c>
      <c r="C1137" t="s">
        <v>2754</v>
      </c>
      <c r="D1137" t="s">
        <v>2307</v>
      </c>
      <c r="E1137">
        <v>98312</v>
      </c>
      <c r="F1137" t="s">
        <v>1591</v>
      </c>
      <c r="G1137" t="s">
        <v>1969</v>
      </c>
      <c r="H1137" t="s">
        <v>5219</v>
      </c>
      <c r="I1137">
        <v>47.571451000000003</v>
      </c>
      <c r="J1137">
        <v>-122.65989999999999</v>
      </c>
      <c r="K1137" t="s">
        <v>3936</v>
      </c>
      <c r="L1137" t="s">
        <v>3946</v>
      </c>
      <c r="M1137" t="s">
        <v>3947</v>
      </c>
      <c r="P1137" t="s">
        <v>3511</v>
      </c>
    </row>
    <row r="1138" spans="1:16" x14ac:dyDescent="0.2">
      <c r="A1138" t="s">
        <v>1683</v>
      </c>
      <c r="B1138" t="s">
        <v>3512</v>
      </c>
      <c r="C1138" t="s">
        <v>2861</v>
      </c>
      <c r="D1138" t="s">
        <v>2307</v>
      </c>
      <c r="E1138">
        <v>98012</v>
      </c>
      <c r="F1138" t="s">
        <v>1604</v>
      </c>
      <c r="G1138" t="s">
        <v>1971</v>
      </c>
      <c r="H1138" t="s">
        <v>3987</v>
      </c>
      <c r="I1138">
        <v>47.849381999999999</v>
      </c>
      <c r="J1138">
        <v>-122.21875300000001</v>
      </c>
      <c r="K1138" t="s">
        <v>3936</v>
      </c>
      <c r="L1138" t="s">
        <v>3946</v>
      </c>
      <c r="M1138" t="s">
        <v>3947</v>
      </c>
      <c r="P1138" t="s">
        <v>5682</v>
      </c>
    </row>
    <row r="1139" spans="1:16" x14ac:dyDescent="0.2">
      <c r="A1139" t="s">
        <v>1951</v>
      </c>
      <c r="B1139" t="s">
        <v>3513</v>
      </c>
      <c r="C1139" t="s">
        <v>2861</v>
      </c>
      <c r="D1139" t="s">
        <v>2307</v>
      </c>
      <c r="E1139">
        <v>98012</v>
      </c>
      <c r="F1139" t="s">
        <v>1658</v>
      </c>
      <c r="G1139" t="s">
        <v>1986</v>
      </c>
      <c r="H1139" t="s">
        <v>5042</v>
      </c>
      <c r="I1139">
        <v>47.850399000000003</v>
      </c>
      <c r="J1139">
        <v>-122.221012</v>
      </c>
      <c r="K1139" t="s">
        <v>3936</v>
      </c>
      <c r="L1139" t="s">
        <v>3946</v>
      </c>
      <c r="M1139" t="s">
        <v>3947</v>
      </c>
      <c r="P1139" t="s">
        <v>3513</v>
      </c>
    </row>
    <row r="1140" spans="1:16" x14ac:dyDescent="0.2">
      <c r="A1140" t="s">
        <v>1769</v>
      </c>
      <c r="B1140" t="s">
        <v>3514</v>
      </c>
      <c r="C1140" t="s">
        <v>2785</v>
      </c>
      <c r="D1140" t="s">
        <v>2307</v>
      </c>
      <c r="E1140">
        <v>98029</v>
      </c>
      <c r="F1140" t="s">
        <v>1604</v>
      </c>
      <c r="G1140" t="s">
        <v>1982</v>
      </c>
      <c r="H1140" t="s">
        <v>4993</v>
      </c>
      <c r="I1140">
        <v>47.543579000000001</v>
      </c>
      <c r="J1140">
        <v>-122.01559899999999</v>
      </c>
      <c r="K1140" t="s">
        <v>3936</v>
      </c>
      <c r="L1140" t="s">
        <v>3946</v>
      </c>
      <c r="M1140" t="s">
        <v>3947</v>
      </c>
      <c r="P1140" t="s">
        <v>3514</v>
      </c>
    </row>
    <row r="1141" spans="1:16" x14ac:dyDescent="0.2">
      <c r="A1141" t="s">
        <v>1952</v>
      </c>
      <c r="B1141" t="s">
        <v>3515</v>
      </c>
      <c r="C1141" t="s">
        <v>2861</v>
      </c>
      <c r="D1141" t="s">
        <v>2307</v>
      </c>
      <c r="E1141">
        <v>98012</v>
      </c>
      <c r="F1141" t="s">
        <v>1604</v>
      </c>
      <c r="G1141" t="s">
        <v>1979</v>
      </c>
      <c r="H1141" t="s">
        <v>4984</v>
      </c>
      <c r="I1141">
        <v>47.861060999999999</v>
      </c>
      <c r="J1141">
        <v>-122.220394</v>
      </c>
      <c r="K1141" t="s">
        <v>3936</v>
      </c>
      <c r="L1141" t="s">
        <v>3946</v>
      </c>
      <c r="M1141" t="s">
        <v>3947</v>
      </c>
      <c r="P1141" t="s">
        <v>3515</v>
      </c>
    </row>
    <row r="1142" spans="1:16" x14ac:dyDescent="0.2">
      <c r="A1142" t="s">
        <v>1786</v>
      </c>
      <c r="B1142" t="s">
        <v>3516</v>
      </c>
      <c r="C1142" t="s">
        <v>2861</v>
      </c>
      <c r="D1142" t="s">
        <v>2307</v>
      </c>
      <c r="E1142">
        <v>98012</v>
      </c>
      <c r="F1142" t="s">
        <v>1591</v>
      </c>
      <c r="G1142" t="s">
        <v>1969</v>
      </c>
      <c r="H1142" t="s">
        <v>5551</v>
      </c>
      <c r="I1142">
        <v>47.877859999999998</v>
      </c>
      <c r="J1142">
        <v>-122.18857300000001</v>
      </c>
      <c r="K1142" t="s">
        <v>3936</v>
      </c>
      <c r="L1142" t="s">
        <v>3946</v>
      </c>
      <c r="M1142" t="s">
        <v>3947</v>
      </c>
      <c r="P1142" t="s">
        <v>5719</v>
      </c>
    </row>
    <row r="1143" spans="1:16" x14ac:dyDescent="0.2">
      <c r="A1143" t="s">
        <v>5110</v>
      </c>
      <c r="B1143" t="s">
        <v>5111</v>
      </c>
      <c r="C1143" t="s">
        <v>2900</v>
      </c>
      <c r="D1143" t="s">
        <v>2307</v>
      </c>
      <c r="E1143">
        <v>98208</v>
      </c>
      <c r="F1143" t="s">
        <v>1573</v>
      </c>
      <c r="G1143" t="s">
        <v>1982</v>
      </c>
      <c r="H1143" t="s">
        <v>5112</v>
      </c>
      <c r="I1143">
        <v>47.913187000000001</v>
      </c>
      <c r="J1143">
        <v>-122.21253</v>
      </c>
      <c r="K1143" t="s">
        <v>3936</v>
      </c>
      <c r="L1143" t="s">
        <v>3946</v>
      </c>
      <c r="M1143" t="s">
        <v>3947</v>
      </c>
      <c r="P1143" t="s">
        <v>5111</v>
      </c>
    </row>
    <row r="1144" spans="1:16" x14ac:dyDescent="0.2">
      <c r="A1144" t="s">
        <v>1953</v>
      </c>
      <c r="B1144" t="s">
        <v>3517</v>
      </c>
      <c r="C1144" t="s">
        <v>2900</v>
      </c>
      <c r="D1144" t="s">
        <v>2307</v>
      </c>
      <c r="E1144">
        <v>98208</v>
      </c>
      <c r="F1144" t="s">
        <v>1573</v>
      </c>
      <c r="G1144" t="s">
        <v>1982</v>
      </c>
      <c r="H1144" t="s">
        <v>5113</v>
      </c>
      <c r="I1144">
        <v>47.913212000000001</v>
      </c>
      <c r="J1144">
        <v>-122.212531</v>
      </c>
      <c r="K1144" t="s">
        <v>3936</v>
      </c>
      <c r="L1144" t="s">
        <v>3946</v>
      </c>
      <c r="M1144" t="s">
        <v>3947</v>
      </c>
      <c r="P1144" t="s">
        <v>3517</v>
      </c>
    </row>
    <row r="1145" spans="1:16" x14ac:dyDescent="0.2">
      <c r="A1145" t="s">
        <v>1955</v>
      </c>
      <c r="B1145" t="s">
        <v>3518</v>
      </c>
      <c r="C1145" t="s">
        <v>2970</v>
      </c>
      <c r="D1145" t="s">
        <v>2307</v>
      </c>
      <c r="E1145">
        <v>98042</v>
      </c>
      <c r="F1145" t="s">
        <v>1575</v>
      </c>
      <c r="G1145" t="s">
        <v>1979</v>
      </c>
      <c r="H1145" t="s">
        <v>4026</v>
      </c>
      <c r="I1145">
        <v>47.358640000000001</v>
      </c>
      <c r="J1145">
        <v>-122.11802400000001</v>
      </c>
      <c r="K1145" t="s">
        <v>3936</v>
      </c>
      <c r="L1145" t="s">
        <v>3946</v>
      </c>
      <c r="M1145" t="s">
        <v>3947</v>
      </c>
      <c r="P1145" t="s">
        <v>5753</v>
      </c>
    </row>
    <row r="1146" spans="1:16" x14ac:dyDescent="0.2">
      <c r="A1146" t="s">
        <v>1956</v>
      </c>
      <c r="B1146" t="s">
        <v>3519</v>
      </c>
      <c r="C1146" t="s">
        <v>2914</v>
      </c>
      <c r="D1146" t="s">
        <v>2307</v>
      </c>
      <c r="E1146">
        <v>98275</v>
      </c>
      <c r="F1146" t="s">
        <v>1573</v>
      </c>
      <c r="G1146" t="s">
        <v>1974</v>
      </c>
      <c r="H1146" t="s">
        <v>4027</v>
      </c>
      <c r="I1146">
        <v>47.948946999999997</v>
      </c>
      <c r="J1146">
        <v>-122.303956</v>
      </c>
      <c r="K1146" t="s">
        <v>3936</v>
      </c>
      <c r="L1146" t="s">
        <v>3946</v>
      </c>
      <c r="M1146" t="s">
        <v>3947</v>
      </c>
      <c r="P1146" t="s">
        <v>3519</v>
      </c>
    </row>
    <row r="1147" spans="1:16" x14ac:dyDescent="0.2">
      <c r="A1147" t="s">
        <v>1959</v>
      </c>
      <c r="B1147" t="s">
        <v>3521</v>
      </c>
      <c r="C1147" t="s">
        <v>3014</v>
      </c>
      <c r="D1147" t="s">
        <v>2307</v>
      </c>
      <c r="E1147">
        <v>98065</v>
      </c>
      <c r="F1147" t="s">
        <v>1604</v>
      </c>
      <c r="G1147" t="s">
        <v>1973</v>
      </c>
      <c r="H1147" t="s">
        <v>5427</v>
      </c>
      <c r="I1147">
        <v>47.529980999999999</v>
      </c>
      <c r="J1147">
        <v>-121.872946</v>
      </c>
      <c r="K1147" t="s">
        <v>3936</v>
      </c>
      <c r="L1147" t="s">
        <v>3946</v>
      </c>
      <c r="M1147" t="s">
        <v>3947</v>
      </c>
      <c r="P1147" t="s">
        <v>3521</v>
      </c>
    </row>
    <row r="1148" spans="1:16" x14ac:dyDescent="0.2">
      <c r="A1148" t="s">
        <v>1683</v>
      </c>
      <c r="B1148" t="s">
        <v>3522</v>
      </c>
      <c r="C1148" t="s">
        <v>2930</v>
      </c>
      <c r="D1148" t="s">
        <v>2307</v>
      </c>
      <c r="E1148">
        <v>98003</v>
      </c>
      <c r="F1148" t="s">
        <v>1604</v>
      </c>
      <c r="G1148" t="s">
        <v>1971</v>
      </c>
      <c r="H1148" t="s">
        <v>3993</v>
      </c>
      <c r="I1148">
        <v>47.289017999999999</v>
      </c>
      <c r="J1148">
        <v>-122.313638</v>
      </c>
      <c r="K1148" t="s">
        <v>3936</v>
      </c>
      <c r="L1148" t="s">
        <v>3946</v>
      </c>
      <c r="M1148" t="s">
        <v>3947</v>
      </c>
      <c r="P1148" t="s">
        <v>3522</v>
      </c>
    </row>
    <row r="1149" spans="1:16" x14ac:dyDescent="0.2">
      <c r="A1149" t="s">
        <v>1960</v>
      </c>
      <c r="B1149" t="s">
        <v>3523</v>
      </c>
      <c r="C1149" t="s">
        <v>3067</v>
      </c>
      <c r="D1149" t="s">
        <v>2307</v>
      </c>
      <c r="E1149">
        <v>98407</v>
      </c>
      <c r="F1149" t="s">
        <v>1591</v>
      </c>
      <c r="G1149" t="s">
        <v>1969</v>
      </c>
      <c r="H1149" t="s">
        <v>4029</v>
      </c>
      <c r="I1149">
        <v>47.271310999999997</v>
      </c>
      <c r="J1149">
        <v>-122.48908</v>
      </c>
      <c r="K1149" t="s">
        <v>3936</v>
      </c>
      <c r="L1149" t="s">
        <v>3946</v>
      </c>
      <c r="M1149" t="s">
        <v>3947</v>
      </c>
      <c r="P1149" t="s">
        <v>3523</v>
      </c>
    </row>
    <row r="1150" spans="1:16" x14ac:dyDescent="0.2">
      <c r="A1150" t="s">
        <v>1961</v>
      </c>
      <c r="B1150" t="s">
        <v>3524</v>
      </c>
      <c r="C1150" t="s">
        <v>3067</v>
      </c>
      <c r="D1150" t="s">
        <v>2307</v>
      </c>
      <c r="E1150">
        <v>98406</v>
      </c>
      <c r="F1150" t="s">
        <v>1583</v>
      </c>
      <c r="G1150" t="s">
        <v>1980</v>
      </c>
      <c r="H1150" t="s">
        <v>4030</v>
      </c>
      <c r="I1150">
        <v>47.255282999999999</v>
      </c>
      <c r="J1150">
        <v>-122.47154500000001</v>
      </c>
      <c r="K1150" t="s">
        <v>3936</v>
      </c>
      <c r="L1150" t="s">
        <v>3946</v>
      </c>
      <c r="M1150" t="s">
        <v>3947</v>
      </c>
      <c r="P1150" t="s">
        <v>3524</v>
      </c>
    </row>
    <row r="1151" spans="1:16" x14ac:dyDescent="0.2">
      <c r="A1151" t="s">
        <v>1962</v>
      </c>
      <c r="B1151" t="s">
        <v>3525</v>
      </c>
      <c r="C1151" t="s">
        <v>3067</v>
      </c>
      <c r="D1151" t="s">
        <v>2307</v>
      </c>
      <c r="E1151">
        <v>98421</v>
      </c>
      <c r="F1151" t="s">
        <v>1591</v>
      </c>
      <c r="G1151" t="s">
        <v>1969</v>
      </c>
      <c r="H1151" t="s">
        <v>4031</v>
      </c>
      <c r="I1151">
        <v>47.245683</v>
      </c>
      <c r="J1151">
        <v>-122.43074799999999</v>
      </c>
      <c r="K1151" t="s">
        <v>3936</v>
      </c>
      <c r="L1151" t="s">
        <v>3946</v>
      </c>
      <c r="M1151" t="s">
        <v>3947</v>
      </c>
      <c r="P1151" t="s">
        <v>3525</v>
      </c>
    </row>
    <row r="1152" spans="1:16" x14ac:dyDescent="0.2">
      <c r="A1152" t="s">
        <v>1963</v>
      </c>
      <c r="B1152" t="s">
        <v>3526</v>
      </c>
      <c r="C1152" t="s">
        <v>3067</v>
      </c>
      <c r="D1152" t="s">
        <v>2307</v>
      </c>
      <c r="E1152">
        <v>98421</v>
      </c>
      <c r="F1152" t="s">
        <v>1591</v>
      </c>
      <c r="G1152" t="s">
        <v>1969</v>
      </c>
      <c r="H1152" t="s">
        <v>4032</v>
      </c>
      <c r="I1152">
        <v>47.239547000000002</v>
      </c>
      <c r="J1152">
        <v>-122.413045</v>
      </c>
      <c r="K1152" t="s">
        <v>3936</v>
      </c>
      <c r="L1152" t="s">
        <v>3946</v>
      </c>
      <c r="M1152" t="s">
        <v>3947</v>
      </c>
      <c r="P1152" t="s">
        <v>3526</v>
      </c>
    </row>
    <row r="1153" spans="1:16" x14ac:dyDescent="0.2">
      <c r="A1153" t="s">
        <v>1849</v>
      </c>
      <c r="B1153" t="s">
        <v>3527</v>
      </c>
      <c r="C1153" t="s">
        <v>3201</v>
      </c>
      <c r="D1153" t="s">
        <v>2307</v>
      </c>
      <c r="E1153">
        <v>98271</v>
      </c>
      <c r="F1153" t="s">
        <v>1583</v>
      </c>
      <c r="G1153" t="s">
        <v>1980</v>
      </c>
      <c r="H1153" t="s">
        <v>5439</v>
      </c>
      <c r="I1153">
        <v>48.053491999999999</v>
      </c>
      <c r="J1153">
        <v>-122.188784</v>
      </c>
      <c r="K1153" t="s">
        <v>3936</v>
      </c>
      <c r="L1153" t="s">
        <v>3946</v>
      </c>
      <c r="M1153" t="s">
        <v>3947</v>
      </c>
      <c r="P1153" t="s">
        <v>3527</v>
      </c>
    </row>
    <row r="1154" spans="1:16" x14ac:dyDescent="0.2">
      <c r="A1154" t="s">
        <v>1953</v>
      </c>
      <c r="B1154" t="s">
        <v>3528</v>
      </c>
      <c r="C1154" t="s">
        <v>3255</v>
      </c>
      <c r="D1154" t="s">
        <v>2307</v>
      </c>
      <c r="E1154">
        <v>98271</v>
      </c>
      <c r="F1154" t="s">
        <v>1573</v>
      </c>
      <c r="G1154" t="s">
        <v>1982</v>
      </c>
      <c r="H1154" t="s">
        <v>5134</v>
      </c>
      <c r="I1154">
        <v>48.078888999999997</v>
      </c>
      <c r="J1154">
        <v>-122.190054</v>
      </c>
      <c r="K1154" t="s">
        <v>3936</v>
      </c>
      <c r="L1154" t="s">
        <v>3946</v>
      </c>
      <c r="M1154" t="s">
        <v>3947</v>
      </c>
      <c r="P1154" t="s">
        <v>3528</v>
      </c>
    </row>
    <row r="1155" spans="1:16" x14ac:dyDescent="0.2">
      <c r="A1155" t="s">
        <v>5135</v>
      </c>
      <c r="B1155" t="s">
        <v>5136</v>
      </c>
      <c r="C1155" t="s">
        <v>3255</v>
      </c>
      <c r="D1155" t="s">
        <v>2307</v>
      </c>
      <c r="E1155">
        <v>98271</v>
      </c>
      <c r="F1155" t="s">
        <v>1573</v>
      </c>
      <c r="G1155" t="s">
        <v>1982</v>
      </c>
      <c r="H1155" t="s">
        <v>5137</v>
      </c>
      <c r="I1155">
        <v>48.078888999999997</v>
      </c>
      <c r="J1155">
        <v>-122.190054</v>
      </c>
      <c r="K1155" t="s">
        <v>3936</v>
      </c>
      <c r="L1155" t="s">
        <v>3946</v>
      </c>
      <c r="M1155" t="s">
        <v>3947</v>
      </c>
      <c r="P1155" t="s">
        <v>5136</v>
      </c>
    </row>
    <row r="1156" spans="1:16" x14ac:dyDescent="0.2">
      <c r="A1156" t="s">
        <v>1964</v>
      </c>
      <c r="B1156" t="s">
        <v>3529</v>
      </c>
      <c r="C1156" t="s">
        <v>3329</v>
      </c>
      <c r="D1156" t="s">
        <v>2307</v>
      </c>
      <c r="E1156">
        <v>98223</v>
      </c>
      <c r="F1156" t="s">
        <v>1591</v>
      </c>
      <c r="G1156" t="s">
        <v>1969</v>
      </c>
      <c r="H1156" t="s">
        <v>4033</v>
      </c>
      <c r="I1156">
        <v>48.147981000000001</v>
      </c>
      <c r="J1156">
        <v>-122.183136</v>
      </c>
      <c r="K1156" t="s">
        <v>3936</v>
      </c>
      <c r="L1156" t="s">
        <v>3946</v>
      </c>
      <c r="M1156" t="s">
        <v>3947</v>
      </c>
      <c r="P1156" t="s">
        <v>3529</v>
      </c>
    </row>
    <row r="1157" spans="1:16" x14ac:dyDescent="0.2">
      <c r="A1157" t="s">
        <v>1570</v>
      </c>
      <c r="B1157" t="s">
        <v>3531</v>
      </c>
      <c r="C1157" t="s">
        <v>66</v>
      </c>
      <c r="D1157" t="s">
        <v>2307</v>
      </c>
      <c r="E1157">
        <v>98109</v>
      </c>
      <c r="F1157" t="s">
        <v>1571</v>
      </c>
      <c r="G1157" t="s">
        <v>1982</v>
      </c>
      <c r="H1157" t="s">
        <v>4034</v>
      </c>
      <c r="I1157">
        <v>47.620609999999999</v>
      </c>
      <c r="J1157">
        <v>-122.331315</v>
      </c>
      <c r="K1157" t="s">
        <v>3936</v>
      </c>
      <c r="L1157" t="s">
        <v>3946</v>
      </c>
      <c r="M1157" t="s">
        <v>3948</v>
      </c>
      <c r="P1157" t="s">
        <v>3531</v>
      </c>
    </row>
    <row r="1158" spans="1:16" x14ac:dyDescent="0.2">
      <c r="A1158" t="s">
        <v>1572</v>
      </c>
      <c r="B1158" t="s">
        <v>6262</v>
      </c>
      <c r="C1158" t="s">
        <v>66</v>
      </c>
      <c r="D1158" t="s">
        <v>2307</v>
      </c>
      <c r="E1158">
        <v>98102</v>
      </c>
      <c r="F1158" t="s">
        <v>1573</v>
      </c>
      <c r="G1158" t="s">
        <v>1973</v>
      </c>
      <c r="H1158" t="s">
        <v>4035</v>
      </c>
      <c r="I1158">
        <v>47.635117999999999</v>
      </c>
      <c r="J1158">
        <v>-122.32551100000001</v>
      </c>
      <c r="K1158" t="s">
        <v>3936</v>
      </c>
      <c r="L1158" t="s">
        <v>3946</v>
      </c>
      <c r="M1158" t="s">
        <v>3948</v>
      </c>
      <c r="P1158" t="s">
        <v>6063</v>
      </c>
    </row>
    <row r="1159" spans="1:16" x14ac:dyDescent="0.2">
      <c r="A1159" t="s">
        <v>1574</v>
      </c>
      <c r="B1159" t="s">
        <v>3532</v>
      </c>
      <c r="C1159" t="s">
        <v>66</v>
      </c>
      <c r="D1159" t="s">
        <v>2307</v>
      </c>
      <c r="E1159">
        <v>98109</v>
      </c>
      <c r="F1159" t="s">
        <v>1575</v>
      </c>
      <c r="G1159" t="s">
        <v>1987</v>
      </c>
      <c r="H1159" t="s">
        <v>4036</v>
      </c>
      <c r="I1159">
        <v>47.623545</v>
      </c>
      <c r="J1159">
        <v>-122.35562</v>
      </c>
      <c r="K1159" t="s">
        <v>3936</v>
      </c>
      <c r="L1159" t="s">
        <v>3946</v>
      </c>
      <c r="M1159" t="s">
        <v>3948</v>
      </c>
      <c r="P1159" t="s">
        <v>3532</v>
      </c>
    </row>
    <row r="1160" spans="1:16" x14ac:dyDescent="0.2">
      <c r="A1160" t="s">
        <v>1576</v>
      </c>
      <c r="B1160" t="s">
        <v>3454</v>
      </c>
      <c r="C1160" t="s">
        <v>66</v>
      </c>
      <c r="D1160" t="s">
        <v>2307</v>
      </c>
      <c r="E1160">
        <v>98102</v>
      </c>
      <c r="F1160" t="s">
        <v>1577</v>
      </c>
      <c r="G1160" t="s">
        <v>1987</v>
      </c>
      <c r="H1160" t="s">
        <v>5233</v>
      </c>
      <c r="I1160">
        <v>47.624378999999998</v>
      </c>
      <c r="J1160">
        <v>-122.321127</v>
      </c>
      <c r="K1160" t="s">
        <v>3936</v>
      </c>
      <c r="L1160" t="s">
        <v>3946</v>
      </c>
      <c r="M1160" t="s">
        <v>3948</v>
      </c>
      <c r="P1160" t="s">
        <v>3454</v>
      </c>
    </row>
    <row r="1161" spans="1:16" x14ac:dyDescent="0.2">
      <c r="A1161" t="s">
        <v>1578</v>
      </c>
      <c r="B1161" t="s">
        <v>3457</v>
      </c>
      <c r="C1161" t="s">
        <v>66</v>
      </c>
      <c r="D1161" t="s">
        <v>2307</v>
      </c>
      <c r="E1161">
        <v>98109</v>
      </c>
      <c r="F1161" t="s">
        <v>1577</v>
      </c>
      <c r="G1161" t="s">
        <v>1987</v>
      </c>
      <c r="H1161" t="s">
        <v>4037</v>
      </c>
      <c r="I1161">
        <v>47.637537999999999</v>
      </c>
      <c r="J1161">
        <v>-122.357136</v>
      </c>
      <c r="K1161" t="s">
        <v>3936</v>
      </c>
      <c r="L1161" t="s">
        <v>3946</v>
      </c>
      <c r="M1161" t="s">
        <v>3948</v>
      </c>
      <c r="P1161" t="s">
        <v>3457</v>
      </c>
    </row>
    <row r="1162" spans="1:16" x14ac:dyDescent="0.2">
      <c r="A1162" t="s">
        <v>1579</v>
      </c>
      <c r="B1162" t="s">
        <v>3533</v>
      </c>
      <c r="C1162" t="s">
        <v>66</v>
      </c>
      <c r="D1162" t="s">
        <v>2307</v>
      </c>
      <c r="E1162">
        <v>98102</v>
      </c>
      <c r="F1162" t="s">
        <v>1575</v>
      </c>
      <c r="G1162" t="s">
        <v>1971</v>
      </c>
      <c r="H1162" t="s">
        <v>5029</v>
      </c>
      <c r="I1162">
        <v>47.620100999999998</v>
      </c>
      <c r="J1162">
        <v>-122.321034</v>
      </c>
      <c r="K1162" t="s">
        <v>3936</v>
      </c>
      <c r="L1162" t="s">
        <v>3946</v>
      </c>
      <c r="M1162" t="s">
        <v>3948</v>
      </c>
      <c r="P1162" t="s">
        <v>3533</v>
      </c>
    </row>
    <row r="1163" spans="1:16" x14ac:dyDescent="0.2">
      <c r="A1163" t="s">
        <v>1580</v>
      </c>
      <c r="B1163" t="s">
        <v>3534</v>
      </c>
      <c r="C1163" t="s">
        <v>66</v>
      </c>
      <c r="D1163" t="s">
        <v>2307</v>
      </c>
      <c r="E1163">
        <v>98102</v>
      </c>
      <c r="F1163" t="s">
        <v>1575</v>
      </c>
      <c r="G1163" t="s">
        <v>1982</v>
      </c>
      <c r="H1163" t="s">
        <v>5497</v>
      </c>
      <c r="I1163">
        <v>47.620139000000002</v>
      </c>
      <c r="J1163">
        <v>-122.321034</v>
      </c>
      <c r="K1163" t="s">
        <v>3936</v>
      </c>
      <c r="L1163" t="s">
        <v>3946</v>
      </c>
      <c r="M1163" t="s">
        <v>3948</v>
      </c>
      <c r="P1163" t="s">
        <v>3534</v>
      </c>
    </row>
    <row r="1164" spans="1:16" x14ac:dyDescent="0.2">
      <c r="A1164" t="s">
        <v>1903</v>
      </c>
      <c r="B1164" t="s">
        <v>3458</v>
      </c>
      <c r="C1164" t="s">
        <v>66</v>
      </c>
      <c r="D1164" t="s">
        <v>2307</v>
      </c>
      <c r="E1164">
        <v>98121</v>
      </c>
      <c r="F1164" t="s">
        <v>1575</v>
      </c>
      <c r="G1164" t="s">
        <v>1974</v>
      </c>
      <c r="H1164" t="s">
        <v>4008</v>
      </c>
      <c r="I1164">
        <v>47.613652000000002</v>
      </c>
      <c r="J1164">
        <v>-122.344734</v>
      </c>
      <c r="K1164" t="s">
        <v>3936</v>
      </c>
      <c r="L1164" t="s">
        <v>3946</v>
      </c>
      <c r="M1164" t="s">
        <v>3948</v>
      </c>
      <c r="P1164" t="s">
        <v>3458</v>
      </c>
    </row>
    <row r="1165" spans="1:16" x14ac:dyDescent="0.2">
      <c r="A1165" t="s">
        <v>1581</v>
      </c>
      <c r="B1165" t="s">
        <v>3535</v>
      </c>
      <c r="C1165" t="s">
        <v>66</v>
      </c>
      <c r="D1165" t="s">
        <v>2307</v>
      </c>
      <c r="E1165">
        <v>98122</v>
      </c>
      <c r="F1165" t="s">
        <v>1575</v>
      </c>
      <c r="G1165" t="s">
        <v>1973</v>
      </c>
      <c r="H1165" t="s">
        <v>4038</v>
      </c>
      <c r="I1165">
        <v>47.617989999999999</v>
      </c>
      <c r="J1165">
        <v>-122.32105</v>
      </c>
      <c r="K1165" t="s">
        <v>3936</v>
      </c>
      <c r="L1165" t="s">
        <v>3946</v>
      </c>
      <c r="M1165" t="s">
        <v>3948</v>
      </c>
      <c r="P1165" t="s">
        <v>3535</v>
      </c>
    </row>
    <row r="1166" spans="1:16" x14ac:dyDescent="0.2">
      <c r="A1166" t="s">
        <v>1582</v>
      </c>
      <c r="B1166" t="s">
        <v>2330</v>
      </c>
      <c r="C1166" t="s">
        <v>66</v>
      </c>
      <c r="D1166" t="s">
        <v>2307</v>
      </c>
      <c r="E1166">
        <v>98101</v>
      </c>
      <c r="F1166" t="s">
        <v>1573</v>
      </c>
      <c r="G1166" t="s">
        <v>1990</v>
      </c>
      <c r="H1166" t="s">
        <v>5568</v>
      </c>
      <c r="I1166">
        <v>47.612130999999998</v>
      </c>
      <c r="J1166">
        <v>-122.335374</v>
      </c>
      <c r="K1166" t="s">
        <v>3936</v>
      </c>
      <c r="L1166" t="s">
        <v>3946</v>
      </c>
      <c r="M1166" t="s">
        <v>3948</v>
      </c>
      <c r="P1166" t="s">
        <v>2330</v>
      </c>
    </row>
    <row r="1167" spans="1:16" x14ac:dyDescent="0.2">
      <c r="A1167" t="s">
        <v>1588</v>
      </c>
      <c r="B1167" t="s">
        <v>3537</v>
      </c>
      <c r="C1167" t="s">
        <v>66</v>
      </c>
      <c r="D1167" t="s">
        <v>2307</v>
      </c>
      <c r="E1167">
        <v>98122</v>
      </c>
      <c r="F1167" t="s">
        <v>1575</v>
      </c>
      <c r="G1167" t="s">
        <v>1989</v>
      </c>
      <c r="H1167" t="s">
        <v>5488</v>
      </c>
      <c r="I1167">
        <v>47.613236000000001</v>
      </c>
      <c r="J1167">
        <v>-122.321001</v>
      </c>
      <c r="K1167" t="s">
        <v>3936</v>
      </c>
      <c r="L1167" t="s">
        <v>3946</v>
      </c>
      <c r="M1167" t="s">
        <v>3948</v>
      </c>
      <c r="P1167" t="s">
        <v>3537</v>
      </c>
    </row>
    <row r="1168" spans="1:16" x14ac:dyDescent="0.2">
      <c r="A1168" t="s">
        <v>1589</v>
      </c>
      <c r="B1168" t="s">
        <v>3538</v>
      </c>
      <c r="C1168" t="s">
        <v>66</v>
      </c>
      <c r="D1168" t="s">
        <v>2307</v>
      </c>
      <c r="E1168">
        <v>98102</v>
      </c>
      <c r="F1168" t="s">
        <v>1575</v>
      </c>
      <c r="G1168" t="s">
        <v>1968</v>
      </c>
      <c r="H1168" t="s">
        <v>4040</v>
      </c>
      <c r="I1168">
        <v>47.648031000000003</v>
      </c>
      <c r="J1168">
        <v>-122.32426100000001</v>
      </c>
      <c r="K1168" t="s">
        <v>3936</v>
      </c>
      <c r="L1168" t="s">
        <v>3946</v>
      </c>
      <c r="M1168" t="s">
        <v>3948</v>
      </c>
      <c r="P1168" t="s">
        <v>3538</v>
      </c>
    </row>
    <row r="1169" spans="1:16" x14ac:dyDescent="0.2">
      <c r="A1169" t="s">
        <v>1590</v>
      </c>
      <c r="B1169" t="s">
        <v>3539</v>
      </c>
      <c r="C1169" t="s">
        <v>66</v>
      </c>
      <c r="D1169" t="s">
        <v>2307</v>
      </c>
      <c r="E1169">
        <v>98103</v>
      </c>
      <c r="F1169" t="s">
        <v>1587</v>
      </c>
      <c r="G1169" t="s">
        <v>1987</v>
      </c>
      <c r="H1169" t="s">
        <v>5048</v>
      </c>
      <c r="I1169">
        <v>47.651090000000003</v>
      </c>
      <c r="J1169">
        <v>-122.34244</v>
      </c>
      <c r="K1169" t="s">
        <v>3936</v>
      </c>
      <c r="L1169" t="s">
        <v>3946</v>
      </c>
      <c r="M1169" t="s">
        <v>3948</v>
      </c>
      <c r="P1169" t="s">
        <v>3539</v>
      </c>
    </row>
    <row r="1170" spans="1:16" x14ac:dyDescent="0.2">
      <c r="A1170" t="s">
        <v>1584</v>
      </c>
      <c r="B1170" t="s">
        <v>3540</v>
      </c>
      <c r="C1170" t="s">
        <v>66</v>
      </c>
      <c r="D1170" t="s">
        <v>2307</v>
      </c>
      <c r="E1170">
        <v>98101</v>
      </c>
      <c r="F1170" t="s">
        <v>1585</v>
      </c>
      <c r="G1170" t="s">
        <v>1988</v>
      </c>
      <c r="H1170" t="s">
        <v>4041</v>
      </c>
      <c r="I1170">
        <v>47.608744000000002</v>
      </c>
      <c r="J1170">
        <v>-122.333759</v>
      </c>
      <c r="K1170" t="s">
        <v>3936</v>
      </c>
      <c r="L1170" t="s">
        <v>3946</v>
      </c>
      <c r="M1170" t="s">
        <v>3948</v>
      </c>
      <c r="P1170" t="s">
        <v>3540</v>
      </c>
    </row>
    <row r="1171" spans="1:16" x14ac:dyDescent="0.2">
      <c r="A1171" t="s">
        <v>1570</v>
      </c>
      <c r="B1171" t="s">
        <v>3541</v>
      </c>
      <c r="C1171" t="s">
        <v>66</v>
      </c>
      <c r="D1171" t="s">
        <v>2307</v>
      </c>
      <c r="E1171">
        <v>98104</v>
      </c>
      <c r="F1171" t="s">
        <v>1571</v>
      </c>
      <c r="G1171" t="s">
        <v>1982</v>
      </c>
      <c r="H1171" t="s">
        <v>4042</v>
      </c>
      <c r="I1171">
        <v>47.610633</v>
      </c>
      <c r="J1171">
        <v>-122.32248</v>
      </c>
      <c r="K1171" t="s">
        <v>3936</v>
      </c>
      <c r="L1171" t="s">
        <v>3946</v>
      </c>
      <c r="M1171" t="s">
        <v>3948</v>
      </c>
      <c r="P1171" t="s">
        <v>3541</v>
      </c>
    </row>
    <row r="1172" spans="1:16" x14ac:dyDescent="0.2">
      <c r="A1172" t="s">
        <v>1592</v>
      </c>
      <c r="B1172" t="s">
        <v>3542</v>
      </c>
      <c r="C1172" t="s">
        <v>66</v>
      </c>
      <c r="D1172" t="s">
        <v>2307</v>
      </c>
      <c r="E1172">
        <v>98104</v>
      </c>
      <c r="F1172" t="s">
        <v>1591</v>
      </c>
      <c r="G1172" t="s">
        <v>1969</v>
      </c>
      <c r="H1172" t="s">
        <v>4942</v>
      </c>
      <c r="I1172">
        <v>47.606574999999999</v>
      </c>
      <c r="J1172">
        <v>-122.331397</v>
      </c>
      <c r="K1172" t="s">
        <v>3936</v>
      </c>
      <c r="L1172" t="s">
        <v>3946</v>
      </c>
      <c r="M1172" t="s">
        <v>3948</v>
      </c>
      <c r="P1172" t="s">
        <v>3542</v>
      </c>
    </row>
    <row r="1173" spans="1:16" x14ac:dyDescent="0.2">
      <c r="A1173" t="s">
        <v>1593</v>
      </c>
      <c r="B1173" t="s">
        <v>3463</v>
      </c>
      <c r="C1173" t="s">
        <v>66</v>
      </c>
      <c r="D1173" t="s">
        <v>2307</v>
      </c>
      <c r="E1173">
        <v>98101</v>
      </c>
      <c r="F1173" t="s">
        <v>1577</v>
      </c>
      <c r="G1173" t="s">
        <v>1983</v>
      </c>
      <c r="H1173" t="s">
        <v>4043</v>
      </c>
      <c r="I1173">
        <v>47.605884000000003</v>
      </c>
      <c r="J1173">
        <v>-122.340521</v>
      </c>
      <c r="K1173" t="s">
        <v>3936</v>
      </c>
      <c r="L1173" t="s">
        <v>3946</v>
      </c>
      <c r="M1173" t="s">
        <v>3948</v>
      </c>
      <c r="P1173" t="s">
        <v>3463</v>
      </c>
    </row>
    <row r="1174" spans="1:16" x14ac:dyDescent="0.2">
      <c r="A1174" t="s">
        <v>1594</v>
      </c>
      <c r="B1174" t="s">
        <v>3543</v>
      </c>
      <c r="C1174" t="s">
        <v>66</v>
      </c>
      <c r="D1174" t="s">
        <v>2307</v>
      </c>
      <c r="E1174">
        <v>98102</v>
      </c>
      <c r="F1174" t="s">
        <v>1575</v>
      </c>
      <c r="G1174" t="s">
        <v>1973</v>
      </c>
      <c r="H1174" t="s">
        <v>5509</v>
      </c>
      <c r="I1174">
        <v>47.650661999999997</v>
      </c>
      <c r="J1174">
        <v>-122.321776</v>
      </c>
      <c r="K1174" t="s">
        <v>3936</v>
      </c>
      <c r="L1174" t="s">
        <v>3946</v>
      </c>
      <c r="M1174" t="s">
        <v>3948</v>
      </c>
      <c r="P1174" t="s">
        <v>3543</v>
      </c>
    </row>
    <row r="1175" spans="1:16" x14ac:dyDescent="0.2">
      <c r="A1175" t="s">
        <v>1595</v>
      </c>
      <c r="B1175" t="s">
        <v>3464</v>
      </c>
      <c r="C1175" t="s">
        <v>66</v>
      </c>
      <c r="D1175" t="s">
        <v>2307</v>
      </c>
      <c r="E1175">
        <v>98105</v>
      </c>
      <c r="F1175" t="s">
        <v>1573</v>
      </c>
      <c r="G1175" t="s">
        <v>1990</v>
      </c>
      <c r="H1175" t="s">
        <v>5344</v>
      </c>
      <c r="I1175">
        <v>47.653773000000001</v>
      </c>
      <c r="J1175">
        <v>-122.324462</v>
      </c>
      <c r="K1175" t="s">
        <v>3936</v>
      </c>
      <c r="L1175" t="s">
        <v>3946</v>
      </c>
      <c r="M1175" t="s">
        <v>3948</v>
      </c>
      <c r="P1175" t="s">
        <v>3464</v>
      </c>
    </row>
    <row r="1176" spans="1:16" x14ac:dyDescent="0.2">
      <c r="A1176" t="s">
        <v>1586</v>
      </c>
      <c r="B1176" t="s">
        <v>3545</v>
      </c>
      <c r="C1176" t="s">
        <v>66</v>
      </c>
      <c r="D1176" t="s">
        <v>2307</v>
      </c>
      <c r="E1176">
        <v>98104</v>
      </c>
      <c r="F1176" t="s">
        <v>1587</v>
      </c>
      <c r="G1176" t="s">
        <v>1973</v>
      </c>
      <c r="H1176" t="s">
        <v>4044</v>
      </c>
      <c r="I1176">
        <v>47.601636999999997</v>
      </c>
      <c r="J1176">
        <v>-122.334318</v>
      </c>
      <c r="K1176" t="s">
        <v>3936</v>
      </c>
      <c r="L1176" t="s">
        <v>3946</v>
      </c>
      <c r="M1176" t="s">
        <v>3948</v>
      </c>
      <c r="P1176" t="s">
        <v>3545</v>
      </c>
    </row>
    <row r="1177" spans="1:16" x14ac:dyDescent="0.2">
      <c r="A1177" t="s">
        <v>1598</v>
      </c>
      <c r="B1177" t="s">
        <v>3547</v>
      </c>
      <c r="C1177" t="s">
        <v>66</v>
      </c>
      <c r="D1177" t="s">
        <v>2307</v>
      </c>
      <c r="E1177">
        <v>98103</v>
      </c>
      <c r="F1177" t="s">
        <v>1587</v>
      </c>
      <c r="G1177" t="s">
        <v>1973</v>
      </c>
      <c r="H1177" t="s">
        <v>4045</v>
      </c>
      <c r="I1177">
        <v>47.661358999999997</v>
      </c>
      <c r="J1177">
        <v>-122.33641299999999</v>
      </c>
      <c r="K1177" t="s">
        <v>3936</v>
      </c>
      <c r="L1177" t="s">
        <v>3946</v>
      </c>
      <c r="M1177" t="s">
        <v>3948</v>
      </c>
      <c r="P1177" t="s">
        <v>3547</v>
      </c>
    </row>
    <row r="1178" spans="1:16" x14ac:dyDescent="0.2">
      <c r="A1178" t="s">
        <v>1599</v>
      </c>
      <c r="B1178" t="s">
        <v>3548</v>
      </c>
      <c r="C1178" t="s">
        <v>66</v>
      </c>
      <c r="D1178" t="s">
        <v>2307</v>
      </c>
      <c r="E1178">
        <v>98103</v>
      </c>
      <c r="F1178" t="s">
        <v>1600</v>
      </c>
      <c r="G1178" t="s">
        <v>1987</v>
      </c>
      <c r="H1178" t="s">
        <v>5489</v>
      </c>
      <c r="I1178">
        <v>47.661461000000003</v>
      </c>
      <c r="J1178">
        <v>-122.340743</v>
      </c>
      <c r="K1178" t="s">
        <v>3936</v>
      </c>
      <c r="L1178" t="s">
        <v>3946</v>
      </c>
      <c r="M1178" t="s">
        <v>3948</v>
      </c>
      <c r="P1178" t="s">
        <v>3548</v>
      </c>
    </row>
    <row r="1179" spans="1:16" x14ac:dyDescent="0.2">
      <c r="A1179" t="s">
        <v>1601</v>
      </c>
      <c r="B1179" t="s">
        <v>3549</v>
      </c>
      <c r="C1179" t="s">
        <v>66</v>
      </c>
      <c r="D1179" t="s">
        <v>2307</v>
      </c>
      <c r="E1179">
        <v>98103</v>
      </c>
      <c r="F1179" t="s">
        <v>1602</v>
      </c>
      <c r="G1179" t="s">
        <v>1971</v>
      </c>
      <c r="H1179" t="s">
        <v>4046</v>
      </c>
      <c r="I1179">
        <v>47.661217999999998</v>
      </c>
      <c r="J1179">
        <v>-122.333516</v>
      </c>
      <c r="K1179" t="s">
        <v>3936</v>
      </c>
      <c r="L1179" t="s">
        <v>3946</v>
      </c>
      <c r="M1179" t="s">
        <v>3948</v>
      </c>
      <c r="P1179" t="s">
        <v>3549</v>
      </c>
    </row>
    <row r="1180" spans="1:16" x14ac:dyDescent="0.2">
      <c r="A1180" t="s">
        <v>1605</v>
      </c>
      <c r="B1180" t="s">
        <v>3551</v>
      </c>
      <c r="C1180" t="s">
        <v>66</v>
      </c>
      <c r="D1180" t="s">
        <v>2307</v>
      </c>
      <c r="E1180">
        <v>98119</v>
      </c>
      <c r="F1180" t="s">
        <v>1600</v>
      </c>
      <c r="G1180" t="s">
        <v>1989</v>
      </c>
      <c r="H1180" t="s">
        <v>5538</v>
      </c>
      <c r="I1180">
        <v>47.651490000000003</v>
      </c>
      <c r="J1180">
        <v>-122.375979</v>
      </c>
      <c r="K1180" t="s">
        <v>3936</v>
      </c>
      <c r="L1180" t="s">
        <v>3946</v>
      </c>
      <c r="M1180" t="s">
        <v>3948</v>
      </c>
      <c r="P1180" t="s">
        <v>3551</v>
      </c>
    </row>
    <row r="1181" spans="1:16" x14ac:dyDescent="0.2">
      <c r="A1181" t="s">
        <v>1606</v>
      </c>
      <c r="B1181" t="s">
        <v>3552</v>
      </c>
      <c r="C1181" t="s">
        <v>66</v>
      </c>
      <c r="D1181" t="s">
        <v>2307</v>
      </c>
      <c r="E1181">
        <v>98105</v>
      </c>
      <c r="F1181" t="s">
        <v>1600</v>
      </c>
      <c r="G1181" t="s">
        <v>1984</v>
      </c>
      <c r="H1181" t="s">
        <v>3964</v>
      </c>
      <c r="I1181">
        <v>47.658906999999999</v>
      </c>
      <c r="J1181">
        <v>-122.31336899999999</v>
      </c>
      <c r="K1181" t="s">
        <v>3936</v>
      </c>
      <c r="L1181" t="s">
        <v>3946</v>
      </c>
      <c r="M1181" t="s">
        <v>3948</v>
      </c>
      <c r="P1181" t="s">
        <v>3552</v>
      </c>
    </row>
    <row r="1182" spans="1:16" x14ac:dyDescent="0.2">
      <c r="A1182" t="s">
        <v>1607</v>
      </c>
      <c r="B1182" t="s">
        <v>3553</v>
      </c>
      <c r="C1182" t="s">
        <v>66</v>
      </c>
      <c r="D1182" t="s">
        <v>2307</v>
      </c>
      <c r="E1182">
        <v>98107</v>
      </c>
      <c r="F1182" t="s">
        <v>1583</v>
      </c>
      <c r="G1182" t="s">
        <v>1980</v>
      </c>
      <c r="H1182" t="s">
        <v>5359</v>
      </c>
      <c r="I1182">
        <v>47.659962</v>
      </c>
      <c r="J1182">
        <v>-122.365526</v>
      </c>
      <c r="K1182" t="s">
        <v>3936</v>
      </c>
      <c r="L1182" t="s">
        <v>3946</v>
      </c>
      <c r="M1182" t="s">
        <v>3948</v>
      </c>
      <c r="P1182" t="s">
        <v>3553</v>
      </c>
    </row>
    <row r="1183" spans="1:16" x14ac:dyDescent="0.2">
      <c r="A1183" t="s">
        <v>1608</v>
      </c>
      <c r="B1183" t="s">
        <v>3554</v>
      </c>
      <c r="C1183" t="s">
        <v>66</v>
      </c>
      <c r="D1183" t="s">
        <v>2307</v>
      </c>
      <c r="E1183">
        <v>98107</v>
      </c>
      <c r="F1183" t="s">
        <v>1604</v>
      </c>
      <c r="G1183" t="s">
        <v>1970</v>
      </c>
      <c r="H1183" t="s">
        <v>5490</v>
      </c>
      <c r="I1183">
        <v>47.660316999999999</v>
      </c>
      <c r="J1183">
        <v>-122.36579999999999</v>
      </c>
      <c r="K1183" t="s">
        <v>3936</v>
      </c>
      <c r="L1183" t="s">
        <v>3946</v>
      </c>
      <c r="M1183" t="s">
        <v>3948</v>
      </c>
      <c r="P1183" t="s">
        <v>3554</v>
      </c>
    </row>
    <row r="1184" spans="1:16" x14ac:dyDescent="0.2">
      <c r="A1184" t="s">
        <v>1609</v>
      </c>
      <c r="B1184" t="s">
        <v>3555</v>
      </c>
      <c r="C1184" t="s">
        <v>66</v>
      </c>
      <c r="D1184" t="s">
        <v>2307</v>
      </c>
      <c r="E1184">
        <v>98144</v>
      </c>
      <c r="F1184" t="s">
        <v>1583</v>
      </c>
      <c r="G1184" t="s">
        <v>1980</v>
      </c>
      <c r="H1184" t="s">
        <v>5360</v>
      </c>
      <c r="I1184">
        <v>47.599316999999999</v>
      </c>
      <c r="J1184">
        <v>-122.310129</v>
      </c>
      <c r="K1184" t="s">
        <v>3936</v>
      </c>
      <c r="L1184" t="s">
        <v>3946</v>
      </c>
      <c r="M1184" t="s">
        <v>3948</v>
      </c>
      <c r="P1184" t="s">
        <v>3555</v>
      </c>
    </row>
    <row r="1185" spans="1:16" x14ac:dyDescent="0.2">
      <c r="A1185" t="s">
        <v>1610</v>
      </c>
      <c r="B1185" t="s">
        <v>3556</v>
      </c>
      <c r="C1185" t="s">
        <v>66</v>
      </c>
      <c r="D1185" t="s">
        <v>2307</v>
      </c>
      <c r="E1185">
        <v>91805</v>
      </c>
      <c r="F1185" t="s">
        <v>1573</v>
      </c>
      <c r="G1185" t="s">
        <v>1991</v>
      </c>
      <c r="H1185" t="s">
        <v>3966</v>
      </c>
      <c r="I1185">
        <v>47.661813000000002</v>
      </c>
      <c r="J1185">
        <v>-122.3133</v>
      </c>
      <c r="K1185" t="s">
        <v>3936</v>
      </c>
      <c r="L1185" t="s">
        <v>3946</v>
      </c>
      <c r="M1185" t="s">
        <v>3948</v>
      </c>
      <c r="P1185" t="s">
        <v>3556</v>
      </c>
    </row>
    <row r="1186" spans="1:16" x14ac:dyDescent="0.2">
      <c r="A1186" t="s">
        <v>1611</v>
      </c>
      <c r="B1186" t="s">
        <v>3557</v>
      </c>
      <c r="C1186" t="s">
        <v>66</v>
      </c>
      <c r="D1186" t="s">
        <v>2307</v>
      </c>
      <c r="E1186">
        <v>98105</v>
      </c>
      <c r="F1186" t="s">
        <v>1591</v>
      </c>
      <c r="G1186" t="s">
        <v>1969</v>
      </c>
      <c r="H1186" t="s">
        <v>5499</v>
      </c>
      <c r="I1186">
        <v>47.663781</v>
      </c>
      <c r="J1186">
        <v>-122.313275</v>
      </c>
      <c r="K1186" t="s">
        <v>3936</v>
      </c>
      <c r="L1186" t="s">
        <v>3946</v>
      </c>
      <c r="M1186" t="s">
        <v>3948</v>
      </c>
      <c r="P1186" t="s">
        <v>3557</v>
      </c>
    </row>
    <row r="1187" spans="1:16" x14ac:dyDescent="0.2">
      <c r="A1187" t="s">
        <v>1570</v>
      </c>
      <c r="B1187" t="s">
        <v>3558</v>
      </c>
      <c r="C1187" t="s">
        <v>66</v>
      </c>
      <c r="D1187" t="s">
        <v>2307</v>
      </c>
      <c r="E1187">
        <v>98112</v>
      </c>
      <c r="F1187" t="s">
        <v>1571</v>
      </c>
      <c r="G1187" t="s">
        <v>1982</v>
      </c>
      <c r="H1187" t="s">
        <v>4047</v>
      </c>
      <c r="I1187">
        <v>47.633705999999997</v>
      </c>
      <c r="J1187">
        <v>-122.280764</v>
      </c>
      <c r="K1187" t="s">
        <v>3936</v>
      </c>
      <c r="L1187" t="s">
        <v>3946</v>
      </c>
      <c r="M1187" t="s">
        <v>3948</v>
      </c>
      <c r="P1187" t="s">
        <v>3558</v>
      </c>
    </row>
    <row r="1188" spans="1:16" x14ac:dyDescent="0.2">
      <c r="A1188" t="s">
        <v>1612</v>
      </c>
      <c r="B1188" t="s">
        <v>3559</v>
      </c>
      <c r="C1188" t="s">
        <v>66</v>
      </c>
      <c r="D1188" t="s">
        <v>2307</v>
      </c>
      <c r="E1188">
        <v>98105</v>
      </c>
      <c r="F1188" t="s">
        <v>1575</v>
      </c>
      <c r="G1188" t="s">
        <v>1982</v>
      </c>
      <c r="H1188" t="s">
        <v>4048</v>
      </c>
      <c r="I1188">
        <v>47.667274999999997</v>
      </c>
      <c r="J1188">
        <v>-122.317213</v>
      </c>
      <c r="K1188" t="s">
        <v>3936</v>
      </c>
      <c r="L1188" t="s">
        <v>3946</v>
      </c>
      <c r="M1188" t="s">
        <v>3948</v>
      </c>
      <c r="P1188" t="s">
        <v>3559</v>
      </c>
    </row>
    <row r="1189" spans="1:16" x14ac:dyDescent="0.2">
      <c r="A1189" t="s">
        <v>1613</v>
      </c>
      <c r="B1189" t="s">
        <v>3473</v>
      </c>
      <c r="C1189" t="s">
        <v>66</v>
      </c>
      <c r="D1189" t="s">
        <v>2307</v>
      </c>
      <c r="E1189">
        <v>98199</v>
      </c>
      <c r="F1189" t="s">
        <v>1577</v>
      </c>
      <c r="G1189" t="s">
        <v>1989</v>
      </c>
      <c r="H1189" t="s">
        <v>5006</v>
      </c>
      <c r="I1189">
        <v>47.639828999999999</v>
      </c>
      <c r="J1189">
        <v>-122.39985299999999</v>
      </c>
      <c r="K1189" t="s">
        <v>3936</v>
      </c>
      <c r="L1189" t="s">
        <v>3946</v>
      </c>
      <c r="M1189" t="s">
        <v>3948</v>
      </c>
      <c r="P1189" t="s">
        <v>5750</v>
      </c>
    </row>
    <row r="1190" spans="1:16" x14ac:dyDescent="0.2">
      <c r="A1190" t="s">
        <v>1582</v>
      </c>
      <c r="B1190" t="s">
        <v>3560</v>
      </c>
      <c r="C1190" t="s">
        <v>66</v>
      </c>
      <c r="D1190" t="s">
        <v>2307</v>
      </c>
      <c r="E1190">
        <v>98105</v>
      </c>
      <c r="F1190" t="s">
        <v>1583</v>
      </c>
      <c r="G1190" t="s">
        <v>1980</v>
      </c>
      <c r="H1190" t="s">
        <v>5811</v>
      </c>
      <c r="I1190">
        <v>47.663201999999998</v>
      </c>
      <c r="J1190">
        <v>-122.299053</v>
      </c>
      <c r="K1190" t="s">
        <v>3936</v>
      </c>
      <c r="L1190" t="s">
        <v>3946</v>
      </c>
      <c r="M1190" t="s">
        <v>3948</v>
      </c>
      <c r="P1190" t="s">
        <v>5757</v>
      </c>
    </row>
    <row r="1191" spans="1:16" x14ac:dyDescent="0.2">
      <c r="A1191" t="s">
        <v>1614</v>
      </c>
      <c r="B1191" t="s">
        <v>3561</v>
      </c>
      <c r="C1191" t="s">
        <v>66</v>
      </c>
      <c r="D1191" t="s">
        <v>2307</v>
      </c>
      <c r="E1191">
        <v>98115</v>
      </c>
      <c r="F1191" t="s">
        <v>1604</v>
      </c>
      <c r="G1191" t="s">
        <v>5032</v>
      </c>
      <c r="H1191" t="s">
        <v>5323</v>
      </c>
      <c r="I1191">
        <v>47.675277999999999</v>
      </c>
      <c r="J1191">
        <v>-122.325605</v>
      </c>
      <c r="K1191" t="s">
        <v>3936</v>
      </c>
      <c r="L1191" t="s">
        <v>3946</v>
      </c>
      <c r="M1191" t="s">
        <v>3948</v>
      </c>
      <c r="P1191" t="s">
        <v>3561</v>
      </c>
    </row>
    <row r="1192" spans="1:16" x14ac:dyDescent="0.2">
      <c r="A1192" t="s">
        <v>1615</v>
      </c>
      <c r="B1192" t="s">
        <v>3562</v>
      </c>
      <c r="C1192" t="s">
        <v>66</v>
      </c>
      <c r="D1192" t="s">
        <v>2307</v>
      </c>
      <c r="E1192">
        <v>98107</v>
      </c>
      <c r="F1192" t="s">
        <v>1573</v>
      </c>
      <c r="G1192" t="s">
        <v>1974</v>
      </c>
      <c r="H1192" t="s">
        <v>5363</v>
      </c>
      <c r="I1192">
        <v>47.667003000000001</v>
      </c>
      <c r="J1192">
        <v>-122.38282599999999</v>
      </c>
      <c r="K1192" t="s">
        <v>3936</v>
      </c>
      <c r="L1192" t="s">
        <v>3946</v>
      </c>
      <c r="M1192" t="s">
        <v>3948</v>
      </c>
      <c r="P1192" t="s">
        <v>3562</v>
      </c>
    </row>
    <row r="1193" spans="1:16" x14ac:dyDescent="0.2">
      <c r="A1193" t="s">
        <v>1616</v>
      </c>
      <c r="B1193" t="s">
        <v>3563</v>
      </c>
      <c r="C1193" t="s">
        <v>66</v>
      </c>
      <c r="D1193" t="s">
        <v>2307</v>
      </c>
      <c r="E1193">
        <v>98115</v>
      </c>
      <c r="F1193" t="s">
        <v>1575</v>
      </c>
      <c r="G1193" t="s">
        <v>2002</v>
      </c>
      <c r="H1193" t="s">
        <v>5030</v>
      </c>
      <c r="I1193">
        <v>47.675921000000002</v>
      </c>
      <c r="J1193">
        <v>-122.31925200000001</v>
      </c>
      <c r="K1193" t="s">
        <v>3936</v>
      </c>
      <c r="L1193" t="s">
        <v>3946</v>
      </c>
      <c r="M1193" t="s">
        <v>3948</v>
      </c>
      <c r="P1193" t="s">
        <v>3563</v>
      </c>
    </row>
    <row r="1194" spans="1:16" x14ac:dyDescent="0.2">
      <c r="A1194" t="s">
        <v>1617</v>
      </c>
      <c r="B1194" t="s">
        <v>3564</v>
      </c>
      <c r="C1194" t="s">
        <v>66</v>
      </c>
      <c r="D1194" t="s">
        <v>2307</v>
      </c>
      <c r="E1194">
        <v>98115</v>
      </c>
      <c r="F1194" t="s">
        <v>1583</v>
      </c>
      <c r="G1194" t="s">
        <v>1980</v>
      </c>
      <c r="H1194" t="s">
        <v>5565</v>
      </c>
      <c r="I1194">
        <v>47.675958000000001</v>
      </c>
      <c r="J1194">
        <v>-122.3171</v>
      </c>
      <c r="K1194" t="s">
        <v>3936</v>
      </c>
      <c r="L1194" t="s">
        <v>3946</v>
      </c>
      <c r="M1194" t="s">
        <v>3948</v>
      </c>
      <c r="P1194" t="s">
        <v>3564</v>
      </c>
    </row>
    <row r="1195" spans="1:16" x14ac:dyDescent="0.2">
      <c r="A1195" t="s">
        <v>1618</v>
      </c>
      <c r="B1195" t="s">
        <v>3565</v>
      </c>
      <c r="C1195" t="s">
        <v>66</v>
      </c>
      <c r="D1195" t="s">
        <v>2307</v>
      </c>
      <c r="E1195">
        <v>98115</v>
      </c>
      <c r="F1195" t="s">
        <v>1575</v>
      </c>
      <c r="G1195" t="s">
        <v>1982</v>
      </c>
      <c r="H1195" t="s">
        <v>5179</v>
      </c>
      <c r="I1195">
        <v>47.675967999999997</v>
      </c>
      <c r="J1195">
        <v>-122.317228</v>
      </c>
      <c r="K1195" t="s">
        <v>3936</v>
      </c>
      <c r="L1195" t="s">
        <v>3946</v>
      </c>
      <c r="M1195" t="s">
        <v>3948</v>
      </c>
      <c r="P1195" t="s">
        <v>3565</v>
      </c>
    </row>
    <row r="1196" spans="1:16" x14ac:dyDescent="0.2">
      <c r="A1196" t="s">
        <v>1595</v>
      </c>
      <c r="B1196" t="s">
        <v>3567</v>
      </c>
      <c r="C1196" t="s">
        <v>66</v>
      </c>
      <c r="D1196" t="s">
        <v>2307</v>
      </c>
      <c r="E1196">
        <v>98107</v>
      </c>
      <c r="F1196" t="s">
        <v>1573</v>
      </c>
      <c r="G1196" t="s">
        <v>1990</v>
      </c>
      <c r="H1196" t="s">
        <v>5345</v>
      </c>
      <c r="I1196">
        <v>47.67248</v>
      </c>
      <c r="J1196">
        <v>-122.376165</v>
      </c>
      <c r="K1196" t="s">
        <v>3936</v>
      </c>
      <c r="L1196" t="s">
        <v>3946</v>
      </c>
      <c r="M1196" t="s">
        <v>3948</v>
      </c>
      <c r="P1196" t="s">
        <v>3567</v>
      </c>
    </row>
    <row r="1197" spans="1:16" x14ac:dyDescent="0.2">
      <c r="A1197" t="s">
        <v>1621</v>
      </c>
      <c r="B1197" t="s">
        <v>3475</v>
      </c>
      <c r="C1197" t="s">
        <v>66</v>
      </c>
      <c r="D1197" t="s">
        <v>2307</v>
      </c>
      <c r="E1197">
        <v>98107</v>
      </c>
      <c r="F1197" t="s">
        <v>1591</v>
      </c>
      <c r="G1197" t="s">
        <v>1969</v>
      </c>
      <c r="H1197" t="s">
        <v>4050</v>
      </c>
      <c r="I1197">
        <v>47.668588999999997</v>
      </c>
      <c r="J1197">
        <v>-122.386431</v>
      </c>
      <c r="K1197" t="s">
        <v>3936</v>
      </c>
      <c r="L1197" t="s">
        <v>3946</v>
      </c>
      <c r="M1197" t="s">
        <v>3948</v>
      </c>
      <c r="P1197" t="s">
        <v>3475</v>
      </c>
    </row>
    <row r="1198" spans="1:16" x14ac:dyDescent="0.2">
      <c r="A1198" t="s">
        <v>1622</v>
      </c>
      <c r="B1198" t="s">
        <v>3569</v>
      </c>
      <c r="C1198" t="s">
        <v>66</v>
      </c>
      <c r="D1198" t="s">
        <v>2307</v>
      </c>
      <c r="E1198">
        <v>98115</v>
      </c>
      <c r="F1198" t="s">
        <v>1575</v>
      </c>
      <c r="G1198" t="s">
        <v>1968</v>
      </c>
      <c r="H1198" t="s">
        <v>4052</v>
      </c>
      <c r="I1198">
        <v>47.680321999999997</v>
      </c>
      <c r="J1198">
        <v>-122.32579800000001</v>
      </c>
      <c r="K1198" t="s">
        <v>3936</v>
      </c>
      <c r="L1198" t="s">
        <v>3946</v>
      </c>
      <c r="M1198" t="s">
        <v>3948</v>
      </c>
      <c r="P1198" t="s">
        <v>3569</v>
      </c>
    </row>
    <row r="1199" spans="1:16" x14ac:dyDescent="0.2">
      <c r="A1199" t="s">
        <v>1623</v>
      </c>
      <c r="B1199" t="s">
        <v>3570</v>
      </c>
      <c r="C1199" t="s">
        <v>66</v>
      </c>
      <c r="D1199" t="s">
        <v>2307</v>
      </c>
      <c r="E1199">
        <v>98115</v>
      </c>
      <c r="F1199" t="s">
        <v>1583</v>
      </c>
      <c r="G1199" t="s">
        <v>1980</v>
      </c>
      <c r="H1199" t="s">
        <v>5231</v>
      </c>
      <c r="I1199">
        <v>47.675646</v>
      </c>
      <c r="J1199">
        <v>-122.30324</v>
      </c>
      <c r="K1199" t="s">
        <v>3936</v>
      </c>
      <c r="L1199" t="s">
        <v>3946</v>
      </c>
      <c r="M1199" t="s">
        <v>3948</v>
      </c>
      <c r="P1199" t="s">
        <v>3570</v>
      </c>
    </row>
    <row r="1200" spans="1:16" x14ac:dyDescent="0.2">
      <c r="A1200" t="s">
        <v>1624</v>
      </c>
      <c r="B1200" t="s">
        <v>3571</v>
      </c>
      <c r="C1200" t="s">
        <v>66</v>
      </c>
      <c r="D1200" t="s">
        <v>2307</v>
      </c>
      <c r="E1200">
        <v>98103</v>
      </c>
      <c r="F1200" t="s">
        <v>1602</v>
      </c>
      <c r="G1200" t="s">
        <v>1981</v>
      </c>
      <c r="H1200" t="s">
        <v>4053</v>
      </c>
      <c r="I1200">
        <v>47.682003999999999</v>
      </c>
      <c r="J1200">
        <v>-122.344685</v>
      </c>
      <c r="K1200" t="s">
        <v>3936</v>
      </c>
      <c r="L1200" t="s">
        <v>3946</v>
      </c>
      <c r="M1200" t="s">
        <v>3948</v>
      </c>
      <c r="P1200" t="s">
        <v>3571</v>
      </c>
    </row>
    <row r="1201" spans="1:16" x14ac:dyDescent="0.2">
      <c r="A1201" t="s">
        <v>1625</v>
      </c>
      <c r="B1201" t="s">
        <v>3572</v>
      </c>
      <c r="C1201" t="s">
        <v>66</v>
      </c>
      <c r="D1201" t="s">
        <v>2307</v>
      </c>
      <c r="E1201">
        <v>98103</v>
      </c>
      <c r="F1201" t="s">
        <v>1573</v>
      </c>
      <c r="G1201" t="s">
        <v>1987</v>
      </c>
      <c r="H1201" t="s">
        <v>4054</v>
      </c>
      <c r="I1201">
        <v>47.684227</v>
      </c>
      <c r="J1201">
        <v>-122.34470399999999</v>
      </c>
      <c r="K1201" t="s">
        <v>3936</v>
      </c>
      <c r="L1201" t="s">
        <v>3946</v>
      </c>
      <c r="M1201" t="s">
        <v>3948</v>
      </c>
      <c r="P1201" t="s">
        <v>3572</v>
      </c>
    </row>
    <row r="1202" spans="1:16" x14ac:dyDescent="0.2">
      <c r="A1202" t="s">
        <v>1626</v>
      </c>
      <c r="B1202" t="s">
        <v>3573</v>
      </c>
      <c r="C1202" t="s">
        <v>66</v>
      </c>
      <c r="D1202" t="s">
        <v>2307</v>
      </c>
      <c r="E1202">
        <v>98103</v>
      </c>
      <c r="F1202" t="s">
        <v>1587</v>
      </c>
      <c r="G1202" t="s">
        <v>1973</v>
      </c>
      <c r="H1202" t="s">
        <v>5075</v>
      </c>
      <c r="I1202">
        <v>47.685704000000001</v>
      </c>
      <c r="J1202">
        <v>-122.355164</v>
      </c>
      <c r="K1202" t="s">
        <v>3936</v>
      </c>
      <c r="L1202" t="s">
        <v>3946</v>
      </c>
      <c r="M1202" t="s">
        <v>3948</v>
      </c>
      <c r="P1202" t="s">
        <v>3573</v>
      </c>
    </row>
    <row r="1203" spans="1:16" x14ac:dyDescent="0.2">
      <c r="A1203" t="s">
        <v>4989</v>
      </c>
      <c r="B1203" t="s">
        <v>4990</v>
      </c>
      <c r="C1203" t="s">
        <v>66</v>
      </c>
      <c r="D1203" t="s">
        <v>2307</v>
      </c>
      <c r="E1203">
        <v>98144</v>
      </c>
      <c r="F1203" t="s">
        <v>1583</v>
      </c>
      <c r="G1203" t="s">
        <v>1980</v>
      </c>
      <c r="H1203" t="s">
        <v>5540</v>
      </c>
      <c r="I1203">
        <v>47.574872999999997</v>
      </c>
      <c r="J1203">
        <v>-122.30935700000001</v>
      </c>
      <c r="K1203" t="s">
        <v>3936</v>
      </c>
      <c r="L1203" t="s">
        <v>3946</v>
      </c>
      <c r="M1203" t="s">
        <v>3948</v>
      </c>
      <c r="P1203" t="s">
        <v>4990</v>
      </c>
    </row>
    <row r="1204" spans="1:16" x14ac:dyDescent="0.2">
      <c r="A1204" t="s">
        <v>1627</v>
      </c>
      <c r="B1204" t="s">
        <v>3574</v>
      </c>
      <c r="C1204" t="s">
        <v>66</v>
      </c>
      <c r="D1204" t="s">
        <v>2307</v>
      </c>
      <c r="E1204">
        <v>98103</v>
      </c>
      <c r="F1204" t="s">
        <v>1583</v>
      </c>
      <c r="G1204" t="s">
        <v>1980</v>
      </c>
      <c r="H1204" t="s">
        <v>5500</v>
      </c>
      <c r="I1204">
        <v>47.688507999999999</v>
      </c>
      <c r="J1204">
        <v>-122.355249</v>
      </c>
      <c r="K1204" t="s">
        <v>3936</v>
      </c>
      <c r="L1204" t="s">
        <v>3946</v>
      </c>
      <c r="M1204" t="s">
        <v>3948</v>
      </c>
      <c r="P1204" t="s">
        <v>3574</v>
      </c>
    </row>
    <row r="1205" spans="1:16" x14ac:dyDescent="0.2">
      <c r="A1205" t="s">
        <v>1629</v>
      </c>
      <c r="B1205" t="s">
        <v>3576</v>
      </c>
      <c r="C1205" t="s">
        <v>66</v>
      </c>
      <c r="D1205" t="s">
        <v>2307</v>
      </c>
      <c r="E1205">
        <v>98103</v>
      </c>
      <c r="F1205" t="s">
        <v>1577</v>
      </c>
      <c r="G1205" t="s">
        <v>1987</v>
      </c>
      <c r="H1205" t="s">
        <v>4056</v>
      </c>
      <c r="I1205">
        <v>47.689301999999998</v>
      </c>
      <c r="J1205">
        <v>-122.35545399999999</v>
      </c>
      <c r="K1205" t="s">
        <v>3936</v>
      </c>
      <c r="L1205" t="s">
        <v>3946</v>
      </c>
      <c r="M1205" t="s">
        <v>3948</v>
      </c>
      <c r="P1205" t="s">
        <v>3576</v>
      </c>
    </row>
    <row r="1206" spans="1:16" x14ac:dyDescent="0.2">
      <c r="A1206" t="s">
        <v>1630</v>
      </c>
      <c r="B1206" t="s">
        <v>3577</v>
      </c>
      <c r="C1206" t="s">
        <v>66</v>
      </c>
      <c r="D1206" t="s">
        <v>2307</v>
      </c>
      <c r="E1206">
        <v>98103</v>
      </c>
      <c r="F1206" t="s">
        <v>1604</v>
      </c>
      <c r="G1206" t="s">
        <v>1984</v>
      </c>
      <c r="H1206" t="s">
        <v>5206</v>
      </c>
      <c r="I1206">
        <v>47.691634000000001</v>
      </c>
      <c r="J1206">
        <v>-122.355102</v>
      </c>
      <c r="K1206" t="s">
        <v>3936</v>
      </c>
      <c r="L1206" t="s">
        <v>3946</v>
      </c>
      <c r="M1206" t="s">
        <v>3948</v>
      </c>
      <c r="P1206" t="s">
        <v>3577</v>
      </c>
    </row>
    <row r="1207" spans="1:16" x14ac:dyDescent="0.2">
      <c r="A1207" t="s">
        <v>1631</v>
      </c>
      <c r="B1207" t="s">
        <v>3578</v>
      </c>
      <c r="C1207" t="s">
        <v>66</v>
      </c>
      <c r="D1207" t="s">
        <v>2307</v>
      </c>
      <c r="E1207">
        <v>98117</v>
      </c>
      <c r="F1207" t="s">
        <v>1575</v>
      </c>
      <c r="G1207" t="s">
        <v>1981</v>
      </c>
      <c r="H1207" t="s">
        <v>3967</v>
      </c>
      <c r="I1207">
        <v>47.688867999999999</v>
      </c>
      <c r="J1207">
        <v>-122.37688199999999</v>
      </c>
      <c r="K1207" t="s">
        <v>3936</v>
      </c>
      <c r="L1207" t="s">
        <v>3946</v>
      </c>
      <c r="M1207" t="s">
        <v>3948</v>
      </c>
      <c r="P1207" t="s">
        <v>5680</v>
      </c>
    </row>
    <row r="1208" spans="1:16" x14ac:dyDescent="0.2">
      <c r="A1208" t="s">
        <v>1632</v>
      </c>
      <c r="B1208" t="s">
        <v>3579</v>
      </c>
      <c r="C1208" t="s">
        <v>66</v>
      </c>
      <c r="D1208" t="s">
        <v>2307</v>
      </c>
      <c r="E1208">
        <v>98144</v>
      </c>
      <c r="F1208" t="s">
        <v>1577</v>
      </c>
      <c r="G1208" t="s">
        <v>1981</v>
      </c>
      <c r="H1208" t="s">
        <v>4939</v>
      </c>
      <c r="I1208">
        <v>47.572533</v>
      </c>
      <c r="J1208">
        <v>-122.29399100000001</v>
      </c>
      <c r="K1208" t="s">
        <v>3936</v>
      </c>
      <c r="L1208" t="s">
        <v>3946</v>
      </c>
      <c r="M1208" t="s">
        <v>3948</v>
      </c>
      <c r="P1208" t="s">
        <v>3579</v>
      </c>
    </row>
    <row r="1209" spans="1:16" x14ac:dyDescent="0.2">
      <c r="A1209" t="s">
        <v>1633</v>
      </c>
      <c r="B1209" t="s">
        <v>3580</v>
      </c>
      <c r="C1209" t="s">
        <v>66</v>
      </c>
      <c r="D1209" t="s">
        <v>2307</v>
      </c>
      <c r="E1209">
        <v>98115</v>
      </c>
      <c r="F1209" t="s">
        <v>1600</v>
      </c>
      <c r="G1209" t="s">
        <v>1989</v>
      </c>
      <c r="H1209" t="s">
        <v>3968</v>
      </c>
      <c r="I1209">
        <v>47.693201999999999</v>
      </c>
      <c r="J1209">
        <v>-122.305286</v>
      </c>
      <c r="K1209" t="s">
        <v>3936</v>
      </c>
      <c r="L1209" t="s">
        <v>3946</v>
      </c>
      <c r="M1209" t="s">
        <v>3948</v>
      </c>
      <c r="P1209" t="s">
        <v>3580</v>
      </c>
    </row>
    <row r="1210" spans="1:16" x14ac:dyDescent="0.2">
      <c r="A1210" t="s">
        <v>1634</v>
      </c>
      <c r="B1210" t="s">
        <v>3581</v>
      </c>
      <c r="C1210" t="s">
        <v>66</v>
      </c>
      <c r="D1210" t="s">
        <v>2307</v>
      </c>
      <c r="E1210">
        <v>98116</v>
      </c>
      <c r="F1210" t="s">
        <v>1575</v>
      </c>
      <c r="G1210" t="s">
        <v>1971</v>
      </c>
      <c r="H1210" t="s">
        <v>5372</v>
      </c>
      <c r="I1210">
        <v>47.578533999999998</v>
      </c>
      <c r="J1210">
        <v>-122.412132</v>
      </c>
      <c r="K1210" t="s">
        <v>3936</v>
      </c>
      <c r="L1210" t="s">
        <v>3946</v>
      </c>
      <c r="M1210" t="s">
        <v>3948</v>
      </c>
      <c r="P1210" t="s">
        <v>3581</v>
      </c>
    </row>
    <row r="1211" spans="1:16" x14ac:dyDescent="0.2">
      <c r="A1211" t="s">
        <v>5207</v>
      </c>
      <c r="B1211" t="s">
        <v>5208</v>
      </c>
      <c r="C1211" t="s">
        <v>66</v>
      </c>
      <c r="D1211" t="s">
        <v>2307</v>
      </c>
      <c r="E1211">
        <v>98117</v>
      </c>
      <c r="F1211" t="s">
        <v>1587</v>
      </c>
      <c r="G1211" t="s">
        <v>1970</v>
      </c>
      <c r="H1211" t="s">
        <v>5209</v>
      </c>
      <c r="I1211">
        <v>47.700631000000001</v>
      </c>
      <c r="J1211">
        <v>-122.36231600000001</v>
      </c>
      <c r="K1211" t="s">
        <v>3936</v>
      </c>
      <c r="L1211" t="s">
        <v>3946</v>
      </c>
      <c r="M1211" t="s">
        <v>3948</v>
      </c>
      <c r="P1211" t="s">
        <v>5208</v>
      </c>
    </row>
    <row r="1212" spans="1:16" x14ac:dyDescent="0.2">
      <c r="A1212" t="s">
        <v>1626</v>
      </c>
      <c r="B1212" t="s">
        <v>5079</v>
      </c>
      <c r="C1212" t="s">
        <v>66</v>
      </c>
      <c r="D1212" t="s">
        <v>2307</v>
      </c>
      <c r="E1212">
        <v>98116</v>
      </c>
      <c r="F1212" t="s">
        <v>1587</v>
      </c>
      <c r="G1212" t="s">
        <v>1973</v>
      </c>
      <c r="H1212" t="s">
        <v>5080</v>
      </c>
      <c r="I1212">
        <v>47.562581000000002</v>
      </c>
      <c r="J1212">
        <v>-122.38692399999999</v>
      </c>
      <c r="K1212" t="s">
        <v>3936</v>
      </c>
      <c r="L1212" t="s">
        <v>3946</v>
      </c>
      <c r="M1212" t="s">
        <v>3948</v>
      </c>
      <c r="P1212" t="s">
        <v>5079</v>
      </c>
    </row>
    <row r="1213" spans="1:16" x14ac:dyDescent="0.2">
      <c r="A1213" t="s">
        <v>1586</v>
      </c>
      <c r="B1213" t="s">
        <v>3582</v>
      </c>
      <c r="C1213" t="s">
        <v>66</v>
      </c>
      <c r="D1213" t="s">
        <v>2307</v>
      </c>
      <c r="E1213">
        <v>98116</v>
      </c>
      <c r="F1213" t="s">
        <v>1575</v>
      </c>
      <c r="G1213" t="s">
        <v>1973</v>
      </c>
      <c r="H1213" t="s">
        <v>4057</v>
      </c>
      <c r="I1213">
        <v>47.562435000000001</v>
      </c>
      <c r="J1213">
        <v>-122.38665399999999</v>
      </c>
      <c r="K1213" t="s">
        <v>3936</v>
      </c>
      <c r="L1213" t="s">
        <v>3946</v>
      </c>
      <c r="M1213" t="s">
        <v>3948</v>
      </c>
      <c r="P1213" t="s">
        <v>3582</v>
      </c>
    </row>
    <row r="1214" spans="1:16" x14ac:dyDescent="0.2">
      <c r="A1214" t="s">
        <v>1636</v>
      </c>
      <c r="B1214" t="s">
        <v>3480</v>
      </c>
      <c r="C1214" t="s">
        <v>66</v>
      </c>
      <c r="D1214" t="s">
        <v>2307</v>
      </c>
      <c r="E1214">
        <v>98133</v>
      </c>
      <c r="F1214" t="s">
        <v>1591</v>
      </c>
      <c r="G1214" t="s">
        <v>1969</v>
      </c>
      <c r="H1214" t="s">
        <v>4058</v>
      </c>
      <c r="I1214">
        <v>47.704326000000002</v>
      </c>
      <c r="J1214">
        <v>-122.356746</v>
      </c>
      <c r="K1214" t="s">
        <v>3936</v>
      </c>
      <c r="L1214" t="s">
        <v>3946</v>
      </c>
      <c r="M1214" t="s">
        <v>3948</v>
      </c>
      <c r="P1214" t="s">
        <v>3480</v>
      </c>
    </row>
    <row r="1215" spans="1:16" x14ac:dyDescent="0.2">
      <c r="A1215" t="s">
        <v>1637</v>
      </c>
      <c r="B1215" t="s">
        <v>5031</v>
      </c>
      <c r="C1215" t="s">
        <v>66</v>
      </c>
      <c r="D1215" t="s">
        <v>2307</v>
      </c>
      <c r="E1215">
        <v>98103</v>
      </c>
      <c r="F1215" t="s">
        <v>1587</v>
      </c>
      <c r="G1215" t="s">
        <v>5032</v>
      </c>
      <c r="H1215" t="s">
        <v>5033</v>
      </c>
      <c r="I1215">
        <v>47.705182000000001</v>
      </c>
      <c r="J1215">
        <v>-122.35090099999999</v>
      </c>
      <c r="K1215" t="s">
        <v>3936</v>
      </c>
      <c r="L1215" t="s">
        <v>3946</v>
      </c>
      <c r="M1215" t="s">
        <v>3948</v>
      </c>
      <c r="P1215" t="s">
        <v>5031</v>
      </c>
    </row>
    <row r="1216" spans="1:16" x14ac:dyDescent="0.2">
      <c r="A1216" t="s">
        <v>1638</v>
      </c>
      <c r="B1216" t="s">
        <v>3584</v>
      </c>
      <c r="C1216" t="s">
        <v>66</v>
      </c>
      <c r="D1216" t="s">
        <v>2307</v>
      </c>
      <c r="E1216">
        <v>98133</v>
      </c>
      <c r="F1216" t="s">
        <v>1587</v>
      </c>
      <c r="G1216" t="s">
        <v>1973</v>
      </c>
      <c r="H1216" t="s">
        <v>5034</v>
      </c>
      <c r="I1216">
        <v>47.705300000000001</v>
      </c>
      <c r="J1216">
        <v>-122.355146</v>
      </c>
      <c r="K1216" t="s">
        <v>3936</v>
      </c>
      <c r="L1216" t="s">
        <v>3946</v>
      </c>
      <c r="M1216" t="s">
        <v>3948</v>
      </c>
      <c r="P1216" t="s">
        <v>3584</v>
      </c>
    </row>
    <row r="1217" spans="1:16" x14ac:dyDescent="0.2">
      <c r="A1217" t="s">
        <v>1639</v>
      </c>
      <c r="B1217" t="s">
        <v>3585</v>
      </c>
      <c r="C1217" t="s">
        <v>66</v>
      </c>
      <c r="D1217" t="s">
        <v>2307</v>
      </c>
      <c r="E1217">
        <v>98133</v>
      </c>
      <c r="F1217" t="s">
        <v>1583</v>
      </c>
      <c r="G1217" t="s">
        <v>1980</v>
      </c>
      <c r="H1217" t="s">
        <v>5210</v>
      </c>
      <c r="I1217">
        <v>47.705362000000001</v>
      </c>
      <c r="J1217">
        <v>-122.355664</v>
      </c>
      <c r="K1217" t="s">
        <v>3936</v>
      </c>
      <c r="L1217" t="s">
        <v>3946</v>
      </c>
      <c r="M1217" t="s">
        <v>3948</v>
      </c>
      <c r="P1217" t="s">
        <v>3585</v>
      </c>
    </row>
    <row r="1218" spans="1:16" x14ac:dyDescent="0.2">
      <c r="A1218" t="s">
        <v>1640</v>
      </c>
      <c r="B1218" t="s">
        <v>2475</v>
      </c>
      <c r="C1218" t="s">
        <v>66</v>
      </c>
      <c r="D1218" t="s">
        <v>2307</v>
      </c>
      <c r="E1218">
        <v>98108</v>
      </c>
      <c r="F1218" t="s">
        <v>1583</v>
      </c>
      <c r="G1218" t="s">
        <v>1980</v>
      </c>
      <c r="H1218" t="s">
        <v>4059</v>
      </c>
      <c r="I1218">
        <v>47.552525000000003</v>
      </c>
      <c r="J1218">
        <v>-122.329701</v>
      </c>
      <c r="K1218" t="s">
        <v>3936</v>
      </c>
      <c r="L1218" t="s">
        <v>3946</v>
      </c>
      <c r="M1218" t="s">
        <v>3948</v>
      </c>
      <c r="P1218" t="s">
        <v>2475</v>
      </c>
    </row>
    <row r="1219" spans="1:16" x14ac:dyDescent="0.2">
      <c r="A1219" t="s">
        <v>1641</v>
      </c>
      <c r="B1219" t="s">
        <v>3586</v>
      </c>
      <c r="C1219" t="s">
        <v>66</v>
      </c>
      <c r="D1219" t="s">
        <v>2307</v>
      </c>
      <c r="E1219">
        <v>98133</v>
      </c>
      <c r="F1219" t="s">
        <v>1583</v>
      </c>
      <c r="G1219" t="s">
        <v>1980</v>
      </c>
      <c r="H1219" t="s">
        <v>5491</v>
      </c>
      <c r="I1219">
        <v>47.708741000000003</v>
      </c>
      <c r="J1219">
        <v>-122.33388600000001</v>
      </c>
      <c r="K1219" t="s">
        <v>3936</v>
      </c>
      <c r="L1219" t="s">
        <v>3946</v>
      </c>
      <c r="M1219" t="s">
        <v>3948</v>
      </c>
      <c r="P1219" t="s">
        <v>3586</v>
      </c>
    </row>
    <row r="1220" spans="1:16" x14ac:dyDescent="0.2">
      <c r="A1220" t="s">
        <v>1642</v>
      </c>
      <c r="B1220" t="s">
        <v>3587</v>
      </c>
      <c r="C1220" t="s">
        <v>66</v>
      </c>
      <c r="D1220" t="s">
        <v>2307</v>
      </c>
      <c r="E1220">
        <v>98106</v>
      </c>
      <c r="F1220" t="s">
        <v>1600</v>
      </c>
      <c r="G1220" t="s">
        <v>1987</v>
      </c>
      <c r="H1220" t="s">
        <v>5492</v>
      </c>
      <c r="I1220">
        <v>47.551723000000003</v>
      </c>
      <c r="J1220">
        <v>-122.36322</v>
      </c>
      <c r="K1220" t="s">
        <v>3936</v>
      </c>
      <c r="L1220" t="s">
        <v>3946</v>
      </c>
      <c r="M1220" t="s">
        <v>3948</v>
      </c>
      <c r="P1220" t="s">
        <v>3587</v>
      </c>
    </row>
    <row r="1221" spans="1:16" x14ac:dyDescent="0.2">
      <c r="A1221" t="s">
        <v>1572</v>
      </c>
      <c r="B1221" t="s">
        <v>6263</v>
      </c>
      <c r="C1221" t="s">
        <v>66</v>
      </c>
      <c r="D1221" t="s">
        <v>2307</v>
      </c>
      <c r="E1221">
        <v>98125</v>
      </c>
      <c r="F1221" t="s">
        <v>1573</v>
      </c>
      <c r="G1221" t="s">
        <v>1973</v>
      </c>
      <c r="H1221" t="s">
        <v>4060</v>
      </c>
      <c r="I1221">
        <v>47.708531999999998</v>
      </c>
      <c r="J1221">
        <v>-122.324664</v>
      </c>
      <c r="K1221" t="s">
        <v>3936</v>
      </c>
      <c r="L1221" t="s">
        <v>3946</v>
      </c>
      <c r="M1221" t="s">
        <v>3948</v>
      </c>
      <c r="P1221" t="s">
        <v>6065</v>
      </c>
    </row>
    <row r="1222" spans="1:16" x14ac:dyDescent="0.2">
      <c r="A1222" t="s">
        <v>1597</v>
      </c>
      <c r="B1222" t="s">
        <v>3588</v>
      </c>
      <c r="C1222" t="s">
        <v>66</v>
      </c>
      <c r="D1222" t="s">
        <v>2307</v>
      </c>
      <c r="E1222">
        <v>98125</v>
      </c>
      <c r="F1222" t="s">
        <v>1573</v>
      </c>
      <c r="G1222" t="s">
        <v>1990</v>
      </c>
      <c r="H1222" t="s">
        <v>5346</v>
      </c>
      <c r="I1222">
        <v>47.708742999999998</v>
      </c>
      <c r="J1222">
        <v>-122.3244</v>
      </c>
      <c r="K1222" t="s">
        <v>3936</v>
      </c>
      <c r="L1222" t="s">
        <v>3946</v>
      </c>
      <c r="M1222" t="s">
        <v>3948</v>
      </c>
      <c r="P1222" t="s">
        <v>3588</v>
      </c>
    </row>
    <row r="1223" spans="1:16" x14ac:dyDescent="0.2">
      <c r="A1223" t="s">
        <v>1644</v>
      </c>
      <c r="B1223" t="s">
        <v>6214</v>
      </c>
      <c r="C1223" t="s">
        <v>66</v>
      </c>
      <c r="D1223" t="s">
        <v>2307</v>
      </c>
      <c r="E1223">
        <v>98125</v>
      </c>
      <c r="F1223" t="s">
        <v>1604</v>
      </c>
      <c r="G1223" t="s">
        <v>1989</v>
      </c>
      <c r="H1223" t="s">
        <v>5324</v>
      </c>
      <c r="I1223">
        <v>47.708540999999997</v>
      </c>
      <c r="J1223">
        <v>-122.32211</v>
      </c>
      <c r="K1223" t="s">
        <v>3936</v>
      </c>
      <c r="L1223" t="s">
        <v>3946</v>
      </c>
      <c r="M1223" t="s">
        <v>3948</v>
      </c>
      <c r="P1223" t="s">
        <v>6015</v>
      </c>
    </row>
    <row r="1224" spans="1:16" x14ac:dyDescent="0.2">
      <c r="A1224" t="s">
        <v>1645</v>
      </c>
      <c r="B1224" t="s">
        <v>3590</v>
      </c>
      <c r="C1224" t="s">
        <v>66</v>
      </c>
      <c r="D1224" t="s">
        <v>2307</v>
      </c>
      <c r="E1224">
        <v>98118</v>
      </c>
      <c r="F1224" t="s">
        <v>1604</v>
      </c>
      <c r="G1224" t="s">
        <v>1973</v>
      </c>
      <c r="H1224" t="s">
        <v>4061</v>
      </c>
      <c r="I1224">
        <v>47.558287</v>
      </c>
      <c r="J1224">
        <v>-122.28548600000001</v>
      </c>
      <c r="K1224" t="s">
        <v>3936</v>
      </c>
      <c r="L1224" t="s">
        <v>3946</v>
      </c>
      <c r="M1224" t="s">
        <v>3948</v>
      </c>
      <c r="P1224" t="s">
        <v>3590</v>
      </c>
    </row>
    <row r="1225" spans="1:16" x14ac:dyDescent="0.2">
      <c r="A1225" t="s">
        <v>1646</v>
      </c>
      <c r="B1225" t="s">
        <v>3591</v>
      </c>
      <c r="C1225" t="s">
        <v>66</v>
      </c>
      <c r="D1225" t="s">
        <v>2307</v>
      </c>
      <c r="E1225">
        <v>98118</v>
      </c>
      <c r="F1225" t="s">
        <v>1604</v>
      </c>
      <c r="G1225" t="s">
        <v>1989</v>
      </c>
      <c r="H1225" t="s">
        <v>4062</v>
      </c>
      <c r="I1225">
        <v>47.557993000000003</v>
      </c>
      <c r="J1225">
        <v>-122.284758</v>
      </c>
      <c r="K1225" t="s">
        <v>3936</v>
      </c>
      <c r="L1225" t="s">
        <v>3946</v>
      </c>
      <c r="M1225" t="s">
        <v>3948</v>
      </c>
      <c r="P1225" t="s">
        <v>3591</v>
      </c>
    </row>
    <row r="1226" spans="1:16" x14ac:dyDescent="0.2">
      <c r="A1226" t="s">
        <v>1647</v>
      </c>
      <c r="B1226" t="s">
        <v>3592</v>
      </c>
      <c r="C1226" t="s">
        <v>66</v>
      </c>
      <c r="D1226" t="s">
        <v>2307</v>
      </c>
      <c r="E1226">
        <v>98118</v>
      </c>
      <c r="F1226" t="s">
        <v>1575</v>
      </c>
      <c r="G1226" t="s">
        <v>1968</v>
      </c>
      <c r="H1226" t="s">
        <v>4063</v>
      </c>
      <c r="I1226">
        <v>47.557991999999999</v>
      </c>
      <c r="J1226">
        <v>-122.284631</v>
      </c>
      <c r="K1226" t="s">
        <v>3936</v>
      </c>
      <c r="L1226" t="s">
        <v>3946</v>
      </c>
      <c r="M1226" t="s">
        <v>3948</v>
      </c>
      <c r="P1226" t="s">
        <v>3592</v>
      </c>
    </row>
    <row r="1227" spans="1:16" x14ac:dyDescent="0.2">
      <c r="A1227" t="s">
        <v>1648</v>
      </c>
      <c r="B1227" t="s">
        <v>3593</v>
      </c>
      <c r="C1227" t="s">
        <v>66</v>
      </c>
      <c r="D1227" t="s">
        <v>2307</v>
      </c>
      <c r="E1227">
        <v>98108</v>
      </c>
      <c r="F1227" t="s">
        <v>1583</v>
      </c>
      <c r="G1227" t="s">
        <v>1980</v>
      </c>
      <c r="H1227" t="s">
        <v>5325</v>
      </c>
      <c r="I1227">
        <v>47.548450000000003</v>
      </c>
      <c r="J1227">
        <v>-122.32122200000001</v>
      </c>
      <c r="K1227" t="s">
        <v>3936</v>
      </c>
      <c r="L1227" t="s">
        <v>3946</v>
      </c>
      <c r="M1227" t="s">
        <v>3948</v>
      </c>
      <c r="P1227" t="s">
        <v>5665</v>
      </c>
    </row>
    <row r="1228" spans="1:16" x14ac:dyDescent="0.2">
      <c r="A1228" t="s">
        <v>1649</v>
      </c>
      <c r="B1228" t="s">
        <v>3594</v>
      </c>
      <c r="C1228" t="s">
        <v>66</v>
      </c>
      <c r="D1228" t="s">
        <v>2307</v>
      </c>
      <c r="E1228">
        <v>98118</v>
      </c>
      <c r="F1228" t="s">
        <v>1587</v>
      </c>
      <c r="G1228" t="s">
        <v>1973</v>
      </c>
      <c r="H1228" t="s">
        <v>4064</v>
      </c>
      <c r="I1228">
        <v>47.553271000000002</v>
      </c>
      <c r="J1228">
        <v>-122.27964299999999</v>
      </c>
      <c r="K1228" t="s">
        <v>3936</v>
      </c>
      <c r="L1228" t="s">
        <v>3946</v>
      </c>
      <c r="M1228" t="s">
        <v>3948</v>
      </c>
      <c r="P1228" t="s">
        <v>3594</v>
      </c>
    </row>
    <row r="1229" spans="1:16" x14ac:dyDescent="0.2">
      <c r="A1229" t="s">
        <v>1650</v>
      </c>
      <c r="B1229" t="s">
        <v>3595</v>
      </c>
      <c r="C1229" t="s">
        <v>66</v>
      </c>
      <c r="D1229" t="s">
        <v>2307</v>
      </c>
      <c r="E1229">
        <v>98125</v>
      </c>
      <c r="F1229" t="s">
        <v>1583</v>
      </c>
      <c r="G1229" t="s">
        <v>1980</v>
      </c>
      <c r="H1229" t="s">
        <v>5326</v>
      </c>
      <c r="I1229">
        <v>47.715001000000001</v>
      </c>
      <c r="J1229">
        <v>-122.31240699999999</v>
      </c>
      <c r="K1229" t="s">
        <v>3936</v>
      </c>
      <c r="L1229" t="s">
        <v>3946</v>
      </c>
      <c r="M1229" t="s">
        <v>3948</v>
      </c>
      <c r="P1229" t="s">
        <v>3595</v>
      </c>
    </row>
    <row r="1230" spans="1:16" x14ac:dyDescent="0.2">
      <c r="A1230" t="s">
        <v>1651</v>
      </c>
      <c r="B1230" t="s">
        <v>3596</v>
      </c>
      <c r="C1230" t="s">
        <v>66</v>
      </c>
      <c r="D1230" t="s">
        <v>2307</v>
      </c>
      <c r="E1230">
        <v>98125</v>
      </c>
      <c r="F1230" t="s">
        <v>1575</v>
      </c>
      <c r="G1230" t="s">
        <v>1974</v>
      </c>
      <c r="H1230" t="s">
        <v>5512</v>
      </c>
      <c r="I1230">
        <v>47.718080999999998</v>
      </c>
      <c r="J1230">
        <v>-122.318282</v>
      </c>
      <c r="K1230" t="s">
        <v>3936</v>
      </c>
      <c r="L1230" t="s">
        <v>3946</v>
      </c>
      <c r="M1230" t="s">
        <v>3948</v>
      </c>
      <c r="P1230" t="s">
        <v>3596</v>
      </c>
    </row>
    <row r="1231" spans="1:16" x14ac:dyDescent="0.2">
      <c r="A1231" t="s">
        <v>1652</v>
      </c>
      <c r="B1231" t="s">
        <v>3597</v>
      </c>
      <c r="C1231" t="s">
        <v>66</v>
      </c>
      <c r="D1231" t="s">
        <v>2307</v>
      </c>
      <c r="E1231">
        <v>98125</v>
      </c>
      <c r="F1231" t="s">
        <v>1575</v>
      </c>
      <c r="G1231" t="s">
        <v>1984</v>
      </c>
      <c r="H1231" t="s">
        <v>5181</v>
      </c>
      <c r="I1231">
        <v>47.718195999999999</v>
      </c>
      <c r="J1231">
        <v>-122.318285</v>
      </c>
      <c r="K1231" t="s">
        <v>3936</v>
      </c>
      <c r="L1231" t="s">
        <v>3946</v>
      </c>
      <c r="M1231" t="s">
        <v>3948</v>
      </c>
      <c r="P1231" t="s">
        <v>3597</v>
      </c>
    </row>
    <row r="1232" spans="1:16" x14ac:dyDescent="0.2">
      <c r="A1232" t="s">
        <v>1653</v>
      </c>
      <c r="B1232" t="s">
        <v>3598</v>
      </c>
      <c r="C1232" t="s">
        <v>2502</v>
      </c>
      <c r="D1232" t="s">
        <v>2307</v>
      </c>
      <c r="E1232">
        <v>98004</v>
      </c>
      <c r="F1232" t="s">
        <v>1620</v>
      </c>
      <c r="G1232" t="s">
        <v>1984</v>
      </c>
      <c r="H1232" t="s">
        <v>5378</v>
      </c>
      <c r="I1232">
        <v>47.633951000000003</v>
      </c>
      <c r="J1232">
        <v>-122.20145599999999</v>
      </c>
      <c r="K1232" t="s">
        <v>3936</v>
      </c>
      <c r="L1232" t="s">
        <v>3946</v>
      </c>
      <c r="M1232" t="s">
        <v>3948</v>
      </c>
      <c r="P1232" t="s">
        <v>3598</v>
      </c>
    </row>
    <row r="1233" spans="1:16" x14ac:dyDescent="0.2">
      <c r="A1233" t="s">
        <v>1654</v>
      </c>
      <c r="B1233" t="s">
        <v>3599</v>
      </c>
      <c r="C1233" t="s">
        <v>66</v>
      </c>
      <c r="D1233" t="s">
        <v>2307</v>
      </c>
      <c r="E1233">
        <v>98125</v>
      </c>
      <c r="F1233" t="s">
        <v>1575</v>
      </c>
      <c r="G1233" t="s">
        <v>1987</v>
      </c>
      <c r="H1233" t="s">
        <v>3970</v>
      </c>
      <c r="I1233">
        <v>47.719442000000001</v>
      </c>
      <c r="J1233">
        <v>-122.294839</v>
      </c>
      <c r="K1233" t="s">
        <v>3936</v>
      </c>
      <c r="L1233" t="s">
        <v>3946</v>
      </c>
      <c r="M1233" t="s">
        <v>3948</v>
      </c>
      <c r="P1233" t="s">
        <v>3599</v>
      </c>
    </row>
    <row r="1234" spans="1:16" x14ac:dyDescent="0.2">
      <c r="A1234" t="s">
        <v>1655</v>
      </c>
      <c r="B1234" t="s">
        <v>3600</v>
      </c>
      <c r="C1234" t="s">
        <v>3601</v>
      </c>
      <c r="D1234" t="s">
        <v>2307</v>
      </c>
      <c r="E1234">
        <v>98004</v>
      </c>
      <c r="F1234" t="s">
        <v>1575</v>
      </c>
      <c r="G1234" t="s">
        <v>1973</v>
      </c>
      <c r="H1234" t="s">
        <v>4065</v>
      </c>
      <c r="I1234">
        <v>47.611285000000002</v>
      </c>
      <c r="J1234">
        <v>-122.201431</v>
      </c>
      <c r="K1234" t="s">
        <v>3936</v>
      </c>
      <c r="L1234" t="s">
        <v>3946</v>
      </c>
      <c r="M1234" t="s">
        <v>3948</v>
      </c>
      <c r="P1234" t="s">
        <v>3600</v>
      </c>
    </row>
    <row r="1235" spans="1:16" x14ac:dyDescent="0.2">
      <c r="A1235" t="s">
        <v>1656</v>
      </c>
      <c r="B1235" t="s">
        <v>3602</v>
      </c>
      <c r="C1235" t="s">
        <v>66</v>
      </c>
      <c r="D1235" t="s">
        <v>2307</v>
      </c>
      <c r="E1235">
        <v>98118</v>
      </c>
      <c r="F1235" t="s">
        <v>1575</v>
      </c>
      <c r="G1235" t="s">
        <v>1973</v>
      </c>
      <c r="H1235" t="s">
        <v>5327</v>
      </c>
      <c r="I1235">
        <v>47.54222</v>
      </c>
      <c r="J1235">
        <v>-122.28405600000001</v>
      </c>
      <c r="K1235" t="s">
        <v>3936</v>
      </c>
      <c r="L1235" t="s">
        <v>3946</v>
      </c>
      <c r="M1235" t="s">
        <v>3948</v>
      </c>
      <c r="P1235" t="s">
        <v>3602</v>
      </c>
    </row>
    <row r="1236" spans="1:16" x14ac:dyDescent="0.2">
      <c r="A1236" t="s">
        <v>1597</v>
      </c>
      <c r="B1236" t="s">
        <v>3603</v>
      </c>
      <c r="C1236" t="s">
        <v>66</v>
      </c>
      <c r="D1236" t="s">
        <v>2307</v>
      </c>
      <c r="E1236">
        <v>98133</v>
      </c>
      <c r="F1236" t="s">
        <v>1573</v>
      </c>
      <c r="G1236" t="s">
        <v>1990</v>
      </c>
      <c r="H1236" t="s">
        <v>5347</v>
      </c>
      <c r="I1236">
        <v>47.726464</v>
      </c>
      <c r="J1236">
        <v>-122.344843</v>
      </c>
      <c r="K1236" t="s">
        <v>3936</v>
      </c>
      <c r="L1236" t="s">
        <v>3946</v>
      </c>
      <c r="M1236" t="s">
        <v>3948</v>
      </c>
      <c r="P1236" t="s">
        <v>3603</v>
      </c>
    </row>
    <row r="1237" spans="1:16" x14ac:dyDescent="0.2">
      <c r="A1237" t="s">
        <v>1659</v>
      </c>
      <c r="B1237" t="s">
        <v>3604</v>
      </c>
      <c r="C1237" t="s">
        <v>2506</v>
      </c>
      <c r="D1237" t="s">
        <v>2307</v>
      </c>
      <c r="E1237">
        <v>98033</v>
      </c>
      <c r="F1237" t="s">
        <v>1575</v>
      </c>
      <c r="G1237" t="s">
        <v>1987</v>
      </c>
      <c r="H1237" t="s">
        <v>3971</v>
      </c>
      <c r="I1237">
        <v>47.676411000000002</v>
      </c>
      <c r="J1237">
        <v>-122.207356</v>
      </c>
      <c r="K1237" t="s">
        <v>3936</v>
      </c>
      <c r="L1237" t="s">
        <v>3946</v>
      </c>
      <c r="M1237" t="s">
        <v>3948</v>
      </c>
      <c r="P1237" t="s">
        <v>3604</v>
      </c>
    </row>
    <row r="1238" spans="1:16" x14ac:dyDescent="0.2">
      <c r="A1238" t="s">
        <v>1572</v>
      </c>
      <c r="B1238" t="s">
        <v>3605</v>
      </c>
      <c r="C1238" t="s">
        <v>2502</v>
      </c>
      <c r="D1238" t="s">
        <v>2307</v>
      </c>
      <c r="E1238">
        <v>98004</v>
      </c>
      <c r="F1238" t="s">
        <v>1573</v>
      </c>
      <c r="G1238" t="s">
        <v>1973</v>
      </c>
      <c r="H1238" t="s">
        <v>4066</v>
      </c>
      <c r="I1238">
        <v>47.611414000000003</v>
      </c>
      <c r="J1238">
        <v>-122.190669</v>
      </c>
      <c r="K1238" t="s">
        <v>3936</v>
      </c>
      <c r="L1238" t="s">
        <v>3946</v>
      </c>
      <c r="M1238" t="s">
        <v>3948</v>
      </c>
      <c r="P1238" t="s">
        <v>3605</v>
      </c>
    </row>
    <row r="1239" spans="1:16" x14ac:dyDescent="0.2">
      <c r="A1239" t="s">
        <v>1626</v>
      </c>
      <c r="B1239" t="s">
        <v>3606</v>
      </c>
      <c r="C1239" t="s">
        <v>2506</v>
      </c>
      <c r="D1239" t="s">
        <v>2307</v>
      </c>
      <c r="E1239">
        <v>98033</v>
      </c>
      <c r="F1239" t="s">
        <v>1587</v>
      </c>
      <c r="G1239" t="s">
        <v>1973</v>
      </c>
      <c r="H1239" t="s">
        <v>5086</v>
      </c>
      <c r="I1239">
        <v>47.677261999999999</v>
      </c>
      <c r="J1239">
        <v>-122.20474</v>
      </c>
      <c r="K1239" t="s">
        <v>3936</v>
      </c>
      <c r="L1239" t="s">
        <v>3946</v>
      </c>
      <c r="M1239" t="s">
        <v>3948</v>
      </c>
      <c r="P1239" t="s">
        <v>3606</v>
      </c>
    </row>
    <row r="1240" spans="1:16" x14ac:dyDescent="0.2">
      <c r="A1240" t="s">
        <v>1660</v>
      </c>
      <c r="B1240" t="s">
        <v>3607</v>
      </c>
      <c r="C1240" t="s">
        <v>2506</v>
      </c>
      <c r="D1240" t="s">
        <v>2307</v>
      </c>
      <c r="E1240">
        <v>98033</v>
      </c>
      <c r="F1240" t="s">
        <v>1604</v>
      </c>
      <c r="G1240" t="s">
        <v>1989</v>
      </c>
      <c r="H1240" t="s">
        <v>4067</v>
      </c>
      <c r="I1240">
        <v>47.678542</v>
      </c>
      <c r="J1240">
        <v>-122.199671</v>
      </c>
      <c r="K1240" t="s">
        <v>3936</v>
      </c>
      <c r="L1240" t="s">
        <v>3946</v>
      </c>
      <c r="M1240" t="s">
        <v>3948</v>
      </c>
      <c r="P1240" t="s">
        <v>3607</v>
      </c>
    </row>
    <row r="1241" spans="1:16" x14ac:dyDescent="0.2">
      <c r="A1241" t="s">
        <v>1662</v>
      </c>
      <c r="B1241" t="s">
        <v>3609</v>
      </c>
      <c r="C1241" t="s">
        <v>66</v>
      </c>
      <c r="D1241" t="s">
        <v>2307</v>
      </c>
      <c r="E1241">
        <v>98118</v>
      </c>
      <c r="F1241" t="s">
        <v>1575</v>
      </c>
      <c r="G1241" t="s">
        <v>1982</v>
      </c>
      <c r="H1241" t="s">
        <v>4069</v>
      </c>
      <c r="I1241">
        <v>47.536929999999998</v>
      </c>
      <c r="J1241">
        <v>-122.270205</v>
      </c>
      <c r="K1241" t="s">
        <v>3936</v>
      </c>
      <c r="L1241" t="s">
        <v>3946</v>
      </c>
      <c r="M1241" t="s">
        <v>3948</v>
      </c>
      <c r="P1241" t="s">
        <v>3609</v>
      </c>
    </row>
    <row r="1242" spans="1:16" x14ac:dyDescent="0.2">
      <c r="A1242" t="s">
        <v>1663</v>
      </c>
      <c r="B1242" t="s">
        <v>3610</v>
      </c>
      <c r="C1242" t="s">
        <v>386</v>
      </c>
      <c r="D1242" t="s">
        <v>2307</v>
      </c>
      <c r="E1242">
        <v>98133</v>
      </c>
      <c r="F1242" t="s">
        <v>1575</v>
      </c>
      <c r="G1242" t="s">
        <v>1973</v>
      </c>
      <c r="H1242" t="s">
        <v>5503</v>
      </c>
      <c r="I1242">
        <v>47.735666999999999</v>
      </c>
      <c r="J1242">
        <v>-122.345304</v>
      </c>
      <c r="K1242" t="s">
        <v>3936</v>
      </c>
      <c r="L1242" t="s">
        <v>3946</v>
      </c>
      <c r="M1242" t="s">
        <v>3948</v>
      </c>
      <c r="P1242" t="s">
        <v>3610</v>
      </c>
    </row>
    <row r="1243" spans="1:16" x14ac:dyDescent="0.2">
      <c r="A1243" t="s">
        <v>1664</v>
      </c>
      <c r="B1243" t="s">
        <v>3611</v>
      </c>
      <c r="C1243" t="s">
        <v>2502</v>
      </c>
      <c r="D1243" t="s">
        <v>2307</v>
      </c>
      <c r="E1243">
        <v>98005</v>
      </c>
      <c r="F1243" t="s">
        <v>1573</v>
      </c>
      <c r="G1243" t="s">
        <v>1995</v>
      </c>
      <c r="H1243" t="s">
        <v>4950</v>
      </c>
      <c r="I1243">
        <v>47.620601000000001</v>
      </c>
      <c r="J1243">
        <v>-122.179581</v>
      </c>
      <c r="K1243" t="s">
        <v>3936</v>
      </c>
      <c r="L1243" t="s">
        <v>3946</v>
      </c>
      <c r="M1243" t="s">
        <v>3948</v>
      </c>
      <c r="P1243" t="s">
        <v>3611</v>
      </c>
    </row>
    <row r="1244" spans="1:16" x14ac:dyDescent="0.2">
      <c r="A1244" t="s">
        <v>1665</v>
      </c>
      <c r="B1244" t="s">
        <v>3612</v>
      </c>
      <c r="C1244" t="s">
        <v>386</v>
      </c>
      <c r="D1244" t="s">
        <v>2307</v>
      </c>
      <c r="E1244">
        <v>98133</v>
      </c>
      <c r="F1244" t="s">
        <v>1575</v>
      </c>
      <c r="G1244" t="s">
        <v>1982</v>
      </c>
      <c r="H1244" t="s">
        <v>5049</v>
      </c>
      <c r="I1244">
        <v>47.739297999999998</v>
      </c>
      <c r="J1244">
        <v>-122.345039</v>
      </c>
      <c r="K1244" t="s">
        <v>3936</v>
      </c>
      <c r="L1244" t="s">
        <v>3946</v>
      </c>
      <c r="M1244" t="s">
        <v>3948</v>
      </c>
      <c r="P1244" t="s">
        <v>3612</v>
      </c>
    </row>
    <row r="1245" spans="1:16" x14ac:dyDescent="0.2">
      <c r="A1245" t="s">
        <v>1666</v>
      </c>
      <c r="B1245" t="s">
        <v>3613</v>
      </c>
      <c r="C1245" t="s">
        <v>66</v>
      </c>
      <c r="D1245" t="s">
        <v>2307</v>
      </c>
      <c r="E1245">
        <v>98155</v>
      </c>
      <c r="F1245" t="s">
        <v>1575</v>
      </c>
      <c r="G1245" t="s">
        <v>1973</v>
      </c>
      <c r="H1245" t="s">
        <v>4977</v>
      </c>
      <c r="I1245">
        <v>47.734822000000001</v>
      </c>
      <c r="J1245">
        <v>-122.292694</v>
      </c>
      <c r="K1245" t="s">
        <v>3936</v>
      </c>
      <c r="L1245" t="s">
        <v>3946</v>
      </c>
      <c r="M1245" t="s">
        <v>3948</v>
      </c>
      <c r="P1245" t="s">
        <v>3613</v>
      </c>
    </row>
    <row r="1246" spans="1:16" x14ac:dyDescent="0.2">
      <c r="A1246" t="s">
        <v>1667</v>
      </c>
      <c r="B1246" t="s">
        <v>3614</v>
      </c>
      <c r="C1246" t="s">
        <v>386</v>
      </c>
      <c r="D1246" t="s">
        <v>2307</v>
      </c>
      <c r="E1246">
        <v>98133</v>
      </c>
      <c r="F1246" t="s">
        <v>1658</v>
      </c>
      <c r="G1246" t="s">
        <v>1994</v>
      </c>
      <c r="H1246" t="s">
        <v>4070</v>
      </c>
      <c r="I1246">
        <v>47.739640999999999</v>
      </c>
      <c r="J1246">
        <v>-122.345202</v>
      </c>
      <c r="K1246" t="s">
        <v>3936</v>
      </c>
      <c r="L1246" t="s">
        <v>3946</v>
      </c>
      <c r="M1246" t="s">
        <v>3948</v>
      </c>
      <c r="P1246" t="s">
        <v>3614</v>
      </c>
    </row>
    <row r="1247" spans="1:16" x14ac:dyDescent="0.2">
      <c r="A1247" t="s">
        <v>1668</v>
      </c>
      <c r="B1247" t="s">
        <v>3615</v>
      </c>
      <c r="C1247" t="s">
        <v>66</v>
      </c>
      <c r="D1247" t="s">
        <v>2307</v>
      </c>
      <c r="E1247">
        <v>98118</v>
      </c>
      <c r="F1247" t="s">
        <v>1573</v>
      </c>
      <c r="G1247" t="s">
        <v>1990</v>
      </c>
      <c r="H1247" t="s">
        <v>5513</v>
      </c>
      <c r="I1247">
        <v>47.524147999999997</v>
      </c>
      <c r="J1247">
        <v>-122.276374</v>
      </c>
      <c r="K1247" t="s">
        <v>3936</v>
      </c>
      <c r="L1247" t="s">
        <v>3946</v>
      </c>
      <c r="M1247" t="s">
        <v>3948</v>
      </c>
      <c r="P1247" t="s">
        <v>3615</v>
      </c>
    </row>
    <row r="1248" spans="1:16" x14ac:dyDescent="0.2">
      <c r="A1248" t="s">
        <v>1669</v>
      </c>
      <c r="B1248" t="s">
        <v>3616</v>
      </c>
      <c r="C1248" t="s">
        <v>2506</v>
      </c>
      <c r="D1248" t="s">
        <v>2307</v>
      </c>
      <c r="E1248">
        <v>98034</v>
      </c>
      <c r="F1248" t="s">
        <v>1591</v>
      </c>
      <c r="G1248" t="s">
        <v>1969</v>
      </c>
      <c r="H1248" t="s">
        <v>5382</v>
      </c>
      <c r="I1248">
        <v>47.705083999999999</v>
      </c>
      <c r="J1248">
        <v>-122.21259999999999</v>
      </c>
      <c r="K1248" t="s">
        <v>3936</v>
      </c>
      <c r="L1248" t="s">
        <v>3946</v>
      </c>
      <c r="M1248" t="s">
        <v>3948</v>
      </c>
      <c r="P1248" t="s">
        <v>3616</v>
      </c>
    </row>
    <row r="1249" spans="1:16" x14ac:dyDescent="0.2">
      <c r="A1249" t="s">
        <v>1670</v>
      </c>
      <c r="B1249" t="s">
        <v>3617</v>
      </c>
      <c r="C1249" t="s">
        <v>3618</v>
      </c>
      <c r="D1249" t="s">
        <v>2307</v>
      </c>
      <c r="E1249">
        <v>98106</v>
      </c>
      <c r="F1249" t="s">
        <v>1591</v>
      </c>
      <c r="G1249" t="s">
        <v>1969</v>
      </c>
      <c r="H1249" t="s">
        <v>5211</v>
      </c>
      <c r="I1249">
        <v>47.515183</v>
      </c>
      <c r="J1249">
        <v>-122.35417</v>
      </c>
      <c r="K1249" t="s">
        <v>3936</v>
      </c>
      <c r="L1249" t="s">
        <v>3946</v>
      </c>
      <c r="M1249" t="s">
        <v>3948</v>
      </c>
      <c r="P1249" t="s">
        <v>3617</v>
      </c>
    </row>
    <row r="1250" spans="1:16" x14ac:dyDescent="0.2">
      <c r="A1250" t="s">
        <v>1671</v>
      </c>
      <c r="B1250" t="s">
        <v>6215</v>
      </c>
      <c r="C1250" t="s">
        <v>66</v>
      </c>
      <c r="D1250" t="s">
        <v>2307</v>
      </c>
      <c r="E1250">
        <v>98106</v>
      </c>
      <c r="F1250" t="s">
        <v>1602</v>
      </c>
      <c r="G1250" t="s">
        <v>1995</v>
      </c>
      <c r="H1250" t="s">
        <v>3972</v>
      </c>
      <c r="I1250">
        <v>47.514924000000001</v>
      </c>
      <c r="J1250">
        <v>-122.353765</v>
      </c>
      <c r="K1250" t="s">
        <v>3936</v>
      </c>
      <c r="L1250" t="s">
        <v>3946</v>
      </c>
      <c r="M1250" t="s">
        <v>3948</v>
      </c>
      <c r="P1250" t="s">
        <v>6016</v>
      </c>
    </row>
    <row r="1251" spans="1:16" x14ac:dyDescent="0.2">
      <c r="A1251" t="s">
        <v>1672</v>
      </c>
      <c r="B1251" t="s">
        <v>3619</v>
      </c>
      <c r="C1251" t="s">
        <v>2506</v>
      </c>
      <c r="D1251" t="s">
        <v>2307</v>
      </c>
      <c r="E1251">
        <v>98034</v>
      </c>
      <c r="F1251" t="s">
        <v>1587</v>
      </c>
      <c r="G1251" t="s">
        <v>1981</v>
      </c>
      <c r="H1251" t="s">
        <v>5212</v>
      </c>
      <c r="I1251">
        <v>47.706899</v>
      </c>
      <c r="J1251">
        <v>-122.211214</v>
      </c>
      <c r="K1251" t="s">
        <v>3936</v>
      </c>
      <c r="L1251" t="s">
        <v>3946</v>
      </c>
      <c r="M1251" t="s">
        <v>3948</v>
      </c>
      <c r="P1251" t="s">
        <v>3619</v>
      </c>
    </row>
    <row r="1252" spans="1:16" x14ac:dyDescent="0.2">
      <c r="A1252" t="s">
        <v>1673</v>
      </c>
      <c r="B1252" t="s">
        <v>3620</v>
      </c>
      <c r="C1252" t="s">
        <v>2555</v>
      </c>
      <c r="D1252" t="s">
        <v>2307</v>
      </c>
      <c r="E1252">
        <v>98110</v>
      </c>
      <c r="F1252" t="s">
        <v>1575</v>
      </c>
      <c r="G1252" t="s">
        <v>1987</v>
      </c>
      <c r="H1252" t="s">
        <v>4071</v>
      </c>
      <c r="I1252">
        <v>47.624972999999997</v>
      </c>
      <c r="J1252">
        <v>-122.518126</v>
      </c>
      <c r="K1252" t="s">
        <v>3936</v>
      </c>
      <c r="L1252" t="s">
        <v>3946</v>
      </c>
      <c r="M1252" t="s">
        <v>3948</v>
      </c>
      <c r="P1252" t="s">
        <v>3620</v>
      </c>
    </row>
    <row r="1253" spans="1:16" x14ac:dyDescent="0.2">
      <c r="A1253" t="s">
        <v>1674</v>
      </c>
      <c r="B1253" t="s">
        <v>3621</v>
      </c>
      <c r="C1253" t="s">
        <v>3622</v>
      </c>
      <c r="D1253" t="s">
        <v>2307</v>
      </c>
      <c r="E1253">
        <v>98110</v>
      </c>
      <c r="F1253" t="s">
        <v>1591</v>
      </c>
      <c r="G1253" t="s">
        <v>1969</v>
      </c>
      <c r="H1253" t="s">
        <v>5807</v>
      </c>
      <c r="I1253">
        <v>47.624975999999997</v>
      </c>
      <c r="J1253">
        <v>-122.518519</v>
      </c>
      <c r="K1253" t="s">
        <v>3936</v>
      </c>
      <c r="L1253" t="s">
        <v>3946</v>
      </c>
      <c r="M1253" t="s">
        <v>3948</v>
      </c>
      <c r="P1253" t="s">
        <v>5751</v>
      </c>
    </row>
    <row r="1254" spans="1:16" x14ac:dyDescent="0.2">
      <c r="A1254" t="s">
        <v>1675</v>
      </c>
      <c r="B1254" t="s">
        <v>3623</v>
      </c>
      <c r="C1254" t="s">
        <v>66</v>
      </c>
      <c r="D1254" t="s">
        <v>2307</v>
      </c>
      <c r="E1254">
        <v>98118</v>
      </c>
      <c r="F1254" t="s">
        <v>1575</v>
      </c>
      <c r="G1254" t="s">
        <v>1984</v>
      </c>
      <c r="H1254" t="s">
        <v>5541</v>
      </c>
      <c r="I1254">
        <v>47.519947999999999</v>
      </c>
      <c r="J1254">
        <v>-122.263052</v>
      </c>
      <c r="K1254" t="s">
        <v>3936</v>
      </c>
      <c r="L1254" t="s">
        <v>3946</v>
      </c>
      <c r="M1254" t="s">
        <v>3948</v>
      </c>
      <c r="P1254" t="s">
        <v>3623</v>
      </c>
    </row>
    <row r="1255" spans="1:16" x14ac:dyDescent="0.2">
      <c r="A1255" t="s">
        <v>1677</v>
      </c>
      <c r="B1255" t="s">
        <v>3625</v>
      </c>
      <c r="C1255" t="s">
        <v>2506</v>
      </c>
      <c r="D1255" t="s">
        <v>2307</v>
      </c>
      <c r="E1255">
        <v>98033</v>
      </c>
      <c r="F1255" t="s">
        <v>1587</v>
      </c>
      <c r="G1255" t="s">
        <v>1987</v>
      </c>
      <c r="H1255" t="s">
        <v>4072</v>
      </c>
      <c r="I1255">
        <v>47.679243999999997</v>
      </c>
      <c r="J1255">
        <v>-122.17152</v>
      </c>
      <c r="K1255" t="s">
        <v>3936</v>
      </c>
      <c r="L1255" t="s">
        <v>3946</v>
      </c>
      <c r="M1255" t="s">
        <v>3948</v>
      </c>
      <c r="P1255" t="s">
        <v>3625</v>
      </c>
    </row>
    <row r="1256" spans="1:16" x14ac:dyDescent="0.2">
      <c r="A1256" t="s">
        <v>1678</v>
      </c>
      <c r="B1256" t="s">
        <v>3626</v>
      </c>
      <c r="C1256" t="s">
        <v>2506</v>
      </c>
      <c r="D1256" t="s">
        <v>2307</v>
      </c>
      <c r="E1256">
        <v>98033</v>
      </c>
      <c r="F1256" t="s">
        <v>1591</v>
      </c>
      <c r="G1256" t="s">
        <v>1969</v>
      </c>
      <c r="H1256" t="s">
        <v>5087</v>
      </c>
      <c r="I1256">
        <v>47.679288</v>
      </c>
      <c r="J1256">
        <v>-122.168446</v>
      </c>
      <c r="K1256" t="s">
        <v>3936</v>
      </c>
      <c r="L1256" t="s">
        <v>3946</v>
      </c>
      <c r="M1256" t="s">
        <v>3948</v>
      </c>
      <c r="P1256" t="s">
        <v>3626</v>
      </c>
    </row>
    <row r="1257" spans="1:16" x14ac:dyDescent="0.2">
      <c r="A1257" t="s">
        <v>1594</v>
      </c>
      <c r="B1257" t="s">
        <v>3627</v>
      </c>
      <c r="C1257" t="s">
        <v>2502</v>
      </c>
      <c r="D1257" t="s">
        <v>2307</v>
      </c>
      <c r="E1257">
        <v>98006</v>
      </c>
      <c r="F1257" t="s">
        <v>1575</v>
      </c>
      <c r="G1257" t="s">
        <v>1973</v>
      </c>
      <c r="H1257" t="s">
        <v>5516</v>
      </c>
      <c r="I1257">
        <v>47.578384999999997</v>
      </c>
      <c r="J1257">
        <v>-122.169489</v>
      </c>
      <c r="K1257" t="s">
        <v>3936</v>
      </c>
      <c r="L1257" t="s">
        <v>3946</v>
      </c>
      <c r="M1257" t="s">
        <v>3948</v>
      </c>
      <c r="P1257" t="s">
        <v>3627</v>
      </c>
    </row>
    <row r="1258" spans="1:16" x14ac:dyDescent="0.2">
      <c r="A1258" t="s">
        <v>1594</v>
      </c>
      <c r="B1258" t="s">
        <v>3627</v>
      </c>
      <c r="C1258" t="s">
        <v>2502</v>
      </c>
      <c r="D1258" t="s">
        <v>2307</v>
      </c>
      <c r="E1258">
        <v>98006</v>
      </c>
      <c r="F1258" t="s">
        <v>1575</v>
      </c>
      <c r="G1258" t="s">
        <v>1973</v>
      </c>
      <c r="H1258" t="s">
        <v>4073</v>
      </c>
      <c r="I1258">
        <v>47.578384999999997</v>
      </c>
      <c r="J1258">
        <v>-122.169489</v>
      </c>
      <c r="K1258" t="s">
        <v>3936</v>
      </c>
      <c r="L1258" t="s">
        <v>3946</v>
      </c>
      <c r="M1258" t="s">
        <v>3948</v>
      </c>
      <c r="P1258" t="s">
        <v>3627</v>
      </c>
    </row>
    <row r="1259" spans="1:16" x14ac:dyDescent="0.2">
      <c r="A1259" t="s">
        <v>1679</v>
      </c>
      <c r="B1259" t="s">
        <v>3628</v>
      </c>
      <c r="C1259" t="s">
        <v>386</v>
      </c>
      <c r="D1259" t="s">
        <v>2307</v>
      </c>
      <c r="E1259">
        <v>98133</v>
      </c>
      <c r="F1259" t="s">
        <v>1575</v>
      </c>
      <c r="G1259" t="s">
        <v>1973</v>
      </c>
      <c r="H1259" t="s">
        <v>4074</v>
      </c>
      <c r="I1259">
        <v>47.756124999999997</v>
      </c>
      <c r="J1259">
        <v>-122.34170899999999</v>
      </c>
      <c r="K1259" t="s">
        <v>3936</v>
      </c>
      <c r="L1259" t="s">
        <v>3946</v>
      </c>
      <c r="M1259" t="s">
        <v>3948</v>
      </c>
      <c r="P1259" t="s">
        <v>3628</v>
      </c>
    </row>
    <row r="1260" spans="1:16" x14ac:dyDescent="0.2">
      <c r="A1260" t="s">
        <v>5182</v>
      </c>
      <c r="B1260" t="s">
        <v>5183</v>
      </c>
      <c r="C1260" t="s">
        <v>2502</v>
      </c>
      <c r="D1260" t="s">
        <v>2307</v>
      </c>
      <c r="E1260">
        <v>98006</v>
      </c>
      <c r="F1260" t="s">
        <v>1604</v>
      </c>
      <c r="G1260" t="s">
        <v>1982</v>
      </c>
      <c r="H1260" t="s">
        <v>5505</v>
      </c>
      <c r="I1260">
        <v>47.575941999999998</v>
      </c>
      <c r="J1260">
        <v>-122.16901900000001</v>
      </c>
      <c r="K1260" t="s">
        <v>3936</v>
      </c>
      <c r="L1260" t="s">
        <v>3946</v>
      </c>
      <c r="M1260" t="s">
        <v>3948</v>
      </c>
      <c r="P1260" t="s">
        <v>5183</v>
      </c>
    </row>
    <row r="1261" spans="1:16" x14ac:dyDescent="0.2">
      <c r="A1261" t="s">
        <v>1680</v>
      </c>
      <c r="B1261" t="s">
        <v>3629</v>
      </c>
      <c r="C1261" t="s">
        <v>2502</v>
      </c>
      <c r="D1261" t="s">
        <v>2307</v>
      </c>
      <c r="E1261">
        <v>98006</v>
      </c>
      <c r="F1261" t="s">
        <v>1583</v>
      </c>
      <c r="G1261" t="s">
        <v>1980</v>
      </c>
      <c r="H1261" t="s">
        <v>5089</v>
      </c>
      <c r="I1261">
        <v>47.574948999999997</v>
      </c>
      <c r="J1261">
        <v>-122.16933400000001</v>
      </c>
      <c r="K1261" t="s">
        <v>3936</v>
      </c>
      <c r="L1261" t="s">
        <v>3946</v>
      </c>
      <c r="M1261" t="s">
        <v>3948</v>
      </c>
      <c r="P1261" t="s">
        <v>3629</v>
      </c>
    </row>
    <row r="1262" spans="1:16" x14ac:dyDescent="0.2">
      <c r="A1262" t="s">
        <v>1681</v>
      </c>
      <c r="B1262" t="s">
        <v>3630</v>
      </c>
      <c r="C1262" t="s">
        <v>2506</v>
      </c>
      <c r="D1262" t="s">
        <v>2307</v>
      </c>
      <c r="E1262">
        <v>98034</v>
      </c>
      <c r="F1262" t="s">
        <v>1600</v>
      </c>
      <c r="G1262" t="s">
        <v>1973</v>
      </c>
      <c r="H1262" t="s">
        <v>5037</v>
      </c>
      <c r="I1262">
        <v>47.721502999999998</v>
      </c>
      <c r="J1262">
        <v>-122.20787799999999</v>
      </c>
      <c r="K1262" t="s">
        <v>3936</v>
      </c>
      <c r="L1262" t="s">
        <v>3946</v>
      </c>
      <c r="M1262" t="s">
        <v>3948</v>
      </c>
      <c r="P1262" t="s">
        <v>5572</v>
      </c>
    </row>
    <row r="1263" spans="1:16" x14ac:dyDescent="0.2">
      <c r="A1263" t="s">
        <v>1682</v>
      </c>
      <c r="B1263" t="s">
        <v>6222</v>
      </c>
      <c r="C1263" t="s">
        <v>2502</v>
      </c>
      <c r="D1263" t="s">
        <v>2307</v>
      </c>
      <c r="E1263">
        <v>98007</v>
      </c>
      <c r="F1263" t="s">
        <v>1587</v>
      </c>
      <c r="G1263" t="s">
        <v>1973</v>
      </c>
      <c r="H1263" t="s">
        <v>5384</v>
      </c>
      <c r="I1263">
        <v>47.628084999999999</v>
      </c>
      <c r="J1263">
        <v>-122.150184</v>
      </c>
      <c r="K1263" t="s">
        <v>3936</v>
      </c>
      <c r="L1263" t="s">
        <v>3946</v>
      </c>
      <c r="M1263" t="s">
        <v>3948</v>
      </c>
      <c r="P1263" t="s">
        <v>6023</v>
      </c>
    </row>
    <row r="1264" spans="1:16" x14ac:dyDescent="0.2">
      <c r="A1264" t="s">
        <v>1594</v>
      </c>
      <c r="B1264" t="s">
        <v>3631</v>
      </c>
      <c r="C1264" t="s">
        <v>2506</v>
      </c>
      <c r="D1264" t="s">
        <v>2307</v>
      </c>
      <c r="E1264">
        <v>98034</v>
      </c>
      <c r="F1264" t="s">
        <v>1575</v>
      </c>
      <c r="G1264" t="s">
        <v>1973</v>
      </c>
      <c r="H1264" t="s">
        <v>5192</v>
      </c>
      <c r="I1264">
        <v>47.711319000000003</v>
      </c>
      <c r="J1264">
        <v>-122.18880799999999</v>
      </c>
      <c r="K1264" t="s">
        <v>3936</v>
      </c>
      <c r="L1264" t="s">
        <v>3946</v>
      </c>
      <c r="M1264" t="s">
        <v>3948</v>
      </c>
      <c r="P1264" t="s">
        <v>3631</v>
      </c>
    </row>
    <row r="1265" spans="1:16" x14ac:dyDescent="0.2">
      <c r="A1265" t="s">
        <v>1572</v>
      </c>
      <c r="B1265" t="s">
        <v>6264</v>
      </c>
      <c r="C1265" t="s">
        <v>2506</v>
      </c>
      <c r="D1265" t="s">
        <v>2307</v>
      </c>
      <c r="E1265">
        <v>98034</v>
      </c>
      <c r="F1265" t="s">
        <v>1573</v>
      </c>
      <c r="G1265" t="s">
        <v>1973</v>
      </c>
      <c r="H1265" t="s">
        <v>4075</v>
      </c>
      <c r="I1265">
        <v>47.71105</v>
      </c>
      <c r="J1265">
        <v>-122.188721</v>
      </c>
      <c r="K1265" t="s">
        <v>3936</v>
      </c>
      <c r="L1265" t="s">
        <v>3946</v>
      </c>
      <c r="M1265" t="s">
        <v>3948</v>
      </c>
      <c r="P1265" t="s">
        <v>6066</v>
      </c>
    </row>
    <row r="1266" spans="1:16" x14ac:dyDescent="0.2">
      <c r="A1266" t="s">
        <v>1667</v>
      </c>
      <c r="B1266" t="s">
        <v>3632</v>
      </c>
      <c r="C1266" t="s">
        <v>2506</v>
      </c>
      <c r="D1266" t="s">
        <v>2307</v>
      </c>
      <c r="E1266">
        <v>98034</v>
      </c>
      <c r="F1266" t="s">
        <v>1658</v>
      </c>
      <c r="G1266" t="s">
        <v>1994</v>
      </c>
      <c r="H1266" t="s">
        <v>4076</v>
      </c>
      <c r="I1266">
        <v>47.703896</v>
      </c>
      <c r="J1266">
        <v>-122.178162</v>
      </c>
      <c r="K1266" t="s">
        <v>3936</v>
      </c>
      <c r="L1266" t="s">
        <v>3946</v>
      </c>
      <c r="M1266" t="s">
        <v>3948</v>
      </c>
      <c r="P1266" t="s">
        <v>3632</v>
      </c>
    </row>
    <row r="1267" spans="1:16" x14ac:dyDescent="0.2">
      <c r="A1267" t="s">
        <v>1683</v>
      </c>
      <c r="B1267" t="s">
        <v>3491</v>
      </c>
      <c r="C1267" t="s">
        <v>386</v>
      </c>
      <c r="D1267" t="s">
        <v>2307</v>
      </c>
      <c r="E1267">
        <v>98133</v>
      </c>
      <c r="F1267" t="s">
        <v>1577</v>
      </c>
      <c r="G1267" t="s">
        <v>1973</v>
      </c>
      <c r="H1267" t="s">
        <v>4077</v>
      </c>
      <c r="I1267">
        <v>47.761727999999998</v>
      </c>
      <c r="J1267">
        <v>-122.34602099999999</v>
      </c>
      <c r="K1267" t="s">
        <v>3936</v>
      </c>
      <c r="L1267" t="s">
        <v>3946</v>
      </c>
      <c r="M1267" t="s">
        <v>3948</v>
      </c>
      <c r="P1267" t="s">
        <v>3491</v>
      </c>
    </row>
    <row r="1268" spans="1:16" x14ac:dyDescent="0.2">
      <c r="A1268" t="s">
        <v>1684</v>
      </c>
      <c r="B1268" t="s">
        <v>3633</v>
      </c>
      <c r="C1268" t="s">
        <v>2574</v>
      </c>
      <c r="D1268" t="s">
        <v>2307</v>
      </c>
      <c r="E1268">
        <v>98155</v>
      </c>
      <c r="F1268" t="s">
        <v>1575</v>
      </c>
      <c r="G1268" t="s">
        <v>1968</v>
      </c>
      <c r="H1268" t="s">
        <v>4078</v>
      </c>
      <c r="I1268">
        <v>47.755564</v>
      </c>
      <c r="J1268">
        <v>-122.27951</v>
      </c>
      <c r="K1268" t="s">
        <v>3936</v>
      </c>
      <c r="L1268" t="s">
        <v>3946</v>
      </c>
      <c r="M1268" t="s">
        <v>3948</v>
      </c>
      <c r="P1268" t="s">
        <v>3633</v>
      </c>
    </row>
    <row r="1269" spans="1:16" x14ac:dyDescent="0.2">
      <c r="A1269" t="s">
        <v>1685</v>
      </c>
      <c r="B1269" t="s">
        <v>3634</v>
      </c>
      <c r="C1269" t="s">
        <v>2506</v>
      </c>
      <c r="D1269" t="s">
        <v>2307</v>
      </c>
      <c r="E1269">
        <v>98033</v>
      </c>
      <c r="F1269" t="s">
        <v>1587</v>
      </c>
      <c r="G1269" t="s">
        <v>1989</v>
      </c>
      <c r="H1269" t="s">
        <v>5090</v>
      </c>
      <c r="I1269">
        <v>47.703048000000003</v>
      </c>
      <c r="J1269">
        <v>-122.175664</v>
      </c>
      <c r="K1269" t="s">
        <v>3936</v>
      </c>
      <c r="L1269" t="s">
        <v>3946</v>
      </c>
      <c r="M1269" t="s">
        <v>3948</v>
      </c>
      <c r="P1269" t="s">
        <v>5688</v>
      </c>
    </row>
    <row r="1270" spans="1:16" x14ac:dyDescent="0.2">
      <c r="A1270" t="s">
        <v>1572</v>
      </c>
      <c r="B1270" t="s">
        <v>6265</v>
      </c>
      <c r="C1270" t="s">
        <v>2586</v>
      </c>
      <c r="D1270" t="s">
        <v>2307</v>
      </c>
      <c r="E1270">
        <v>98052</v>
      </c>
      <c r="F1270" t="s">
        <v>1573</v>
      </c>
      <c r="G1270" t="s">
        <v>1973</v>
      </c>
      <c r="H1270" t="s">
        <v>4079</v>
      </c>
      <c r="I1270">
        <v>47.637397</v>
      </c>
      <c r="J1270">
        <v>-122.143002</v>
      </c>
      <c r="K1270" t="s">
        <v>3936</v>
      </c>
      <c r="L1270" t="s">
        <v>3946</v>
      </c>
      <c r="M1270" t="s">
        <v>3948</v>
      </c>
      <c r="P1270" t="s">
        <v>6067</v>
      </c>
    </row>
    <row r="1271" spans="1:16" x14ac:dyDescent="0.2">
      <c r="A1271" t="s">
        <v>1597</v>
      </c>
      <c r="B1271" t="s">
        <v>3635</v>
      </c>
      <c r="C1271" t="s">
        <v>2502</v>
      </c>
      <c r="D1271" t="s">
        <v>2307</v>
      </c>
      <c r="E1271">
        <v>98007</v>
      </c>
      <c r="F1271" t="s">
        <v>1573</v>
      </c>
      <c r="G1271" t="s">
        <v>1990</v>
      </c>
      <c r="H1271" t="s">
        <v>5795</v>
      </c>
      <c r="I1271">
        <v>47.623421</v>
      </c>
      <c r="J1271">
        <v>-122.132492</v>
      </c>
      <c r="K1271" t="s">
        <v>3936</v>
      </c>
      <c r="L1271" t="s">
        <v>3946</v>
      </c>
      <c r="M1271" t="s">
        <v>3948</v>
      </c>
      <c r="P1271" t="s">
        <v>5571</v>
      </c>
    </row>
    <row r="1272" spans="1:16" x14ac:dyDescent="0.2">
      <c r="A1272" t="s">
        <v>1686</v>
      </c>
      <c r="B1272" t="s">
        <v>2590</v>
      </c>
      <c r="C1272" t="s">
        <v>2586</v>
      </c>
      <c r="D1272" t="s">
        <v>2307</v>
      </c>
      <c r="E1272">
        <v>98052</v>
      </c>
      <c r="F1272" t="s">
        <v>1573</v>
      </c>
      <c r="G1272" t="s">
        <v>2001</v>
      </c>
      <c r="H1272" t="s">
        <v>5569</v>
      </c>
      <c r="I1272">
        <v>47.631388999999999</v>
      </c>
      <c r="J1272">
        <v>-122.140092</v>
      </c>
      <c r="K1272" t="s">
        <v>3936</v>
      </c>
      <c r="L1272" t="s">
        <v>3946</v>
      </c>
      <c r="M1272" t="s">
        <v>3948</v>
      </c>
      <c r="P1272" t="s">
        <v>2590</v>
      </c>
    </row>
    <row r="1273" spans="1:16" x14ac:dyDescent="0.2">
      <c r="A1273" t="s">
        <v>1687</v>
      </c>
      <c r="B1273" t="s">
        <v>3636</v>
      </c>
      <c r="C1273" t="s">
        <v>2599</v>
      </c>
      <c r="D1273" t="s">
        <v>2307</v>
      </c>
      <c r="E1273">
        <v>98028</v>
      </c>
      <c r="F1273" t="s">
        <v>1573</v>
      </c>
      <c r="G1273" t="s">
        <v>1989</v>
      </c>
      <c r="H1273" t="s">
        <v>3975</v>
      </c>
      <c r="I1273">
        <v>47.751449999999998</v>
      </c>
      <c r="J1273">
        <v>-122.249375</v>
      </c>
      <c r="K1273" t="s">
        <v>3936</v>
      </c>
      <c r="L1273" t="s">
        <v>3946</v>
      </c>
      <c r="M1273" t="s">
        <v>3948</v>
      </c>
      <c r="P1273" t="s">
        <v>3636</v>
      </c>
    </row>
    <row r="1274" spans="1:16" x14ac:dyDescent="0.2">
      <c r="A1274" t="s">
        <v>1688</v>
      </c>
      <c r="B1274" t="s">
        <v>3637</v>
      </c>
      <c r="C1274" t="s">
        <v>2586</v>
      </c>
      <c r="D1274" t="s">
        <v>2307</v>
      </c>
      <c r="E1274">
        <v>98052</v>
      </c>
      <c r="F1274" t="s">
        <v>1583</v>
      </c>
      <c r="G1274" t="s">
        <v>1980</v>
      </c>
      <c r="H1274" t="s">
        <v>5184</v>
      </c>
      <c r="I1274">
        <v>47.631700000000002</v>
      </c>
      <c r="J1274">
        <v>-122.136556</v>
      </c>
      <c r="K1274" t="s">
        <v>3936</v>
      </c>
      <c r="L1274" t="s">
        <v>3946</v>
      </c>
      <c r="M1274" t="s">
        <v>3948</v>
      </c>
      <c r="P1274" t="s">
        <v>3637</v>
      </c>
    </row>
    <row r="1275" spans="1:16" x14ac:dyDescent="0.2">
      <c r="A1275" t="s">
        <v>1689</v>
      </c>
      <c r="B1275" t="s">
        <v>3638</v>
      </c>
      <c r="C1275" t="s">
        <v>2502</v>
      </c>
      <c r="D1275" t="s">
        <v>2307</v>
      </c>
      <c r="E1275">
        <v>98008</v>
      </c>
      <c r="F1275" t="s">
        <v>1575</v>
      </c>
      <c r="G1275" t="s">
        <v>1968</v>
      </c>
      <c r="H1275" t="s">
        <v>5091</v>
      </c>
      <c r="I1275">
        <v>47.617179999999998</v>
      </c>
      <c r="J1275">
        <v>-122.13212799999999</v>
      </c>
      <c r="K1275" t="s">
        <v>3936</v>
      </c>
      <c r="L1275" t="s">
        <v>3946</v>
      </c>
      <c r="M1275" t="s">
        <v>3948</v>
      </c>
      <c r="P1275" t="s">
        <v>3638</v>
      </c>
    </row>
    <row r="1276" spans="1:16" x14ac:dyDescent="0.2">
      <c r="A1276" t="s">
        <v>1690</v>
      </c>
      <c r="B1276" t="s">
        <v>3639</v>
      </c>
      <c r="C1276" t="s">
        <v>2502</v>
      </c>
      <c r="D1276" t="s">
        <v>2307</v>
      </c>
      <c r="E1276">
        <v>98007</v>
      </c>
      <c r="F1276" t="s">
        <v>1604</v>
      </c>
      <c r="G1276" t="s">
        <v>1984</v>
      </c>
      <c r="H1276" t="s">
        <v>5185</v>
      </c>
      <c r="I1276">
        <v>47.581364000000001</v>
      </c>
      <c r="J1276">
        <v>-122.141571</v>
      </c>
      <c r="K1276" t="s">
        <v>3936</v>
      </c>
      <c r="L1276" t="s">
        <v>3946</v>
      </c>
      <c r="M1276" t="s">
        <v>3948</v>
      </c>
      <c r="P1276" t="s">
        <v>5662</v>
      </c>
    </row>
    <row r="1277" spans="1:16" x14ac:dyDescent="0.2">
      <c r="A1277" t="s">
        <v>1691</v>
      </c>
      <c r="B1277" t="s">
        <v>3640</v>
      </c>
      <c r="C1277" t="s">
        <v>2586</v>
      </c>
      <c r="D1277" t="s">
        <v>2307</v>
      </c>
      <c r="E1277">
        <v>98052</v>
      </c>
      <c r="F1277" t="s">
        <v>1658</v>
      </c>
      <c r="G1277" t="s">
        <v>1971</v>
      </c>
      <c r="H1277" t="s">
        <v>5153</v>
      </c>
      <c r="I1277">
        <v>47.669423999999999</v>
      </c>
      <c r="J1277">
        <v>-122.13007399999999</v>
      </c>
      <c r="K1277" t="s">
        <v>3936</v>
      </c>
      <c r="L1277" t="s">
        <v>3946</v>
      </c>
      <c r="M1277" t="s">
        <v>3948</v>
      </c>
      <c r="P1277" t="s">
        <v>3640</v>
      </c>
    </row>
    <row r="1278" spans="1:16" x14ac:dyDescent="0.2">
      <c r="A1278" t="s">
        <v>1692</v>
      </c>
      <c r="B1278" t="s">
        <v>3641</v>
      </c>
      <c r="C1278" t="s">
        <v>66</v>
      </c>
      <c r="D1278" t="s">
        <v>2307</v>
      </c>
      <c r="E1278">
        <v>98178</v>
      </c>
      <c r="F1278" t="s">
        <v>1587</v>
      </c>
      <c r="G1278" t="s">
        <v>1979</v>
      </c>
      <c r="H1278" t="s">
        <v>4080</v>
      </c>
      <c r="I1278">
        <v>47.496788000000002</v>
      </c>
      <c r="J1278">
        <v>-122.24478999999999</v>
      </c>
      <c r="K1278" t="s">
        <v>3936</v>
      </c>
      <c r="L1278" t="s">
        <v>3946</v>
      </c>
      <c r="M1278" t="s">
        <v>3948</v>
      </c>
      <c r="P1278" t="s">
        <v>3641</v>
      </c>
    </row>
    <row r="1279" spans="1:16" x14ac:dyDescent="0.2">
      <c r="A1279" t="s">
        <v>1693</v>
      </c>
      <c r="B1279" t="s">
        <v>3642</v>
      </c>
      <c r="C1279" t="s">
        <v>2627</v>
      </c>
      <c r="D1279" t="s">
        <v>2307</v>
      </c>
      <c r="E1279">
        <v>98026</v>
      </c>
      <c r="F1279" t="s">
        <v>1587</v>
      </c>
      <c r="G1279" t="s">
        <v>1989</v>
      </c>
      <c r="H1279" t="s">
        <v>4081</v>
      </c>
      <c r="I1279">
        <v>47.777940000000001</v>
      </c>
      <c r="J1279">
        <v>-122.346598</v>
      </c>
      <c r="K1279" t="s">
        <v>3936</v>
      </c>
      <c r="L1279" t="s">
        <v>3946</v>
      </c>
      <c r="M1279" t="s">
        <v>3948</v>
      </c>
      <c r="P1279" t="s">
        <v>5690</v>
      </c>
    </row>
    <row r="1280" spans="1:16" x14ac:dyDescent="0.2">
      <c r="A1280" t="s">
        <v>1694</v>
      </c>
      <c r="B1280" t="s">
        <v>2632</v>
      </c>
      <c r="C1280" t="s">
        <v>2627</v>
      </c>
      <c r="D1280" t="s">
        <v>2307</v>
      </c>
      <c r="E1280">
        <v>98020</v>
      </c>
      <c r="F1280" t="s">
        <v>1591</v>
      </c>
      <c r="G1280" t="s">
        <v>1969</v>
      </c>
      <c r="H1280" t="s">
        <v>4082</v>
      </c>
      <c r="I1280">
        <v>47.778422999999997</v>
      </c>
      <c r="J1280">
        <v>-122.3627</v>
      </c>
      <c r="K1280" t="s">
        <v>3936</v>
      </c>
      <c r="L1280" t="s">
        <v>3946</v>
      </c>
      <c r="M1280" t="s">
        <v>3948</v>
      </c>
      <c r="P1280" t="s">
        <v>2632</v>
      </c>
    </row>
    <row r="1281" spans="1:16" x14ac:dyDescent="0.2">
      <c r="A1281" t="s">
        <v>1695</v>
      </c>
      <c r="B1281" t="s">
        <v>3643</v>
      </c>
      <c r="C1281" t="s">
        <v>2627</v>
      </c>
      <c r="D1281" t="s">
        <v>2307</v>
      </c>
      <c r="E1281">
        <v>98026</v>
      </c>
      <c r="F1281" t="s">
        <v>1591</v>
      </c>
      <c r="G1281" t="s">
        <v>1969</v>
      </c>
      <c r="H1281" t="s">
        <v>5093</v>
      </c>
      <c r="I1281">
        <v>47.781305000000003</v>
      </c>
      <c r="J1281">
        <v>-122.344893</v>
      </c>
      <c r="K1281" t="s">
        <v>3936</v>
      </c>
      <c r="L1281" t="s">
        <v>3946</v>
      </c>
      <c r="M1281" t="s">
        <v>3948</v>
      </c>
      <c r="P1281" t="s">
        <v>3643</v>
      </c>
    </row>
    <row r="1282" spans="1:16" x14ac:dyDescent="0.2">
      <c r="A1282" t="s">
        <v>1696</v>
      </c>
      <c r="B1282" t="s">
        <v>3644</v>
      </c>
      <c r="C1282" t="s">
        <v>2586</v>
      </c>
      <c r="D1282" t="s">
        <v>2307</v>
      </c>
      <c r="E1282">
        <v>98052</v>
      </c>
      <c r="F1282" t="s">
        <v>1575</v>
      </c>
      <c r="G1282" t="s">
        <v>1973</v>
      </c>
      <c r="H1282" t="s">
        <v>5389</v>
      </c>
      <c r="I1282">
        <v>47.674734000000001</v>
      </c>
      <c r="J1282">
        <v>-122.12262</v>
      </c>
      <c r="K1282" t="s">
        <v>3936</v>
      </c>
      <c r="L1282" t="s">
        <v>3946</v>
      </c>
      <c r="M1282" t="s">
        <v>3948</v>
      </c>
      <c r="P1282" t="s">
        <v>3644</v>
      </c>
    </row>
    <row r="1283" spans="1:16" x14ac:dyDescent="0.2">
      <c r="A1283" t="s">
        <v>1697</v>
      </c>
      <c r="B1283" t="s">
        <v>3494</v>
      </c>
      <c r="C1283" t="s">
        <v>2586</v>
      </c>
      <c r="D1283" t="s">
        <v>2307</v>
      </c>
      <c r="E1283">
        <v>98052</v>
      </c>
      <c r="F1283" t="s">
        <v>1577</v>
      </c>
      <c r="G1283" t="s">
        <v>1973</v>
      </c>
      <c r="H1283" t="s">
        <v>4083</v>
      </c>
      <c r="I1283">
        <v>47.670568000000003</v>
      </c>
      <c r="J1283">
        <v>-122.12035899999999</v>
      </c>
      <c r="K1283" t="s">
        <v>3936</v>
      </c>
      <c r="L1283" t="s">
        <v>3946</v>
      </c>
      <c r="M1283" t="s">
        <v>3948</v>
      </c>
      <c r="P1283" t="s">
        <v>3494</v>
      </c>
    </row>
    <row r="1284" spans="1:16" x14ac:dyDescent="0.2">
      <c r="A1284" t="s">
        <v>1698</v>
      </c>
      <c r="B1284" t="s">
        <v>3495</v>
      </c>
      <c r="C1284" t="s">
        <v>2586</v>
      </c>
      <c r="D1284" t="s">
        <v>2307</v>
      </c>
      <c r="E1284">
        <v>98059</v>
      </c>
      <c r="F1284" t="s">
        <v>1575</v>
      </c>
      <c r="G1284" t="s">
        <v>1971</v>
      </c>
      <c r="H1284" t="s">
        <v>3976</v>
      </c>
      <c r="I1284">
        <v>47.672727999999999</v>
      </c>
      <c r="J1284">
        <v>-122.121144</v>
      </c>
      <c r="K1284" t="s">
        <v>3936</v>
      </c>
      <c r="L1284" t="s">
        <v>3946</v>
      </c>
      <c r="M1284" t="s">
        <v>3948</v>
      </c>
      <c r="P1284" t="s">
        <v>5666</v>
      </c>
    </row>
    <row r="1285" spans="1:16" x14ac:dyDescent="0.2">
      <c r="A1285" t="s">
        <v>1699</v>
      </c>
      <c r="B1285" t="s">
        <v>3645</v>
      </c>
      <c r="C1285" t="s">
        <v>2586</v>
      </c>
      <c r="D1285" t="s">
        <v>2307</v>
      </c>
      <c r="E1285">
        <v>98052</v>
      </c>
      <c r="F1285" t="s">
        <v>1604</v>
      </c>
      <c r="G1285" t="s">
        <v>1979</v>
      </c>
      <c r="H1285" t="s">
        <v>5543</v>
      </c>
      <c r="I1285">
        <v>47.668598000000003</v>
      </c>
      <c r="J1285">
        <v>-122.119041</v>
      </c>
      <c r="K1285" t="s">
        <v>3936</v>
      </c>
      <c r="L1285" t="s">
        <v>3946</v>
      </c>
      <c r="M1285" t="s">
        <v>3948</v>
      </c>
      <c r="P1285" t="s">
        <v>5714</v>
      </c>
    </row>
    <row r="1286" spans="1:16" x14ac:dyDescent="0.2">
      <c r="A1286" t="s">
        <v>1700</v>
      </c>
      <c r="B1286" t="s">
        <v>3646</v>
      </c>
      <c r="C1286" t="s">
        <v>2586</v>
      </c>
      <c r="D1286" t="s">
        <v>2307</v>
      </c>
      <c r="E1286">
        <v>98052</v>
      </c>
      <c r="F1286" t="s">
        <v>1587</v>
      </c>
      <c r="G1286" t="s">
        <v>1971</v>
      </c>
      <c r="H1286" t="s">
        <v>4084</v>
      </c>
      <c r="I1286">
        <v>47.672561000000002</v>
      </c>
      <c r="J1286">
        <v>-122.117401</v>
      </c>
      <c r="K1286" t="s">
        <v>3936</v>
      </c>
      <c r="L1286" t="s">
        <v>3946</v>
      </c>
      <c r="M1286" t="s">
        <v>3948</v>
      </c>
      <c r="P1286" t="s">
        <v>3646</v>
      </c>
    </row>
    <row r="1287" spans="1:16" x14ac:dyDescent="0.2">
      <c r="A1287" t="s">
        <v>1701</v>
      </c>
      <c r="B1287" t="s">
        <v>3647</v>
      </c>
      <c r="C1287" t="s">
        <v>2581</v>
      </c>
      <c r="D1287" t="s">
        <v>2307</v>
      </c>
      <c r="E1287">
        <v>98166</v>
      </c>
      <c r="F1287" t="s">
        <v>1575</v>
      </c>
      <c r="G1287" t="s">
        <v>1981</v>
      </c>
      <c r="H1287" t="s">
        <v>4085</v>
      </c>
      <c r="I1287">
        <v>47.473092999999999</v>
      </c>
      <c r="J1287">
        <v>-122.347489</v>
      </c>
      <c r="K1287" t="s">
        <v>3936</v>
      </c>
      <c r="L1287" t="s">
        <v>3946</v>
      </c>
      <c r="M1287" t="s">
        <v>3948</v>
      </c>
      <c r="P1287" t="s">
        <v>3647</v>
      </c>
    </row>
    <row r="1288" spans="1:16" x14ac:dyDescent="0.2">
      <c r="A1288" t="s">
        <v>1597</v>
      </c>
      <c r="B1288" t="s">
        <v>2650</v>
      </c>
      <c r="C1288" t="s">
        <v>2597</v>
      </c>
      <c r="D1288" t="s">
        <v>2307</v>
      </c>
      <c r="E1288">
        <v>98055</v>
      </c>
      <c r="F1288" t="s">
        <v>1573</v>
      </c>
      <c r="G1288" t="s">
        <v>1990</v>
      </c>
      <c r="H1288" t="s">
        <v>4086</v>
      </c>
      <c r="I1288">
        <v>47.503585000000001</v>
      </c>
      <c r="J1288">
        <v>-122.199714</v>
      </c>
      <c r="K1288" t="s">
        <v>3936</v>
      </c>
      <c r="L1288" t="s">
        <v>3946</v>
      </c>
      <c r="M1288" t="s">
        <v>3948</v>
      </c>
      <c r="P1288" t="s">
        <v>2650</v>
      </c>
    </row>
    <row r="1289" spans="1:16" x14ac:dyDescent="0.2">
      <c r="A1289" t="s">
        <v>1702</v>
      </c>
      <c r="B1289" t="s">
        <v>3648</v>
      </c>
      <c r="C1289" t="s">
        <v>2548</v>
      </c>
      <c r="D1289" t="s">
        <v>2307</v>
      </c>
      <c r="E1289">
        <v>98011</v>
      </c>
      <c r="F1289" t="s">
        <v>1587</v>
      </c>
      <c r="G1289" t="s">
        <v>1997</v>
      </c>
      <c r="H1289" t="s">
        <v>4087</v>
      </c>
      <c r="I1289">
        <v>47.76</v>
      </c>
      <c r="J1289">
        <v>-122.205044</v>
      </c>
      <c r="K1289" t="s">
        <v>3936</v>
      </c>
      <c r="L1289" t="s">
        <v>3946</v>
      </c>
      <c r="M1289" t="s">
        <v>3948</v>
      </c>
      <c r="P1289" t="s">
        <v>3648</v>
      </c>
    </row>
    <row r="1290" spans="1:16" x14ac:dyDescent="0.2">
      <c r="A1290" t="s">
        <v>1703</v>
      </c>
      <c r="B1290" t="s">
        <v>3649</v>
      </c>
      <c r="C1290" t="s">
        <v>2586</v>
      </c>
      <c r="D1290" t="s">
        <v>2307</v>
      </c>
      <c r="E1290">
        <v>98052</v>
      </c>
      <c r="F1290" t="s">
        <v>1575</v>
      </c>
      <c r="G1290" t="s">
        <v>1973</v>
      </c>
      <c r="H1290" t="s">
        <v>3977</v>
      </c>
      <c r="I1290">
        <v>47.670851999999996</v>
      </c>
      <c r="J1290">
        <v>-122.111698</v>
      </c>
      <c r="K1290" t="s">
        <v>3936</v>
      </c>
      <c r="L1290" t="s">
        <v>3946</v>
      </c>
      <c r="M1290" t="s">
        <v>3948</v>
      </c>
      <c r="P1290" t="s">
        <v>3649</v>
      </c>
    </row>
    <row r="1291" spans="1:16" x14ac:dyDescent="0.2">
      <c r="A1291" t="s">
        <v>1597</v>
      </c>
      <c r="B1291" t="s">
        <v>3650</v>
      </c>
      <c r="C1291" t="s">
        <v>2581</v>
      </c>
      <c r="D1291" t="s">
        <v>2307</v>
      </c>
      <c r="E1291">
        <v>98166</v>
      </c>
      <c r="F1291" t="s">
        <v>1573</v>
      </c>
      <c r="G1291" t="s">
        <v>1990</v>
      </c>
      <c r="H1291" t="s">
        <v>5025</v>
      </c>
      <c r="I1291">
        <v>47.470291000000003</v>
      </c>
      <c r="J1291">
        <v>-122.334281</v>
      </c>
      <c r="K1291" t="s">
        <v>3936</v>
      </c>
      <c r="L1291" t="s">
        <v>3946</v>
      </c>
      <c r="M1291" t="s">
        <v>3948</v>
      </c>
      <c r="P1291" t="s">
        <v>3650</v>
      </c>
    </row>
    <row r="1292" spans="1:16" x14ac:dyDescent="0.2">
      <c r="A1292" t="s">
        <v>1704</v>
      </c>
      <c r="B1292" t="s">
        <v>3651</v>
      </c>
      <c r="C1292" t="s">
        <v>2581</v>
      </c>
      <c r="D1292" t="s">
        <v>2307</v>
      </c>
      <c r="E1292">
        <v>98166</v>
      </c>
      <c r="F1292" t="s">
        <v>1600</v>
      </c>
      <c r="G1292" t="s">
        <v>1998</v>
      </c>
      <c r="H1292" t="s">
        <v>5349</v>
      </c>
      <c r="I1292">
        <v>47.470342000000002</v>
      </c>
      <c r="J1292">
        <v>-122.345888</v>
      </c>
      <c r="K1292" t="s">
        <v>3936</v>
      </c>
      <c r="L1292" t="s">
        <v>3946</v>
      </c>
      <c r="M1292" t="s">
        <v>3948</v>
      </c>
      <c r="P1292" t="s">
        <v>3651</v>
      </c>
    </row>
    <row r="1293" spans="1:16" x14ac:dyDescent="0.2">
      <c r="A1293" t="s">
        <v>1705</v>
      </c>
      <c r="B1293" t="s">
        <v>3652</v>
      </c>
      <c r="C1293" t="s">
        <v>2548</v>
      </c>
      <c r="D1293" t="s">
        <v>2307</v>
      </c>
      <c r="E1293">
        <v>98011</v>
      </c>
      <c r="F1293" t="s">
        <v>1575</v>
      </c>
      <c r="G1293" t="s">
        <v>1989</v>
      </c>
      <c r="H1293" t="s">
        <v>4088</v>
      </c>
      <c r="I1293">
        <v>47.764465999999999</v>
      </c>
      <c r="J1293">
        <v>-122.20874999999999</v>
      </c>
      <c r="K1293" t="s">
        <v>3936</v>
      </c>
      <c r="L1293" t="s">
        <v>3946</v>
      </c>
      <c r="M1293" t="s">
        <v>3948</v>
      </c>
      <c r="P1293" t="s">
        <v>3652</v>
      </c>
    </row>
    <row r="1294" spans="1:16" x14ac:dyDescent="0.2">
      <c r="A1294" t="s">
        <v>1597</v>
      </c>
      <c r="B1294" t="s">
        <v>3653</v>
      </c>
      <c r="C1294" t="s">
        <v>2627</v>
      </c>
      <c r="D1294" t="s">
        <v>2307</v>
      </c>
      <c r="E1294">
        <v>98020</v>
      </c>
      <c r="F1294" t="s">
        <v>1573</v>
      </c>
      <c r="G1294" t="s">
        <v>1990</v>
      </c>
      <c r="H1294" t="s">
        <v>5026</v>
      </c>
      <c r="I1294">
        <v>47.790391</v>
      </c>
      <c r="J1294">
        <v>-122.365657</v>
      </c>
      <c r="K1294" t="s">
        <v>3936</v>
      </c>
      <c r="L1294" t="s">
        <v>3946</v>
      </c>
      <c r="M1294" t="s">
        <v>3948</v>
      </c>
      <c r="P1294" t="s">
        <v>3653</v>
      </c>
    </row>
    <row r="1295" spans="1:16" x14ac:dyDescent="0.2">
      <c r="A1295" t="s">
        <v>1706</v>
      </c>
      <c r="B1295" t="s">
        <v>3654</v>
      </c>
      <c r="C1295" t="s">
        <v>2597</v>
      </c>
      <c r="D1295" t="s">
        <v>2307</v>
      </c>
      <c r="E1295">
        <v>98057</v>
      </c>
      <c r="F1295" t="s">
        <v>1658</v>
      </c>
      <c r="G1295" t="s">
        <v>1999</v>
      </c>
      <c r="H1295" t="s">
        <v>5329</v>
      </c>
      <c r="I1295">
        <v>47.489989999999999</v>
      </c>
      <c r="J1295">
        <v>-122.21807099999999</v>
      </c>
      <c r="K1295" t="s">
        <v>3936</v>
      </c>
      <c r="L1295" t="s">
        <v>3946</v>
      </c>
      <c r="M1295" t="s">
        <v>3948</v>
      </c>
      <c r="P1295" t="s">
        <v>3654</v>
      </c>
    </row>
    <row r="1296" spans="1:16" x14ac:dyDescent="0.2">
      <c r="A1296" t="s">
        <v>1707</v>
      </c>
      <c r="B1296" t="s">
        <v>3655</v>
      </c>
      <c r="C1296" t="s">
        <v>2581</v>
      </c>
      <c r="D1296" t="s">
        <v>2307</v>
      </c>
      <c r="E1296">
        <v>98166</v>
      </c>
      <c r="F1296" t="s">
        <v>1587</v>
      </c>
      <c r="G1296" t="s">
        <v>1973</v>
      </c>
      <c r="H1296" t="s">
        <v>5213</v>
      </c>
      <c r="I1296">
        <v>47.466991</v>
      </c>
      <c r="J1296">
        <v>-122.336933</v>
      </c>
      <c r="K1296" t="s">
        <v>3936</v>
      </c>
      <c r="L1296" t="s">
        <v>3946</v>
      </c>
      <c r="M1296" t="s">
        <v>3948</v>
      </c>
      <c r="P1296" t="s">
        <v>3655</v>
      </c>
    </row>
    <row r="1297" spans="1:16" x14ac:dyDescent="0.2">
      <c r="A1297" t="s">
        <v>1708</v>
      </c>
      <c r="B1297" t="s">
        <v>3656</v>
      </c>
      <c r="C1297" t="s">
        <v>2581</v>
      </c>
      <c r="D1297" t="s">
        <v>2307</v>
      </c>
      <c r="E1297">
        <v>98166</v>
      </c>
      <c r="F1297" t="s">
        <v>1587</v>
      </c>
      <c r="G1297" t="s">
        <v>1973</v>
      </c>
      <c r="H1297" t="s">
        <v>4089</v>
      </c>
      <c r="I1297">
        <v>47.466625999999998</v>
      </c>
      <c r="J1297">
        <v>-122.341714</v>
      </c>
      <c r="K1297" t="s">
        <v>3936</v>
      </c>
      <c r="L1297" t="s">
        <v>3946</v>
      </c>
      <c r="M1297" t="s">
        <v>3948</v>
      </c>
      <c r="P1297" t="s">
        <v>3656</v>
      </c>
    </row>
    <row r="1298" spans="1:16" x14ac:dyDescent="0.2">
      <c r="A1298" t="s">
        <v>1709</v>
      </c>
      <c r="B1298" t="s">
        <v>3657</v>
      </c>
      <c r="C1298" t="s">
        <v>2581</v>
      </c>
      <c r="D1298" t="s">
        <v>2307</v>
      </c>
      <c r="E1298">
        <v>98166</v>
      </c>
      <c r="F1298" t="s">
        <v>1587</v>
      </c>
      <c r="G1298" t="s">
        <v>5390</v>
      </c>
      <c r="H1298" t="s">
        <v>5391</v>
      </c>
      <c r="I1298">
        <v>47.466901999999997</v>
      </c>
      <c r="J1298">
        <v>-122.34624100000001</v>
      </c>
      <c r="K1298" t="s">
        <v>3936</v>
      </c>
      <c r="L1298" t="s">
        <v>3946</v>
      </c>
      <c r="M1298" t="s">
        <v>3948</v>
      </c>
      <c r="P1298" t="s">
        <v>3657</v>
      </c>
    </row>
    <row r="1299" spans="1:16" x14ac:dyDescent="0.2">
      <c r="A1299" t="s">
        <v>1668</v>
      </c>
      <c r="B1299" t="s">
        <v>3658</v>
      </c>
      <c r="C1299" t="s">
        <v>2581</v>
      </c>
      <c r="D1299" t="s">
        <v>2307</v>
      </c>
      <c r="E1299">
        <v>98116</v>
      </c>
      <c r="F1299" t="s">
        <v>1573</v>
      </c>
      <c r="G1299" t="s">
        <v>1990</v>
      </c>
      <c r="H1299" t="s">
        <v>5520</v>
      </c>
      <c r="I1299">
        <v>47.466580999999998</v>
      </c>
      <c r="J1299">
        <v>-122.339426</v>
      </c>
      <c r="K1299" t="s">
        <v>3936</v>
      </c>
      <c r="L1299" t="s">
        <v>3946</v>
      </c>
      <c r="M1299" t="s">
        <v>3948</v>
      </c>
      <c r="P1299" t="s">
        <v>3658</v>
      </c>
    </row>
    <row r="1300" spans="1:16" x14ac:dyDescent="0.2">
      <c r="A1300" t="s">
        <v>1710</v>
      </c>
      <c r="B1300" t="s">
        <v>3659</v>
      </c>
      <c r="C1300" t="s">
        <v>2672</v>
      </c>
      <c r="D1300" t="s">
        <v>2307</v>
      </c>
      <c r="E1300">
        <v>98072</v>
      </c>
      <c r="F1300" t="s">
        <v>1587</v>
      </c>
      <c r="G1300" t="s">
        <v>1982</v>
      </c>
      <c r="H1300" t="s">
        <v>5392</v>
      </c>
      <c r="I1300">
        <v>47.732996</v>
      </c>
      <c r="J1300">
        <v>-122.14894099999999</v>
      </c>
      <c r="K1300" t="s">
        <v>3936</v>
      </c>
      <c r="L1300" t="s">
        <v>3946</v>
      </c>
      <c r="M1300" t="s">
        <v>3948</v>
      </c>
      <c r="P1300" t="s">
        <v>3659</v>
      </c>
    </row>
    <row r="1301" spans="1:16" x14ac:dyDescent="0.2">
      <c r="A1301" t="s">
        <v>1711</v>
      </c>
      <c r="B1301" t="s">
        <v>2664</v>
      </c>
      <c r="C1301" t="s">
        <v>2597</v>
      </c>
      <c r="D1301" t="s">
        <v>2307</v>
      </c>
      <c r="E1301">
        <v>98056</v>
      </c>
      <c r="F1301" t="s">
        <v>1600</v>
      </c>
      <c r="G1301" t="s">
        <v>1973</v>
      </c>
      <c r="H1301" t="s">
        <v>4090</v>
      </c>
      <c r="I1301">
        <v>47.501044</v>
      </c>
      <c r="J1301">
        <v>-122.18602</v>
      </c>
      <c r="K1301" t="s">
        <v>3936</v>
      </c>
      <c r="L1301" t="s">
        <v>3946</v>
      </c>
      <c r="M1301" t="s">
        <v>3948</v>
      </c>
      <c r="P1301" t="s">
        <v>2664</v>
      </c>
    </row>
    <row r="1302" spans="1:16" x14ac:dyDescent="0.2">
      <c r="A1302" t="s">
        <v>1713</v>
      </c>
      <c r="B1302" t="s">
        <v>3661</v>
      </c>
      <c r="C1302" t="s">
        <v>2597</v>
      </c>
      <c r="D1302" t="s">
        <v>2307</v>
      </c>
      <c r="E1302">
        <v>98056</v>
      </c>
      <c r="F1302" t="s">
        <v>1600</v>
      </c>
      <c r="G1302" t="s">
        <v>1989</v>
      </c>
      <c r="H1302" t="s">
        <v>4091</v>
      </c>
      <c r="I1302">
        <v>47.504511999999998</v>
      </c>
      <c r="J1302">
        <v>-122.17580599999999</v>
      </c>
      <c r="K1302" t="s">
        <v>3936</v>
      </c>
      <c r="L1302" t="s">
        <v>3946</v>
      </c>
      <c r="M1302" t="s">
        <v>3948</v>
      </c>
      <c r="P1302" t="s">
        <v>3661</v>
      </c>
    </row>
    <row r="1303" spans="1:16" x14ac:dyDescent="0.2">
      <c r="A1303" t="s">
        <v>1714</v>
      </c>
      <c r="B1303" t="s">
        <v>3662</v>
      </c>
      <c r="C1303" t="s">
        <v>2597</v>
      </c>
      <c r="D1303" t="s">
        <v>2307</v>
      </c>
      <c r="E1303">
        <v>98056</v>
      </c>
      <c r="F1303" t="s">
        <v>1575</v>
      </c>
      <c r="G1303" t="s">
        <v>1973</v>
      </c>
      <c r="H1303" t="s">
        <v>3978</v>
      </c>
      <c r="I1303">
        <v>47.504232000000002</v>
      </c>
      <c r="J1303">
        <v>-122.17657800000001</v>
      </c>
      <c r="K1303" t="s">
        <v>3936</v>
      </c>
      <c r="L1303" t="s">
        <v>3946</v>
      </c>
      <c r="M1303" t="s">
        <v>3948</v>
      </c>
      <c r="P1303" t="s">
        <v>3662</v>
      </c>
    </row>
    <row r="1304" spans="1:16" x14ac:dyDescent="0.2">
      <c r="A1304" t="s">
        <v>1668</v>
      </c>
      <c r="B1304" t="s">
        <v>3663</v>
      </c>
      <c r="C1304" t="s">
        <v>2597</v>
      </c>
      <c r="D1304" t="s">
        <v>2307</v>
      </c>
      <c r="E1304">
        <v>98056</v>
      </c>
      <c r="F1304" t="s">
        <v>1600</v>
      </c>
      <c r="G1304" t="s">
        <v>1982</v>
      </c>
      <c r="H1304" t="s">
        <v>5522</v>
      </c>
      <c r="I1304">
        <v>47.500190000000003</v>
      </c>
      <c r="J1304">
        <v>-122.18015699999999</v>
      </c>
      <c r="K1304" t="s">
        <v>3936</v>
      </c>
      <c r="L1304" t="s">
        <v>3946</v>
      </c>
      <c r="M1304" t="s">
        <v>3948</v>
      </c>
      <c r="P1304" t="s">
        <v>3663</v>
      </c>
    </row>
    <row r="1305" spans="1:16" x14ac:dyDescent="0.2">
      <c r="A1305" t="s">
        <v>1572</v>
      </c>
      <c r="B1305" t="s">
        <v>6266</v>
      </c>
      <c r="C1305" t="s">
        <v>3664</v>
      </c>
      <c r="D1305" t="s">
        <v>6267</v>
      </c>
      <c r="E1305">
        <v>98166</v>
      </c>
      <c r="F1305" t="s">
        <v>1573</v>
      </c>
      <c r="G1305" t="s">
        <v>1973</v>
      </c>
      <c r="H1305" t="s">
        <v>4092</v>
      </c>
      <c r="I1305">
        <v>47.462201</v>
      </c>
      <c r="J1305">
        <v>-122.335461</v>
      </c>
      <c r="K1305" t="s">
        <v>3936</v>
      </c>
      <c r="L1305" t="s">
        <v>3946</v>
      </c>
      <c r="M1305" t="s">
        <v>3948</v>
      </c>
      <c r="P1305" t="s">
        <v>6068</v>
      </c>
    </row>
    <row r="1306" spans="1:16" x14ac:dyDescent="0.2">
      <c r="A1306" t="s">
        <v>1686</v>
      </c>
      <c r="B1306" t="s">
        <v>3665</v>
      </c>
      <c r="C1306" t="s">
        <v>2581</v>
      </c>
      <c r="D1306" t="s">
        <v>2307</v>
      </c>
      <c r="E1306">
        <v>98148</v>
      </c>
      <c r="F1306" t="s">
        <v>1573</v>
      </c>
      <c r="G1306" t="s">
        <v>1990</v>
      </c>
      <c r="H1306" t="s">
        <v>5234</v>
      </c>
      <c r="I1306">
        <v>47.462088999999999</v>
      </c>
      <c r="J1306">
        <v>-122.333703</v>
      </c>
      <c r="K1306" t="s">
        <v>3936</v>
      </c>
      <c r="L1306" t="s">
        <v>3946</v>
      </c>
      <c r="M1306" t="s">
        <v>3948</v>
      </c>
      <c r="P1306" t="s">
        <v>3665</v>
      </c>
    </row>
    <row r="1307" spans="1:16" x14ac:dyDescent="0.2">
      <c r="A1307" t="s">
        <v>1595</v>
      </c>
      <c r="B1307" t="s">
        <v>3666</v>
      </c>
      <c r="C1307" t="s">
        <v>2636</v>
      </c>
      <c r="D1307" t="s">
        <v>2307</v>
      </c>
      <c r="E1307">
        <v>98188</v>
      </c>
      <c r="F1307" t="s">
        <v>1573</v>
      </c>
      <c r="G1307" t="s">
        <v>1990</v>
      </c>
      <c r="H1307" t="s">
        <v>5027</v>
      </c>
      <c r="I1307">
        <v>47.458240000000004</v>
      </c>
      <c r="J1307">
        <v>-122.255289</v>
      </c>
      <c r="K1307" t="s">
        <v>3936</v>
      </c>
      <c r="L1307" t="s">
        <v>3946</v>
      </c>
      <c r="M1307" t="s">
        <v>3948</v>
      </c>
      <c r="P1307" t="s">
        <v>3666</v>
      </c>
    </row>
    <row r="1308" spans="1:16" x14ac:dyDescent="0.2">
      <c r="A1308" t="s">
        <v>1715</v>
      </c>
      <c r="B1308" t="s">
        <v>3667</v>
      </c>
      <c r="C1308" t="s">
        <v>2581</v>
      </c>
      <c r="D1308" t="s">
        <v>2307</v>
      </c>
      <c r="E1308">
        <v>98166</v>
      </c>
      <c r="F1308" t="s">
        <v>1716</v>
      </c>
      <c r="G1308" t="s">
        <v>2000</v>
      </c>
      <c r="H1308" t="s">
        <v>4093</v>
      </c>
      <c r="I1308">
        <v>47.461978999999999</v>
      </c>
      <c r="J1308">
        <v>-122.33669399999999</v>
      </c>
      <c r="K1308" t="s">
        <v>3936</v>
      </c>
      <c r="L1308" t="s">
        <v>3946</v>
      </c>
      <c r="M1308" t="s">
        <v>3948</v>
      </c>
      <c r="P1308" t="s">
        <v>3667</v>
      </c>
    </row>
    <row r="1309" spans="1:16" x14ac:dyDescent="0.2">
      <c r="A1309" t="s">
        <v>1717</v>
      </c>
      <c r="B1309" t="s">
        <v>3668</v>
      </c>
      <c r="C1309" t="s">
        <v>2672</v>
      </c>
      <c r="D1309" t="s">
        <v>2307</v>
      </c>
      <c r="E1309">
        <v>98072</v>
      </c>
      <c r="F1309" t="s">
        <v>1604</v>
      </c>
      <c r="G1309" t="s">
        <v>1989</v>
      </c>
      <c r="H1309" t="s">
        <v>4094</v>
      </c>
      <c r="I1309">
        <v>47.731879999999997</v>
      </c>
      <c r="J1309">
        <v>-122.141268</v>
      </c>
      <c r="K1309" t="s">
        <v>3936</v>
      </c>
      <c r="L1309" t="s">
        <v>3946</v>
      </c>
      <c r="M1309" t="s">
        <v>3948</v>
      </c>
      <c r="P1309" t="s">
        <v>5686</v>
      </c>
    </row>
    <row r="1310" spans="1:16" x14ac:dyDescent="0.2">
      <c r="A1310" t="s">
        <v>1718</v>
      </c>
      <c r="B1310" t="s">
        <v>3669</v>
      </c>
      <c r="C1310" t="s">
        <v>2597</v>
      </c>
      <c r="D1310" t="s">
        <v>2307</v>
      </c>
      <c r="E1310">
        <v>98057</v>
      </c>
      <c r="F1310" t="s">
        <v>1575</v>
      </c>
      <c r="G1310" t="s">
        <v>1973</v>
      </c>
      <c r="H1310" t="s">
        <v>5330</v>
      </c>
      <c r="I1310">
        <v>47.483029000000002</v>
      </c>
      <c r="J1310">
        <v>-122.217111</v>
      </c>
      <c r="K1310" t="s">
        <v>3936</v>
      </c>
      <c r="L1310" t="s">
        <v>3946</v>
      </c>
      <c r="M1310" t="s">
        <v>3948</v>
      </c>
      <c r="P1310" t="s">
        <v>3669</v>
      </c>
    </row>
    <row r="1311" spans="1:16" x14ac:dyDescent="0.2">
      <c r="A1311" t="s">
        <v>1719</v>
      </c>
      <c r="B1311" t="s">
        <v>3670</v>
      </c>
      <c r="C1311" t="s">
        <v>2597</v>
      </c>
      <c r="D1311" t="s">
        <v>2307</v>
      </c>
      <c r="E1311">
        <v>98055</v>
      </c>
      <c r="F1311" t="s">
        <v>1587</v>
      </c>
      <c r="G1311" t="s">
        <v>1982</v>
      </c>
      <c r="H1311" t="s">
        <v>4095</v>
      </c>
      <c r="I1311">
        <v>47.487586</v>
      </c>
      <c r="J1311">
        <v>-122.202403</v>
      </c>
      <c r="K1311" t="s">
        <v>3936</v>
      </c>
      <c r="L1311" t="s">
        <v>3946</v>
      </c>
      <c r="M1311" t="s">
        <v>3948</v>
      </c>
      <c r="P1311" t="s">
        <v>3670</v>
      </c>
    </row>
    <row r="1312" spans="1:16" x14ac:dyDescent="0.2">
      <c r="A1312" t="s">
        <v>1572</v>
      </c>
      <c r="B1312" t="s">
        <v>6268</v>
      </c>
      <c r="C1312" t="s">
        <v>2668</v>
      </c>
      <c r="D1312" t="s">
        <v>2307</v>
      </c>
      <c r="E1312">
        <v>98043</v>
      </c>
      <c r="F1312" t="s">
        <v>1573</v>
      </c>
      <c r="G1312" t="s">
        <v>1973</v>
      </c>
      <c r="H1312" t="s">
        <v>4096</v>
      </c>
      <c r="I1312">
        <v>47.799368000000001</v>
      </c>
      <c r="J1312">
        <v>-122.321776</v>
      </c>
      <c r="K1312" t="s">
        <v>3936</v>
      </c>
      <c r="L1312" t="s">
        <v>3946</v>
      </c>
      <c r="M1312" t="s">
        <v>3948</v>
      </c>
      <c r="P1312" t="s">
        <v>6069</v>
      </c>
    </row>
    <row r="1313" spans="1:16" x14ac:dyDescent="0.2">
      <c r="A1313" t="s">
        <v>1570</v>
      </c>
      <c r="B1313" t="s">
        <v>2682</v>
      </c>
      <c r="C1313" t="s">
        <v>2636</v>
      </c>
      <c r="D1313" t="s">
        <v>2307</v>
      </c>
      <c r="E1313">
        <v>98188</v>
      </c>
      <c r="F1313" t="s">
        <v>1571</v>
      </c>
      <c r="G1313" t="s">
        <v>1982</v>
      </c>
      <c r="H1313" t="s">
        <v>4097</v>
      </c>
      <c r="I1313">
        <v>47.468601999999997</v>
      </c>
      <c r="J1313">
        <v>-122.249653</v>
      </c>
      <c r="K1313" t="s">
        <v>3936</v>
      </c>
      <c r="L1313" t="s">
        <v>3946</v>
      </c>
      <c r="M1313" t="s">
        <v>3948</v>
      </c>
      <c r="P1313" t="s">
        <v>2682</v>
      </c>
    </row>
    <row r="1314" spans="1:16" x14ac:dyDescent="0.2">
      <c r="A1314" t="s">
        <v>1720</v>
      </c>
      <c r="B1314" t="s">
        <v>3671</v>
      </c>
      <c r="C1314" t="s">
        <v>2672</v>
      </c>
      <c r="D1314" t="s">
        <v>2307</v>
      </c>
      <c r="E1314">
        <v>98072</v>
      </c>
      <c r="F1314" t="s">
        <v>1604</v>
      </c>
      <c r="G1314" t="s">
        <v>1987</v>
      </c>
      <c r="H1314" t="s">
        <v>5331</v>
      </c>
      <c r="I1314">
        <v>47.755023999999999</v>
      </c>
      <c r="J1314">
        <v>-122.163269</v>
      </c>
      <c r="K1314" t="s">
        <v>3936</v>
      </c>
      <c r="L1314" t="s">
        <v>3946</v>
      </c>
      <c r="M1314" t="s">
        <v>3948</v>
      </c>
      <c r="P1314" t="s">
        <v>5667</v>
      </c>
    </row>
    <row r="1315" spans="1:16" x14ac:dyDescent="0.2">
      <c r="A1315" t="s">
        <v>1721</v>
      </c>
      <c r="B1315" t="s">
        <v>3672</v>
      </c>
      <c r="C1315" t="s">
        <v>2597</v>
      </c>
      <c r="D1315" t="s">
        <v>2307</v>
      </c>
      <c r="E1315">
        <v>98059</v>
      </c>
      <c r="F1315" t="s">
        <v>1575</v>
      </c>
      <c r="G1315" t="s">
        <v>1973</v>
      </c>
      <c r="H1315" t="s">
        <v>5214</v>
      </c>
      <c r="I1315">
        <v>47.504058000000001</v>
      </c>
      <c r="J1315">
        <v>-122.164468</v>
      </c>
      <c r="K1315" t="s">
        <v>3936</v>
      </c>
      <c r="L1315" t="s">
        <v>3946</v>
      </c>
      <c r="M1315" t="s">
        <v>3948</v>
      </c>
      <c r="P1315" t="s">
        <v>3672</v>
      </c>
    </row>
    <row r="1316" spans="1:16" x14ac:dyDescent="0.2">
      <c r="A1316" t="s">
        <v>1722</v>
      </c>
      <c r="B1316" t="s">
        <v>3673</v>
      </c>
      <c r="C1316" t="s">
        <v>2597</v>
      </c>
      <c r="D1316" t="s">
        <v>2307</v>
      </c>
      <c r="E1316">
        <v>98059</v>
      </c>
      <c r="F1316" t="s">
        <v>1587</v>
      </c>
      <c r="G1316" t="s">
        <v>1981</v>
      </c>
      <c r="H1316" t="s">
        <v>4098</v>
      </c>
      <c r="I1316">
        <v>47.504117999999998</v>
      </c>
      <c r="J1316">
        <v>-122.164468</v>
      </c>
      <c r="K1316" t="s">
        <v>3936</v>
      </c>
      <c r="L1316" t="s">
        <v>3946</v>
      </c>
      <c r="M1316" t="s">
        <v>3948</v>
      </c>
      <c r="P1316" t="s">
        <v>3673</v>
      </c>
    </row>
    <row r="1317" spans="1:16" x14ac:dyDescent="0.2">
      <c r="A1317" t="s">
        <v>1723</v>
      </c>
      <c r="B1317" t="s">
        <v>3674</v>
      </c>
      <c r="C1317" t="s">
        <v>2597</v>
      </c>
      <c r="D1317" t="s">
        <v>2307</v>
      </c>
      <c r="E1317">
        <v>98057</v>
      </c>
      <c r="F1317" t="s">
        <v>1587</v>
      </c>
      <c r="G1317" t="s">
        <v>1979</v>
      </c>
      <c r="H1317" t="s">
        <v>4099</v>
      </c>
      <c r="I1317">
        <v>47.481073000000002</v>
      </c>
      <c r="J1317">
        <v>-122.20683</v>
      </c>
      <c r="K1317" t="s">
        <v>3936</v>
      </c>
      <c r="L1317" t="s">
        <v>3946</v>
      </c>
      <c r="M1317" t="s">
        <v>3948</v>
      </c>
      <c r="P1317" t="s">
        <v>3674</v>
      </c>
    </row>
    <row r="1318" spans="1:16" x14ac:dyDescent="0.2">
      <c r="A1318" t="s">
        <v>1724</v>
      </c>
      <c r="B1318" t="s">
        <v>3675</v>
      </c>
      <c r="C1318" t="s">
        <v>2597</v>
      </c>
      <c r="D1318" t="s">
        <v>2307</v>
      </c>
      <c r="E1318">
        <v>98057</v>
      </c>
      <c r="F1318" t="s">
        <v>1591</v>
      </c>
      <c r="G1318" t="s">
        <v>1969</v>
      </c>
      <c r="H1318" t="s">
        <v>5395</v>
      </c>
      <c r="I1318">
        <v>47.479847999999997</v>
      </c>
      <c r="J1318">
        <v>-122.206439</v>
      </c>
      <c r="K1318" t="s">
        <v>3936</v>
      </c>
      <c r="L1318" t="s">
        <v>3946</v>
      </c>
      <c r="M1318" t="s">
        <v>3948</v>
      </c>
      <c r="P1318" t="s">
        <v>3675</v>
      </c>
    </row>
    <row r="1319" spans="1:16" x14ac:dyDescent="0.2">
      <c r="A1319" t="s">
        <v>1725</v>
      </c>
      <c r="B1319" t="s">
        <v>3676</v>
      </c>
      <c r="C1319" t="s">
        <v>2597</v>
      </c>
      <c r="D1319" t="s">
        <v>2307</v>
      </c>
      <c r="E1319">
        <v>98057</v>
      </c>
      <c r="F1319" t="s">
        <v>1587</v>
      </c>
      <c r="G1319" t="s">
        <v>1984</v>
      </c>
      <c r="H1319" t="s">
        <v>4100</v>
      </c>
      <c r="I1319">
        <v>47.479517999999999</v>
      </c>
      <c r="J1319">
        <v>-122.205299</v>
      </c>
      <c r="K1319" t="s">
        <v>3936</v>
      </c>
      <c r="L1319" t="s">
        <v>3946</v>
      </c>
      <c r="M1319" t="s">
        <v>3948</v>
      </c>
      <c r="P1319" t="s">
        <v>3676</v>
      </c>
    </row>
    <row r="1320" spans="1:16" x14ac:dyDescent="0.2">
      <c r="A1320" t="s">
        <v>1726</v>
      </c>
      <c r="B1320" t="s">
        <v>3677</v>
      </c>
      <c r="C1320" t="s">
        <v>2597</v>
      </c>
      <c r="D1320" t="s">
        <v>2307</v>
      </c>
      <c r="E1320">
        <v>98057</v>
      </c>
      <c r="F1320" t="s">
        <v>1575</v>
      </c>
      <c r="G1320" t="s">
        <v>1973</v>
      </c>
      <c r="H1320" t="s">
        <v>4101</v>
      </c>
      <c r="I1320">
        <v>47.477981</v>
      </c>
      <c r="J1320">
        <v>-122.206457</v>
      </c>
      <c r="K1320" t="s">
        <v>3936</v>
      </c>
      <c r="L1320" t="s">
        <v>3946</v>
      </c>
      <c r="M1320" t="s">
        <v>3948</v>
      </c>
      <c r="P1320" t="s">
        <v>3677</v>
      </c>
    </row>
    <row r="1321" spans="1:16" x14ac:dyDescent="0.2">
      <c r="A1321" t="s">
        <v>1686</v>
      </c>
      <c r="B1321" t="s">
        <v>3679</v>
      </c>
      <c r="C1321" t="s">
        <v>2672</v>
      </c>
      <c r="D1321" t="s">
        <v>2307</v>
      </c>
      <c r="E1321">
        <v>98072</v>
      </c>
      <c r="F1321" t="s">
        <v>1573</v>
      </c>
      <c r="G1321" t="s">
        <v>1996</v>
      </c>
      <c r="H1321" t="s">
        <v>5570</v>
      </c>
      <c r="I1321">
        <v>47.755251000000001</v>
      </c>
      <c r="J1321">
        <v>-122.15257800000001</v>
      </c>
      <c r="K1321" t="s">
        <v>3936</v>
      </c>
      <c r="L1321" t="s">
        <v>3946</v>
      </c>
      <c r="M1321" t="s">
        <v>3948</v>
      </c>
      <c r="P1321" t="s">
        <v>3679</v>
      </c>
    </row>
    <row r="1322" spans="1:16" x14ac:dyDescent="0.2">
      <c r="A1322" t="s">
        <v>1727</v>
      </c>
      <c r="B1322" t="s">
        <v>3680</v>
      </c>
      <c r="C1322" t="s">
        <v>2672</v>
      </c>
      <c r="D1322" t="s">
        <v>2307</v>
      </c>
      <c r="E1322">
        <v>98072</v>
      </c>
      <c r="F1322" t="s">
        <v>1575</v>
      </c>
      <c r="G1322" t="s">
        <v>1984</v>
      </c>
      <c r="H1322" t="s">
        <v>5332</v>
      </c>
      <c r="I1322">
        <v>47.755313000000001</v>
      </c>
      <c r="J1322">
        <v>-122.152581</v>
      </c>
      <c r="K1322" t="s">
        <v>3936</v>
      </c>
      <c r="L1322" t="s">
        <v>3946</v>
      </c>
      <c r="M1322" t="s">
        <v>3948</v>
      </c>
      <c r="P1322" t="s">
        <v>5681</v>
      </c>
    </row>
    <row r="1323" spans="1:16" x14ac:dyDescent="0.2">
      <c r="A1323" t="s">
        <v>1728</v>
      </c>
      <c r="B1323" t="s">
        <v>3681</v>
      </c>
      <c r="C1323" t="s">
        <v>66</v>
      </c>
      <c r="D1323" t="s">
        <v>2307</v>
      </c>
      <c r="E1323">
        <v>98188</v>
      </c>
      <c r="F1323" t="s">
        <v>1658</v>
      </c>
      <c r="G1323" t="s">
        <v>1996</v>
      </c>
      <c r="H1323" t="s">
        <v>5235</v>
      </c>
      <c r="I1323">
        <v>47.459724999999999</v>
      </c>
      <c r="J1323">
        <v>-122.261336</v>
      </c>
      <c r="K1323" t="s">
        <v>3936</v>
      </c>
      <c r="L1323" t="s">
        <v>3946</v>
      </c>
      <c r="M1323" t="s">
        <v>3948</v>
      </c>
      <c r="P1323" t="s">
        <v>3681</v>
      </c>
    </row>
    <row r="1324" spans="1:16" x14ac:dyDescent="0.2">
      <c r="A1324" t="s">
        <v>1729</v>
      </c>
      <c r="B1324" t="s">
        <v>3682</v>
      </c>
      <c r="C1324" t="s">
        <v>2686</v>
      </c>
      <c r="D1324" t="s">
        <v>2307</v>
      </c>
      <c r="E1324">
        <v>98188</v>
      </c>
      <c r="F1324" t="s">
        <v>1575</v>
      </c>
      <c r="G1324" t="s">
        <v>1973</v>
      </c>
      <c r="H1324" t="s">
        <v>3980</v>
      </c>
      <c r="I1324">
        <v>47.452683</v>
      </c>
      <c r="J1324">
        <v>-122.294996</v>
      </c>
      <c r="K1324" t="s">
        <v>3936</v>
      </c>
      <c r="L1324" t="s">
        <v>3946</v>
      </c>
      <c r="M1324" t="s">
        <v>3948</v>
      </c>
      <c r="P1324" t="s">
        <v>3682</v>
      </c>
    </row>
    <row r="1325" spans="1:16" x14ac:dyDescent="0.2">
      <c r="A1325" t="s">
        <v>1670</v>
      </c>
      <c r="B1325" t="s">
        <v>3683</v>
      </c>
      <c r="C1325" t="s">
        <v>2717</v>
      </c>
      <c r="D1325" t="s">
        <v>2307</v>
      </c>
      <c r="E1325">
        <v>98036</v>
      </c>
      <c r="F1325" t="s">
        <v>1591</v>
      </c>
      <c r="G1325" t="s">
        <v>1969</v>
      </c>
      <c r="H1325" t="s">
        <v>5544</v>
      </c>
      <c r="I1325">
        <v>47.811832000000003</v>
      </c>
      <c r="J1325">
        <v>-122.32272500000001</v>
      </c>
      <c r="K1325" t="s">
        <v>3936</v>
      </c>
      <c r="L1325" t="s">
        <v>3946</v>
      </c>
      <c r="M1325" t="s">
        <v>3948</v>
      </c>
      <c r="P1325" t="s">
        <v>3683</v>
      </c>
    </row>
    <row r="1326" spans="1:16" x14ac:dyDescent="0.2">
      <c r="A1326" t="s">
        <v>1730</v>
      </c>
      <c r="B1326" t="s">
        <v>3684</v>
      </c>
      <c r="C1326" t="s">
        <v>2627</v>
      </c>
      <c r="D1326" t="s">
        <v>2307</v>
      </c>
      <c r="E1326">
        <v>98020</v>
      </c>
      <c r="F1326" t="s">
        <v>1575</v>
      </c>
      <c r="G1326" t="s">
        <v>1989</v>
      </c>
      <c r="H1326" t="s">
        <v>4103</v>
      </c>
      <c r="I1326">
        <v>47.810439000000002</v>
      </c>
      <c r="J1326">
        <v>-122.38337900000001</v>
      </c>
      <c r="K1326" t="s">
        <v>3936</v>
      </c>
      <c r="L1326" t="s">
        <v>3946</v>
      </c>
      <c r="M1326" t="s">
        <v>3948</v>
      </c>
      <c r="P1326" t="s">
        <v>3684</v>
      </c>
    </row>
    <row r="1327" spans="1:16" x14ac:dyDescent="0.2">
      <c r="A1327" t="s">
        <v>1721</v>
      </c>
      <c r="B1327" t="s">
        <v>3687</v>
      </c>
      <c r="C1327" t="s">
        <v>2581</v>
      </c>
      <c r="D1327" t="s">
        <v>2307</v>
      </c>
      <c r="E1327">
        <v>98148</v>
      </c>
      <c r="F1327" t="s">
        <v>1575</v>
      </c>
      <c r="G1327" t="s">
        <v>1973</v>
      </c>
      <c r="H1327" t="s">
        <v>5545</v>
      </c>
      <c r="I1327">
        <v>47.444727999999998</v>
      </c>
      <c r="J1327">
        <v>-122.33382400000001</v>
      </c>
      <c r="K1327" t="s">
        <v>3936</v>
      </c>
      <c r="L1327" t="s">
        <v>3946</v>
      </c>
      <c r="M1327" t="s">
        <v>3948</v>
      </c>
      <c r="P1327" t="s">
        <v>3687</v>
      </c>
    </row>
    <row r="1328" spans="1:16" x14ac:dyDescent="0.2">
      <c r="A1328" t="s">
        <v>1731</v>
      </c>
      <c r="B1328" t="s">
        <v>3688</v>
      </c>
      <c r="C1328" t="s">
        <v>2627</v>
      </c>
      <c r="D1328" t="s">
        <v>2307</v>
      </c>
      <c r="E1328">
        <v>98020</v>
      </c>
      <c r="F1328" t="s">
        <v>1591</v>
      </c>
      <c r="G1328" t="s">
        <v>1969</v>
      </c>
      <c r="H1328" t="s">
        <v>5399</v>
      </c>
      <c r="I1328">
        <v>47.812553999999999</v>
      </c>
      <c r="J1328">
        <v>-122.382351</v>
      </c>
      <c r="K1328" t="s">
        <v>3936</v>
      </c>
      <c r="L1328" t="s">
        <v>3946</v>
      </c>
      <c r="M1328" t="s">
        <v>3948</v>
      </c>
      <c r="P1328" t="s">
        <v>3688</v>
      </c>
    </row>
    <row r="1329" spans="1:16" x14ac:dyDescent="0.2">
      <c r="A1329" t="s">
        <v>1732</v>
      </c>
      <c r="B1329" t="s">
        <v>3689</v>
      </c>
      <c r="C1329" t="s">
        <v>2636</v>
      </c>
      <c r="D1329" t="s">
        <v>2307</v>
      </c>
      <c r="E1329">
        <v>98188</v>
      </c>
      <c r="F1329" t="s">
        <v>1604</v>
      </c>
      <c r="G1329" t="s">
        <v>1973</v>
      </c>
      <c r="H1329" t="s">
        <v>5039</v>
      </c>
      <c r="I1329">
        <v>47.451067000000002</v>
      </c>
      <c r="J1329">
        <v>-122.26267</v>
      </c>
      <c r="K1329" t="s">
        <v>3936</v>
      </c>
      <c r="L1329" t="s">
        <v>3946</v>
      </c>
      <c r="M1329" t="s">
        <v>3948</v>
      </c>
      <c r="P1329" t="s">
        <v>3689</v>
      </c>
    </row>
    <row r="1330" spans="1:16" x14ac:dyDescent="0.2">
      <c r="A1330" t="s">
        <v>1610</v>
      </c>
      <c r="B1330" t="s">
        <v>3690</v>
      </c>
      <c r="C1330" t="s">
        <v>2597</v>
      </c>
      <c r="D1330" t="s">
        <v>2307</v>
      </c>
      <c r="E1330">
        <v>98056</v>
      </c>
      <c r="F1330" t="s">
        <v>1573</v>
      </c>
      <c r="G1330" t="s">
        <v>1991</v>
      </c>
      <c r="H1330" t="s">
        <v>5333</v>
      </c>
      <c r="I1330">
        <v>47.488384000000003</v>
      </c>
      <c r="J1330">
        <v>-122.157371</v>
      </c>
      <c r="K1330" t="s">
        <v>3936</v>
      </c>
      <c r="L1330" t="s">
        <v>3946</v>
      </c>
      <c r="M1330" t="s">
        <v>3948</v>
      </c>
      <c r="P1330" t="s">
        <v>3690</v>
      </c>
    </row>
    <row r="1331" spans="1:16" x14ac:dyDescent="0.2">
      <c r="A1331" t="s">
        <v>1733</v>
      </c>
      <c r="B1331" t="s">
        <v>3691</v>
      </c>
      <c r="C1331" t="s">
        <v>2717</v>
      </c>
      <c r="D1331" t="s">
        <v>2307</v>
      </c>
      <c r="E1331">
        <v>98036</v>
      </c>
      <c r="F1331" t="s">
        <v>1587</v>
      </c>
      <c r="G1331" t="s">
        <v>1973</v>
      </c>
      <c r="H1331" t="s">
        <v>4105</v>
      </c>
      <c r="I1331">
        <v>47.817416999999999</v>
      </c>
      <c r="J1331">
        <v>-122.317272</v>
      </c>
      <c r="K1331" t="s">
        <v>3936</v>
      </c>
      <c r="L1331" t="s">
        <v>3946</v>
      </c>
      <c r="M1331" t="s">
        <v>3948</v>
      </c>
      <c r="P1331" t="s">
        <v>3691</v>
      </c>
    </row>
    <row r="1332" spans="1:16" x14ac:dyDescent="0.2">
      <c r="A1332" t="s">
        <v>1734</v>
      </c>
      <c r="B1332" t="s">
        <v>3692</v>
      </c>
      <c r="C1332" t="s">
        <v>2717</v>
      </c>
      <c r="D1332" t="s">
        <v>2307</v>
      </c>
      <c r="E1332">
        <v>98036</v>
      </c>
      <c r="F1332" t="s">
        <v>1573</v>
      </c>
      <c r="G1332" t="s">
        <v>1990</v>
      </c>
      <c r="H1332" t="s">
        <v>4106</v>
      </c>
      <c r="I1332">
        <v>47.816667000000002</v>
      </c>
      <c r="J1332">
        <v>-122.29254400000001</v>
      </c>
      <c r="K1332" t="s">
        <v>3936</v>
      </c>
      <c r="L1332" t="s">
        <v>3946</v>
      </c>
      <c r="M1332" t="s">
        <v>3948</v>
      </c>
      <c r="P1332" t="s">
        <v>3692</v>
      </c>
    </row>
    <row r="1333" spans="1:16" x14ac:dyDescent="0.2">
      <c r="A1333" t="s">
        <v>1572</v>
      </c>
      <c r="B1333" t="s">
        <v>6269</v>
      </c>
      <c r="C1333" t="s">
        <v>2636</v>
      </c>
      <c r="D1333" t="s">
        <v>2307</v>
      </c>
      <c r="E1333">
        <v>98188</v>
      </c>
      <c r="F1333" t="s">
        <v>1573</v>
      </c>
      <c r="G1333" t="s">
        <v>1973</v>
      </c>
      <c r="H1333" t="s">
        <v>4107</v>
      </c>
      <c r="I1333">
        <v>47.446013000000001</v>
      </c>
      <c r="J1333">
        <v>-122.262061</v>
      </c>
      <c r="K1333" t="s">
        <v>3936</v>
      </c>
      <c r="L1333" t="s">
        <v>3946</v>
      </c>
      <c r="M1333" t="s">
        <v>3948</v>
      </c>
      <c r="P1333" t="s">
        <v>6070</v>
      </c>
    </row>
    <row r="1334" spans="1:16" x14ac:dyDescent="0.2">
      <c r="A1334" t="s">
        <v>1735</v>
      </c>
      <c r="B1334" t="s">
        <v>3693</v>
      </c>
      <c r="C1334" t="s">
        <v>2717</v>
      </c>
      <c r="D1334" t="s">
        <v>2307</v>
      </c>
      <c r="E1334">
        <v>98036</v>
      </c>
      <c r="F1334" t="s">
        <v>1575</v>
      </c>
      <c r="G1334" t="s">
        <v>1973</v>
      </c>
      <c r="H1334" t="s">
        <v>5040</v>
      </c>
      <c r="I1334">
        <v>47.821472</v>
      </c>
      <c r="J1334">
        <v>-122.325413</v>
      </c>
      <c r="K1334" t="s">
        <v>3936</v>
      </c>
      <c r="L1334" t="s">
        <v>3946</v>
      </c>
      <c r="M1334" t="s">
        <v>3948</v>
      </c>
      <c r="P1334" t="s">
        <v>3693</v>
      </c>
    </row>
    <row r="1335" spans="1:16" x14ac:dyDescent="0.2">
      <c r="A1335" t="s">
        <v>1736</v>
      </c>
      <c r="B1335" t="s">
        <v>3694</v>
      </c>
      <c r="C1335" t="s">
        <v>2717</v>
      </c>
      <c r="D1335" t="s">
        <v>2307</v>
      </c>
      <c r="E1335">
        <v>98036</v>
      </c>
      <c r="F1335" t="s">
        <v>1591</v>
      </c>
      <c r="G1335" t="s">
        <v>1969</v>
      </c>
      <c r="H1335" t="s">
        <v>5812</v>
      </c>
      <c r="I1335">
        <v>47.821472</v>
      </c>
      <c r="J1335">
        <v>-122.325413</v>
      </c>
      <c r="K1335" t="s">
        <v>3936</v>
      </c>
      <c r="L1335" t="s">
        <v>3946</v>
      </c>
      <c r="M1335" t="s">
        <v>3948</v>
      </c>
      <c r="P1335" t="s">
        <v>3694</v>
      </c>
    </row>
    <row r="1336" spans="1:16" x14ac:dyDescent="0.2">
      <c r="A1336" t="s">
        <v>1691</v>
      </c>
      <c r="B1336" t="s">
        <v>3695</v>
      </c>
      <c r="C1336" t="s">
        <v>2717</v>
      </c>
      <c r="D1336" t="s">
        <v>2307</v>
      </c>
      <c r="E1336">
        <v>98036</v>
      </c>
      <c r="F1336" t="s">
        <v>1658</v>
      </c>
      <c r="G1336" t="s">
        <v>1971</v>
      </c>
      <c r="H1336" t="s">
        <v>5445</v>
      </c>
      <c r="I1336">
        <v>47.819167999999998</v>
      </c>
      <c r="J1336">
        <v>-122.292586</v>
      </c>
      <c r="K1336" t="s">
        <v>3936</v>
      </c>
      <c r="L1336" t="s">
        <v>3946</v>
      </c>
      <c r="M1336" t="s">
        <v>3948</v>
      </c>
      <c r="P1336" t="s">
        <v>3695</v>
      </c>
    </row>
    <row r="1337" spans="1:16" x14ac:dyDescent="0.2">
      <c r="A1337" t="s">
        <v>1737</v>
      </c>
      <c r="B1337" t="s">
        <v>3696</v>
      </c>
      <c r="C1337" t="s">
        <v>2717</v>
      </c>
      <c r="D1337" t="s">
        <v>2307</v>
      </c>
      <c r="E1337">
        <v>98036</v>
      </c>
      <c r="F1337" t="s">
        <v>1575</v>
      </c>
      <c r="G1337" t="s">
        <v>1992</v>
      </c>
      <c r="H1337" t="s">
        <v>4109</v>
      </c>
      <c r="I1337">
        <v>47.819248000000002</v>
      </c>
      <c r="J1337">
        <v>-122.29089399999999</v>
      </c>
      <c r="K1337" t="s">
        <v>3936</v>
      </c>
      <c r="L1337" t="s">
        <v>3946</v>
      </c>
      <c r="M1337" t="s">
        <v>3948</v>
      </c>
      <c r="P1337" t="s">
        <v>3696</v>
      </c>
    </row>
    <row r="1338" spans="1:16" x14ac:dyDescent="0.2">
      <c r="A1338" t="s">
        <v>1667</v>
      </c>
      <c r="B1338" t="s">
        <v>3697</v>
      </c>
      <c r="C1338" t="s">
        <v>2717</v>
      </c>
      <c r="D1338" t="s">
        <v>2307</v>
      </c>
      <c r="E1338">
        <v>98036</v>
      </c>
      <c r="F1338" t="s">
        <v>1658</v>
      </c>
      <c r="G1338" t="s">
        <v>1994</v>
      </c>
      <c r="H1338" t="s">
        <v>4110</v>
      </c>
      <c r="I1338">
        <v>47.822145999999996</v>
      </c>
      <c r="J1338">
        <v>-122.314502</v>
      </c>
      <c r="K1338" t="s">
        <v>3936</v>
      </c>
      <c r="L1338" t="s">
        <v>3946</v>
      </c>
      <c r="M1338" t="s">
        <v>3948</v>
      </c>
      <c r="P1338" t="s">
        <v>3697</v>
      </c>
    </row>
    <row r="1339" spans="1:16" x14ac:dyDescent="0.2">
      <c r="A1339" t="s">
        <v>1738</v>
      </c>
      <c r="B1339" t="s">
        <v>3698</v>
      </c>
      <c r="C1339" t="s">
        <v>2717</v>
      </c>
      <c r="D1339" t="s">
        <v>2307</v>
      </c>
      <c r="E1339">
        <v>98036</v>
      </c>
      <c r="F1339" t="s">
        <v>1585</v>
      </c>
      <c r="G1339" t="s">
        <v>1988</v>
      </c>
      <c r="H1339" t="s">
        <v>5193</v>
      </c>
      <c r="I1339">
        <v>47.820934999999999</v>
      </c>
      <c r="J1339">
        <v>-122.298298</v>
      </c>
      <c r="K1339" t="s">
        <v>3936</v>
      </c>
      <c r="L1339" t="s">
        <v>3946</v>
      </c>
      <c r="M1339" t="s">
        <v>3948</v>
      </c>
      <c r="P1339" t="s">
        <v>3698</v>
      </c>
    </row>
    <row r="1340" spans="1:16" x14ac:dyDescent="0.2">
      <c r="A1340" t="s">
        <v>1572</v>
      </c>
      <c r="B1340" t="s">
        <v>3699</v>
      </c>
      <c r="C1340" t="s">
        <v>2754</v>
      </c>
      <c r="D1340" t="s">
        <v>2307</v>
      </c>
      <c r="E1340">
        <v>98311</v>
      </c>
      <c r="F1340" t="s">
        <v>1573</v>
      </c>
      <c r="G1340" t="s">
        <v>1973</v>
      </c>
      <c r="H1340" t="s">
        <v>4111</v>
      </c>
      <c r="I1340">
        <v>47.610334000000002</v>
      </c>
      <c r="J1340">
        <v>-122.628601</v>
      </c>
      <c r="K1340" t="s">
        <v>3936</v>
      </c>
      <c r="L1340" t="s">
        <v>3946</v>
      </c>
      <c r="M1340" t="s">
        <v>3948</v>
      </c>
      <c r="P1340" t="s">
        <v>3699</v>
      </c>
    </row>
    <row r="1341" spans="1:16" x14ac:dyDescent="0.2">
      <c r="A1341" t="s">
        <v>1739</v>
      </c>
      <c r="B1341" t="s">
        <v>3700</v>
      </c>
      <c r="C1341" t="s">
        <v>2754</v>
      </c>
      <c r="D1341" t="s">
        <v>2307</v>
      </c>
      <c r="E1341">
        <v>98310</v>
      </c>
      <c r="F1341" t="s">
        <v>1575</v>
      </c>
      <c r="G1341" t="s">
        <v>1995</v>
      </c>
      <c r="H1341" t="s">
        <v>4112</v>
      </c>
      <c r="I1341">
        <v>47.602705999999998</v>
      </c>
      <c r="J1341">
        <v>-122.627984</v>
      </c>
      <c r="K1341" t="s">
        <v>3936</v>
      </c>
      <c r="L1341" t="s">
        <v>3946</v>
      </c>
      <c r="M1341" t="s">
        <v>3948</v>
      </c>
      <c r="P1341" t="s">
        <v>3700</v>
      </c>
    </row>
    <row r="1342" spans="1:16" x14ac:dyDescent="0.2">
      <c r="A1342" t="s">
        <v>1740</v>
      </c>
      <c r="B1342" t="s">
        <v>3702</v>
      </c>
      <c r="C1342" t="s">
        <v>2754</v>
      </c>
      <c r="D1342" t="s">
        <v>2307</v>
      </c>
      <c r="E1342">
        <v>98310</v>
      </c>
      <c r="F1342" t="s">
        <v>1575</v>
      </c>
      <c r="G1342" t="s">
        <v>1971</v>
      </c>
      <c r="H1342" t="s">
        <v>5215</v>
      </c>
      <c r="I1342">
        <v>47.601778000000003</v>
      </c>
      <c r="J1342">
        <v>-122.62901599999999</v>
      </c>
      <c r="K1342" t="s">
        <v>3936</v>
      </c>
      <c r="L1342" t="s">
        <v>3946</v>
      </c>
      <c r="M1342" t="s">
        <v>3948</v>
      </c>
      <c r="P1342" t="s">
        <v>3702</v>
      </c>
    </row>
    <row r="1343" spans="1:16" x14ac:dyDescent="0.2">
      <c r="A1343" t="s">
        <v>1741</v>
      </c>
      <c r="B1343" t="s">
        <v>6257</v>
      </c>
      <c r="C1343" t="s">
        <v>2754</v>
      </c>
      <c r="D1343" t="s">
        <v>2307</v>
      </c>
      <c r="E1343">
        <v>98311</v>
      </c>
      <c r="F1343" t="s">
        <v>1583</v>
      </c>
      <c r="G1343" t="s">
        <v>1980</v>
      </c>
      <c r="H1343" t="s">
        <v>4114</v>
      </c>
      <c r="I1343">
        <v>47.608806000000001</v>
      </c>
      <c r="J1343">
        <v>-122.630808</v>
      </c>
      <c r="K1343" t="s">
        <v>3936</v>
      </c>
      <c r="L1343" t="s">
        <v>3946</v>
      </c>
      <c r="M1343" t="s">
        <v>3948</v>
      </c>
      <c r="P1343" t="s">
        <v>6057</v>
      </c>
    </row>
    <row r="1344" spans="1:16" x14ac:dyDescent="0.2">
      <c r="A1344" t="s">
        <v>1742</v>
      </c>
      <c r="B1344" t="s">
        <v>3703</v>
      </c>
      <c r="C1344" t="s">
        <v>3686</v>
      </c>
      <c r="D1344" t="s">
        <v>2307</v>
      </c>
      <c r="E1344">
        <v>98188</v>
      </c>
      <c r="F1344" t="s">
        <v>1604</v>
      </c>
      <c r="G1344" t="s">
        <v>1984</v>
      </c>
      <c r="H1344" t="s">
        <v>4115</v>
      </c>
      <c r="I1344">
        <v>47.434429000000002</v>
      </c>
      <c r="J1344">
        <v>-122.2974</v>
      </c>
      <c r="K1344" t="s">
        <v>3936</v>
      </c>
      <c r="L1344" t="s">
        <v>3946</v>
      </c>
      <c r="M1344" t="s">
        <v>3948</v>
      </c>
      <c r="P1344" t="s">
        <v>3703</v>
      </c>
    </row>
    <row r="1345" spans="1:16" x14ac:dyDescent="0.2">
      <c r="A1345" t="s">
        <v>1743</v>
      </c>
      <c r="B1345" t="s">
        <v>3704</v>
      </c>
      <c r="C1345" t="s">
        <v>2754</v>
      </c>
      <c r="D1345" t="s">
        <v>2307</v>
      </c>
      <c r="E1345">
        <v>98310</v>
      </c>
      <c r="F1345" t="s">
        <v>1571</v>
      </c>
      <c r="G1345" t="s">
        <v>1973</v>
      </c>
      <c r="H1345" t="s">
        <v>5523</v>
      </c>
      <c r="I1345">
        <v>47.595458000000001</v>
      </c>
      <c r="J1345">
        <v>-122.628946</v>
      </c>
      <c r="K1345" t="s">
        <v>3936</v>
      </c>
      <c r="L1345" t="s">
        <v>3946</v>
      </c>
      <c r="M1345" t="s">
        <v>3948</v>
      </c>
      <c r="P1345" t="s">
        <v>3704</v>
      </c>
    </row>
    <row r="1346" spans="1:16" x14ac:dyDescent="0.2">
      <c r="A1346" t="s">
        <v>1744</v>
      </c>
      <c r="B1346" t="s">
        <v>3705</v>
      </c>
      <c r="C1346" t="s">
        <v>2780</v>
      </c>
      <c r="D1346" t="s">
        <v>2307</v>
      </c>
      <c r="E1346">
        <v>98032</v>
      </c>
      <c r="F1346" t="s">
        <v>1575</v>
      </c>
      <c r="G1346" t="s">
        <v>1987</v>
      </c>
      <c r="H1346" t="s">
        <v>3982</v>
      </c>
      <c r="I1346">
        <v>47.441094999999997</v>
      </c>
      <c r="J1346">
        <v>-122.24450899999999</v>
      </c>
      <c r="K1346" t="s">
        <v>3936</v>
      </c>
      <c r="L1346" t="s">
        <v>3946</v>
      </c>
      <c r="M1346" t="s">
        <v>3948</v>
      </c>
      <c r="P1346" t="s">
        <v>3705</v>
      </c>
    </row>
    <row r="1347" spans="1:16" x14ac:dyDescent="0.2">
      <c r="A1347" t="s">
        <v>1745</v>
      </c>
      <c r="B1347" t="s">
        <v>3706</v>
      </c>
      <c r="C1347" t="s">
        <v>2754</v>
      </c>
      <c r="D1347" t="s">
        <v>2307</v>
      </c>
      <c r="E1347">
        <v>98310</v>
      </c>
      <c r="F1347" t="s">
        <v>1575</v>
      </c>
      <c r="G1347" t="s">
        <v>1987</v>
      </c>
      <c r="H1347" t="s">
        <v>3983</v>
      </c>
      <c r="I1347">
        <v>47.589168999999998</v>
      </c>
      <c r="J1347">
        <v>-122.629785</v>
      </c>
      <c r="K1347" t="s">
        <v>3936</v>
      </c>
      <c r="L1347" t="s">
        <v>3946</v>
      </c>
      <c r="M1347" t="s">
        <v>3948</v>
      </c>
      <c r="P1347" t="s">
        <v>3706</v>
      </c>
    </row>
    <row r="1348" spans="1:16" x14ac:dyDescent="0.2">
      <c r="A1348" t="s">
        <v>1746</v>
      </c>
      <c r="B1348" t="s">
        <v>3707</v>
      </c>
      <c r="C1348" t="s">
        <v>2754</v>
      </c>
      <c r="D1348" t="s">
        <v>2307</v>
      </c>
      <c r="E1348">
        <v>98310</v>
      </c>
      <c r="F1348" t="s">
        <v>1575</v>
      </c>
      <c r="G1348" t="s">
        <v>1987</v>
      </c>
      <c r="H1348" t="s">
        <v>5813</v>
      </c>
      <c r="I1348">
        <v>47.588590000000003</v>
      </c>
      <c r="J1348">
        <v>-122.629786</v>
      </c>
      <c r="K1348" t="s">
        <v>3936</v>
      </c>
      <c r="L1348" t="s">
        <v>3946</v>
      </c>
      <c r="M1348" t="s">
        <v>3948</v>
      </c>
      <c r="P1348" t="s">
        <v>3707</v>
      </c>
    </row>
    <row r="1349" spans="1:16" x14ac:dyDescent="0.2">
      <c r="A1349" t="s">
        <v>1747</v>
      </c>
      <c r="B1349" t="s">
        <v>3708</v>
      </c>
      <c r="C1349" t="s">
        <v>2548</v>
      </c>
      <c r="D1349" t="s">
        <v>2307</v>
      </c>
      <c r="E1349">
        <v>98012</v>
      </c>
      <c r="F1349" t="s">
        <v>1573</v>
      </c>
      <c r="G1349" t="s">
        <v>1995</v>
      </c>
      <c r="H1349" t="s">
        <v>5546</v>
      </c>
      <c r="I1349">
        <v>47.811093999999997</v>
      </c>
      <c r="J1349">
        <v>-122.207436</v>
      </c>
      <c r="K1349" t="s">
        <v>3936</v>
      </c>
      <c r="L1349" t="s">
        <v>3946</v>
      </c>
      <c r="M1349" t="s">
        <v>3948</v>
      </c>
      <c r="P1349" t="s">
        <v>5716</v>
      </c>
    </row>
    <row r="1350" spans="1:16" x14ac:dyDescent="0.2">
      <c r="A1350" t="s">
        <v>1572</v>
      </c>
      <c r="B1350" t="s">
        <v>6270</v>
      </c>
      <c r="C1350" t="s">
        <v>3709</v>
      </c>
      <c r="D1350" t="s">
        <v>2307</v>
      </c>
      <c r="E1350">
        <v>98036</v>
      </c>
      <c r="F1350" t="s">
        <v>1573</v>
      </c>
      <c r="G1350" t="s">
        <v>1973</v>
      </c>
      <c r="H1350" t="s">
        <v>4116</v>
      </c>
      <c r="I1350">
        <v>47.817349999999998</v>
      </c>
      <c r="J1350">
        <v>-122.292359</v>
      </c>
      <c r="K1350" t="s">
        <v>3936</v>
      </c>
      <c r="L1350" t="s">
        <v>3946</v>
      </c>
      <c r="M1350" t="s">
        <v>3948</v>
      </c>
      <c r="P1350" t="s">
        <v>6071</v>
      </c>
    </row>
    <row r="1351" spans="1:16" x14ac:dyDescent="0.2">
      <c r="A1351" t="s">
        <v>1686</v>
      </c>
      <c r="B1351" t="s">
        <v>3710</v>
      </c>
      <c r="C1351" t="s">
        <v>2597</v>
      </c>
      <c r="D1351" t="s">
        <v>2307</v>
      </c>
      <c r="E1351">
        <v>98055</v>
      </c>
      <c r="F1351" t="s">
        <v>1573</v>
      </c>
      <c r="G1351" t="s">
        <v>1996</v>
      </c>
      <c r="H1351" t="s">
        <v>5814</v>
      </c>
      <c r="I1351">
        <v>47.441257999999998</v>
      </c>
      <c r="J1351">
        <v>-122.22169700000001</v>
      </c>
      <c r="K1351" t="s">
        <v>3936</v>
      </c>
      <c r="L1351" t="s">
        <v>3946</v>
      </c>
      <c r="M1351" t="s">
        <v>3948</v>
      </c>
      <c r="P1351" t="s">
        <v>3710</v>
      </c>
    </row>
    <row r="1352" spans="1:16" x14ac:dyDescent="0.2">
      <c r="A1352" t="s">
        <v>1748</v>
      </c>
      <c r="B1352" t="s">
        <v>3711</v>
      </c>
      <c r="C1352" t="s">
        <v>2783</v>
      </c>
      <c r="D1352" t="s">
        <v>2307</v>
      </c>
      <c r="E1352">
        <v>98074</v>
      </c>
      <c r="F1352" t="s">
        <v>1573</v>
      </c>
      <c r="G1352" t="s">
        <v>1982</v>
      </c>
      <c r="H1352" t="s">
        <v>5216</v>
      </c>
      <c r="I1352">
        <v>47.613506999999998</v>
      </c>
      <c r="J1352">
        <v>-122.035295</v>
      </c>
      <c r="K1352" t="s">
        <v>3936</v>
      </c>
      <c r="L1352" t="s">
        <v>3946</v>
      </c>
      <c r="M1352" t="s">
        <v>3948</v>
      </c>
      <c r="P1352" t="s">
        <v>5717</v>
      </c>
    </row>
    <row r="1353" spans="1:16" x14ac:dyDescent="0.2">
      <c r="A1353" t="s">
        <v>1749</v>
      </c>
      <c r="B1353" t="s">
        <v>6216</v>
      </c>
      <c r="C1353" t="s">
        <v>2717</v>
      </c>
      <c r="D1353" t="s">
        <v>2307</v>
      </c>
      <c r="E1353">
        <v>98037</v>
      </c>
      <c r="F1353" t="s">
        <v>1575</v>
      </c>
      <c r="G1353" t="s">
        <v>1981</v>
      </c>
      <c r="H1353" t="s">
        <v>4937</v>
      </c>
      <c r="I1353">
        <v>47.831980000000001</v>
      </c>
      <c r="J1353">
        <v>-122.269745</v>
      </c>
      <c r="K1353" t="s">
        <v>3936</v>
      </c>
      <c r="L1353" t="s">
        <v>3946</v>
      </c>
      <c r="M1353" t="s">
        <v>3948</v>
      </c>
      <c r="P1353" t="s">
        <v>6017</v>
      </c>
    </row>
    <row r="1354" spans="1:16" x14ac:dyDescent="0.2">
      <c r="A1354" t="s">
        <v>1667</v>
      </c>
      <c r="B1354" t="s">
        <v>3712</v>
      </c>
      <c r="C1354" t="s">
        <v>2597</v>
      </c>
      <c r="D1354" t="s">
        <v>2307</v>
      </c>
      <c r="E1354">
        <v>98055</v>
      </c>
      <c r="F1354" t="s">
        <v>1658</v>
      </c>
      <c r="G1354" t="s">
        <v>1994</v>
      </c>
      <c r="H1354" t="s">
        <v>4117</v>
      </c>
      <c r="I1354">
        <v>47.444999000000003</v>
      </c>
      <c r="J1354">
        <v>-122.198842</v>
      </c>
      <c r="K1354" t="s">
        <v>3936</v>
      </c>
      <c r="L1354" t="s">
        <v>3946</v>
      </c>
      <c r="M1354" t="s">
        <v>3948</v>
      </c>
      <c r="P1354" t="s">
        <v>3712</v>
      </c>
    </row>
    <row r="1355" spans="1:16" x14ac:dyDescent="0.2">
      <c r="A1355" t="s">
        <v>1750</v>
      </c>
      <c r="B1355" t="s">
        <v>3713</v>
      </c>
      <c r="C1355" t="s">
        <v>2785</v>
      </c>
      <c r="D1355" t="s">
        <v>2307</v>
      </c>
      <c r="E1355">
        <v>98027</v>
      </c>
      <c r="F1355" t="s">
        <v>1587</v>
      </c>
      <c r="G1355" t="s">
        <v>2003</v>
      </c>
      <c r="H1355" t="s">
        <v>4118</v>
      </c>
      <c r="I1355">
        <v>47.544226999999999</v>
      </c>
      <c r="J1355">
        <v>-122.058989</v>
      </c>
      <c r="K1355" t="s">
        <v>3936</v>
      </c>
      <c r="L1355" t="s">
        <v>3946</v>
      </c>
      <c r="M1355" t="s">
        <v>3948</v>
      </c>
      <c r="P1355" t="s">
        <v>3713</v>
      </c>
    </row>
    <row r="1356" spans="1:16" x14ac:dyDescent="0.2">
      <c r="A1356" t="s">
        <v>1594</v>
      </c>
      <c r="B1356" t="s">
        <v>3714</v>
      </c>
      <c r="C1356" t="s">
        <v>2597</v>
      </c>
      <c r="D1356" t="s">
        <v>2307</v>
      </c>
      <c r="E1356">
        <v>98055</v>
      </c>
      <c r="F1356" t="s">
        <v>1575</v>
      </c>
      <c r="G1356" t="s">
        <v>1973</v>
      </c>
      <c r="H1356" t="s">
        <v>4983</v>
      </c>
      <c r="I1356">
        <v>47.445197999999998</v>
      </c>
      <c r="J1356">
        <v>-122.19771</v>
      </c>
      <c r="K1356" t="s">
        <v>3936</v>
      </c>
      <c r="L1356" t="s">
        <v>3946</v>
      </c>
      <c r="M1356" t="s">
        <v>3948</v>
      </c>
      <c r="P1356" t="s">
        <v>3714</v>
      </c>
    </row>
    <row r="1357" spans="1:16" x14ac:dyDescent="0.2">
      <c r="A1357" t="s">
        <v>1751</v>
      </c>
      <c r="B1357" t="s">
        <v>3715</v>
      </c>
      <c r="C1357" t="s">
        <v>2785</v>
      </c>
      <c r="D1357" t="s">
        <v>2307</v>
      </c>
      <c r="E1357">
        <v>98027</v>
      </c>
      <c r="F1357" t="s">
        <v>1591</v>
      </c>
      <c r="G1357" t="s">
        <v>1969</v>
      </c>
      <c r="H1357" t="s">
        <v>5194</v>
      </c>
      <c r="I1357">
        <v>47.548354000000003</v>
      </c>
      <c r="J1357">
        <v>-122.053898</v>
      </c>
      <c r="K1357" t="s">
        <v>3936</v>
      </c>
      <c r="L1357" t="s">
        <v>3946</v>
      </c>
      <c r="M1357" t="s">
        <v>3948</v>
      </c>
      <c r="P1357" t="s">
        <v>5710</v>
      </c>
    </row>
    <row r="1358" spans="1:16" x14ac:dyDescent="0.2">
      <c r="A1358" t="s">
        <v>1704</v>
      </c>
      <c r="B1358" t="s">
        <v>3716</v>
      </c>
      <c r="C1358" t="s">
        <v>2597</v>
      </c>
      <c r="D1358" t="s">
        <v>2307</v>
      </c>
      <c r="E1358">
        <v>98055</v>
      </c>
      <c r="F1358" t="s">
        <v>1600</v>
      </c>
      <c r="G1358" t="s">
        <v>2004</v>
      </c>
      <c r="H1358" t="s">
        <v>5028</v>
      </c>
      <c r="I1358">
        <v>47.442836</v>
      </c>
      <c r="J1358">
        <v>-122.19674999999999</v>
      </c>
      <c r="K1358" t="s">
        <v>3936</v>
      </c>
      <c r="L1358" t="s">
        <v>3946</v>
      </c>
      <c r="M1358" t="s">
        <v>3948</v>
      </c>
      <c r="P1358" t="s">
        <v>3716</v>
      </c>
    </row>
    <row r="1359" spans="1:16" x14ac:dyDescent="0.2">
      <c r="A1359" t="s">
        <v>1705</v>
      </c>
      <c r="B1359" t="s">
        <v>3717</v>
      </c>
      <c r="C1359" t="s">
        <v>2717</v>
      </c>
      <c r="D1359" t="s">
        <v>2307</v>
      </c>
      <c r="E1359">
        <v>98037</v>
      </c>
      <c r="F1359" t="s">
        <v>1575</v>
      </c>
      <c r="G1359" t="s">
        <v>1989</v>
      </c>
      <c r="H1359" t="s">
        <v>4119</v>
      </c>
      <c r="I1359">
        <v>47.838841000000002</v>
      </c>
      <c r="J1359">
        <v>-122.300074</v>
      </c>
      <c r="K1359" t="s">
        <v>3936</v>
      </c>
      <c r="L1359" t="s">
        <v>3946</v>
      </c>
      <c r="M1359" t="s">
        <v>3948</v>
      </c>
      <c r="P1359" t="s">
        <v>3717</v>
      </c>
    </row>
    <row r="1360" spans="1:16" x14ac:dyDescent="0.2">
      <c r="A1360" t="s">
        <v>1752</v>
      </c>
      <c r="B1360" t="s">
        <v>6229</v>
      </c>
      <c r="C1360" t="s">
        <v>2717</v>
      </c>
      <c r="D1360" t="s">
        <v>2307</v>
      </c>
      <c r="E1360">
        <v>98037</v>
      </c>
      <c r="F1360" t="s">
        <v>1587</v>
      </c>
      <c r="G1360" t="s">
        <v>1982</v>
      </c>
      <c r="H1360" t="s">
        <v>4120</v>
      </c>
      <c r="I1360">
        <v>47.839922000000001</v>
      </c>
      <c r="J1360">
        <v>-122.298676</v>
      </c>
      <c r="K1360" t="s">
        <v>3936</v>
      </c>
      <c r="L1360" t="s">
        <v>3946</v>
      </c>
      <c r="M1360" t="s">
        <v>3948</v>
      </c>
      <c r="P1360" t="s">
        <v>6030</v>
      </c>
    </row>
    <row r="1361" spans="1:16" x14ac:dyDescent="0.2">
      <c r="A1361" t="s">
        <v>1754</v>
      </c>
      <c r="B1361" t="s">
        <v>3720</v>
      </c>
      <c r="C1361" t="s">
        <v>2717</v>
      </c>
      <c r="D1361" t="s">
        <v>2307</v>
      </c>
      <c r="E1361">
        <v>98037</v>
      </c>
      <c r="F1361" t="s">
        <v>1591</v>
      </c>
      <c r="G1361" t="s">
        <v>1969</v>
      </c>
      <c r="H1361" t="s">
        <v>5547</v>
      </c>
      <c r="I1361">
        <v>47.847054999999997</v>
      </c>
      <c r="J1361">
        <v>-122.29469</v>
      </c>
      <c r="K1361" t="s">
        <v>3936</v>
      </c>
      <c r="L1361" t="s">
        <v>3946</v>
      </c>
      <c r="M1361" t="s">
        <v>3948</v>
      </c>
      <c r="P1361" t="s">
        <v>3720</v>
      </c>
    </row>
    <row r="1362" spans="1:16" x14ac:dyDescent="0.2">
      <c r="A1362" t="s">
        <v>1755</v>
      </c>
      <c r="B1362" t="s">
        <v>3721</v>
      </c>
      <c r="C1362" t="s">
        <v>2717</v>
      </c>
      <c r="D1362" t="s">
        <v>2307</v>
      </c>
      <c r="E1362">
        <v>98037</v>
      </c>
      <c r="F1362" t="s">
        <v>1575</v>
      </c>
      <c r="G1362" t="s">
        <v>1989</v>
      </c>
      <c r="H1362" t="s">
        <v>5524</v>
      </c>
      <c r="I1362">
        <v>47.847805999999999</v>
      </c>
      <c r="J1362">
        <v>-122.303428</v>
      </c>
      <c r="K1362" t="s">
        <v>3936</v>
      </c>
      <c r="L1362" t="s">
        <v>3946</v>
      </c>
      <c r="M1362" t="s">
        <v>3948</v>
      </c>
      <c r="P1362" t="s">
        <v>3721</v>
      </c>
    </row>
    <row r="1363" spans="1:16" x14ac:dyDescent="0.2">
      <c r="A1363" t="s">
        <v>1756</v>
      </c>
      <c r="B1363" t="s">
        <v>3722</v>
      </c>
      <c r="C1363" t="s">
        <v>2785</v>
      </c>
      <c r="D1363" t="s">
        <v>2307</v>
      </c>
      <c r="E1363">
        <v>98027</v>
      </c>
      <c r="F1363" t="s">
        <v>1575</v>
      </c>
      <c r="G1363" t="s">
        <v>1979</v>
      </c>
      <c r="H1363" t="s">
        <v>4121</v>
      </c>
      <c r="I1363">
        <v>47.540877000000002</v>
      </c>
      <c r="J1363">
        <v>-122.041754</v>
      </c>
      <c r="K1363" t="s">
        <v>3936</v>
      </c>
      <c r="L1363" t="s">
        <v>3946</v>
      </c>
      <c r="M1363" t="s">
        <v>3948</v>
      </c>
      <c r="P1363" t="s">
        <v>3722</v>
      </c>
    </row>
    <row r="1364" spans="1:16" x14ac:dyDescent="0.2">
      <c r="A1364" t="s">
        <v>1757</v>
      </c>
      <c r="B1364" t="s">
        <v>3724</v>
      </c>
      <c r="C1364" t="s">
        <v>2785</v>
      </c>
      <c r="D1364" t="s">
        <v>2307</v>
      </c>
      <c r="E1364">
        <v>98027</v>
      </c>
      <c r="F1364" t="s">
        <v>1573</v>
      </c>
      <c r="G1364" t="s">
        <v>1982</v>
      </c>
      <c r="H1364" t="s">
        <v>4992</v>
      </c>
      <c r="I1364">
        <v>47.540356000000003</v>
      </c>
      <c r="J1364">
        <v>-122.039834</v>
      </c>
      <c r="K1364" t="s">
        <v>3936</v>
      </c>
      <c r="L1364" t="s">
        <v>3946</v>
      </c>
      <c r="M1364" t="s">
        <v>3948</v>
      </c>
      <c r="P1364" t="s">
        <v>3724</v>
      </c>
    </row>
    <row r="1365" spans="1:16" x14ac:dyDescent="0.2">
      <c r="A1365" t="s">
        <v>1758</v>
      </c>
      <c r="B1365" t="s">
        <v>3725</v>
      </c>
      <c r="C1365" t="s">
        <v>2586</v>
      </c>
      <c r="D1365" t="s">
        <v>2307</v>
      </c>
      <c r="E1365">
        <v>98053</v>
      </c>
      <c r="F1365" t="s">
        <v>1583</v>
      </c>
      <c r="G1365" t="s">
        <v>1980</v>
      </c>
      <c r="H1365" t="s">
        <v>5351</v>
      </c>
      <c r="I1365">
        <v>47.699832999999998</v>
      </c>
      <c r="J1365">
        <v>-122.02616</v>
      </c>
      <c r="K1365" t="s">
        <v>3936</v>
      </c>
      <c r="L1365" t="s">
        <v>3946</v>
      </c>
      <c r="M1365" t="s">
        <v>3948</v>
      </c>
      <c r="P1365" t="s">
        <v>3725</v>
      </c>
    </row>
    <row r="1366" spans="1:16" x14ac:dyDescent="0.2">
      <c r="A1366" t="s">
        <v>1686</v>
      </c>
      <c r="B1366" t="s">
        <v>3726</v>
      </c>
      <c r="C1366" t="s">
        <v>2597</v>
      </c>
      <c r="D1366" t="s">
        <v>2307</v>
      </c>
      <c r="E1366">
        <v>98055</v>
      </c>
      <c r="F1366" t="s">
        <v>1573</v>
      </c>
      <c r="G1366" t="s">
        <v>1996</v>
      </c>
      <c r="H1366" t="s">
        <v>5815</v>
      </c>
      <c r="I1366">
        <v>47.445594</v>
      </c>
      <c r="J1366">
        <v>-122.153791</v>
      </c>
      <c r="K1366" t="s">
        <v>3936</v>
      </c>
      <c r="L1366" t="s">
        <v>3946</v>
      </c>
      <c r="M1366" t="s">
        <v>3948</v>
      </c>
      <c r="P1366" t="s">
        <v>3726</v>
      </c>
    </row>
    <row r="1367" spans="1:16" x14ac:dyDescent="0.2">
      <c r="A1367" t="s">
        <v>1759</v>
      </c>
      <c r="B1367" t="s">
        <v>3727</v>
      </c>
      <c r="C1367" t="s">
        <v>2830</v>
      </c>
      <c r="D1367" t="s">
        <v>2307</v>
      </c>
      <c r="E1367">
        <v>98198</v>
      </c>
      <c r="F1367" t="s">
        <v>1587</v>
      </c>
      <c r="G1367" t="s">
        <v>1973</v>
      </c>
      <c r="H1367" t="s">
        <v>5407</v>
      </c>
      <c r="I1367">
        <v>47.406759000000001</v>
      </c>
      <c r="J1367">
        <v>-122.32475599999999</v>
      </c>
      <c r="K1367" t="s">
        <v>3936</v>
      </c>
      <c r="L1367" t="s">
        <v>3946</v>
      </c>
      <c r="M1367" t="s">
        <v>3948</v>
      </c>
      <c r="P1367" t="s">
        <v>3727</v>
      </c>
    </row>
    <row r="1368" spans="1:16" x14ac:dyDescent="0.2">
      <c r="A1368" t="s">
        <v>1713</v>
      </c>
      <c r="B1368" t="s">
        <v>3728</v>
      </c>
      <c r="C1368" t="s">
        <v>2597</v>
      </c>
      <c r="D1368" t="s">
        <v>2307</v>
      </c>
      <c r="E1368">
        <v>98058</v>
      </c>
      <c r="F1368" t="s">
        <v>1600</v>
      </c>
      <c r="G1368" t="s">
        <v>1989</v>
      </c>
      <c r="H1368" t="s">
        <v>4122</v>
      </c>
      <c r="I1368">
        <v>47.444333999999998</v>
      </c>
      <c r="J1368">
        <v>-122.148861</v>
      </c>
      <c r="K1368" t="s">
        <v>3936</v>
      </c>
      <c r="L1368" t="s">
        <v>3946</v>
      </c>
      <c r="M1368" t="s">
        <v>3948</v>
      </c>
      <c r="P1368" t="s">
        <v>3728</v>
      </c>
    </row>
    <row r="1369" spans="1:16" x14ac:dyDescent="0.2">
      <c r="A1369" t="s">
        <v>1572</v>
      </c>
      <c r="B1369" t="s">
        <v>6271</v>
      </c>
      <c r="C1369" t="s">
        <v>2838</v>
      </c>
      <c r="D1369" t="s">
        <v>2307</v>
      </c>
      <c r="E1369">
        <v>98370</v>
      </c>
      <c r="F1369" t="s">
        <v>1573</v>
      </c>
      <c r="G1369" t="s">
        <v>1973</v>
      </c>
      <c r="H1369" t="s">
        <v>4123</v>
      </c>
      <c r="I1369">
        <v>47.712110000000003</v>
      </c>
      <c r="J1369">
        <v>-122.576419</v>
      </c>
      <c r="K1369" t="s">
        <v>3936</v>
      </c>
      <c r="L1369" t="s">
        <v>3946</v>
      </c>
      <c r="M1369" t="s">
        <v>3948</v>
      </c>
      <c r="P1369" t="s">
        <v>6072</v>
      </c>
    </row>
    <row r="1370" spans="1:16" x14ac:dyDescent="0.2">
      <c r="A1370" t="s">
        <v>1760</v>
      </c>
      <c r="B1370" t="s">
        <v>3729</v>
      </c>
      <c r="C1370" t="s">
        <v>2830</v>
      </c>
      <c r="D1370" t="s">
        <v>2307</v>
      </c>
      <c r="E1370">
        <v>98198</v>
      </c>
      <c r="F1370" t="s">
        <v>1587</v>
      </c>
      <c r="G1370" t="s">
        <v>1985</v>
      </c>
      <c r="H1370" t="s">
        <v>5102</v>
      </c>
      <c r="I1370">
        <v>47.402636999999999</v>
      </c>
      <c r="J1370">
        <v>-122.324805</v>
      </c>
      <c r="K1370" t="s">
        <v>3936</v>
      </c>
      <c r="L1370" t="s">
        <v>3946</v>
      </c>
      <c r="M1370" t="s">
        <v>3948</v>
      </c>
      <c r="P1370" t="s">
        <v>3729</v>
      </c>
    </row>
    <row r="1371" spans="1:16" x14ac:dyDescent="0.2">
      <c r="A1371" t="s">
        <v>1761</v>
      </c>
      <c r="B1371" t="s">
        <v>3730</v>
      </c>
      <c r="C1371" t="s">
        <v>2717</v>
      </c>
      <c r="D1371" t="s">
        <v>2307</v>
      </c>
      <c r="E1371">
        <v>98087</v>
      </c>
      <c r="F1371" t="s">
        <v>1587</v>
      </c>
      <c r="G1371" t="s">
        <v>1987</v>
      </c>
      <c r="H1371" t="s">
        <v>3985</v>
      </c>
      <c r="I1371">
        <v>47.849856000000003</v>
      </c>
      <c r="J1371">
        <v>-122.25031799999999</v>
      </c>
      <c r="K1371" t="s">
        <v>3936</v>
      </c>
      <c r="L1371" t="s">
        <v>3946</v>
      </c>
      <c r="M1371" t="s">
        <v>3948</v>
      </c>
      <c r="P1371" t="s">
        <v>5758</v>
      </c>
    </row>
    <row r="1372" spans="1:16" x14ac:dyDescent="0.2">
      <c r="A1372" t="s">
        <v>1762</v>
      </c>
      <c r="B1372" t="s">
        <v>3731</v>
      </c>
      <c r="C1372" t="s">
        <v>2830</v>
      </c>
      <c r="D1372" t="s">
        <v>2307</v>
      </c>
      <c r="E1372">
        <v>98198</v>
      </c>
      <c r="F1372" t="s">
        <v>1577</v>
      </c>
      <c r="G1372" t="s">
        <v>1973</v>
      </c>
      <c r="H1372" t="s">
        <v>5103</v>
      </c>
      <c r="I1372">
        <v>47.401707999999999</v>
      </c>
      <c r="J1372">
        <v>-122.324749</v>
      </c>
      <c r="K1372" t="s">
        <v>3936</v>
      </c>
      <c r="L1372" t="s">
        <v>3946</v>
      </c>
      <c r="M1372" t="s">
        <v>3948</v>
      </c>
      <c r="P1372" t="s">
        <v>3731</v>
      </c>
    </row>
    <row r="1373" spans="1:16" x14ac:dyDescent="0.2">
      <c r="A1373" t="s">
        <v>1763</v>
      </c>
      <c r="B1373" t="s">
        <v>3732</v>
      </c>
      <c r="C1373" t="s">
        <v>2830</v>
      </c>
      <c r="D1373" t="s">
        <v>2307</v>
      </c>
      <c r="E1373">
        <v>98198</v>
      </c>
      <c r="F1373" t="s">
        <v>1600</v>
      </c>
      <c r="G1373" t="s">
        <v>1973</v>
      </c>
      <c r="H1373" t="s">
        <v>5220</v>
      </c>
      <c r="I1373">
        <v>47.401609999999998</v>
      </c>
      <c r="J1373">
        <v>-122.32570800000001</v>
      </c>
      <c r="K1373" t="s">
        <v>3936</v>
      </c>
      <c r="L1373" t="s">
        <v>3946</v>
      </c>
      <c r="M1373" t="s">
        <v>3948</v>
      </c>
      <c r="P1373" t="s">
        <v>3732</v>
      </c>
    </row>
    <row r="1374" spans="1:16" x14ac:dyDescent="0.2">
      <c r="A1374" t="s">
        <v>1627</v>
      </c>
      <c r="B1374" t="s">
        <v>3733</v>
      </c>
      <c r="C1374" t="s">
        <v>2717</v>
      </c>
      <c r="D1374" t="s">
        <v>2307</v>
      </c>
      <c r="E1374">
        <v>98087</v>
      </c>
      <c r="F1374" t="s">
        <v>1604</v>
      </c>
      <c r="G1374" t="s">
        <v>1974</v>
      </c>
      <c r="H1374" t="s">
        <v>5507</v>
      </c>
      <c r="I1374">
        <v>47.849558999999999</v>
      </c>
      <c r="J1374">
        <v>-122.248942</v>
      </c>
      <c r="K1374" t="s">
        <v>3936</v>
      </c>
      <c r="L1374" t="s">
        <v>3946</v>
      </c>
      <c r="M1374" t="s">
        <v>3948</v>
      </c>
      <c r="P1374" t="s">
        <v>3733</v>
      </c>
    </row>
    <row r="1375" spans="1:16" x14ac:dyDescent="0.2">
      <c r="A1375" t="s">
        <v>1764</v>
      </c>
      <c r="B1375" t="s">
        <v>6217</v>
      </c>
      <c r="C1375" t="s">
        <v>2717</v>
      </c>
      <c r="D1375" t="s">
        <v>2307</v>
      </c>
      <c r="E1375">
        <v>98087</v>
      </c>
      <c r="F1375" t="s">
        <v>1575</v>
      </c>
      <c r="G1375" t="s">
        <v>1989</v>
      </c>
      <c r="H1375" t="s">
        <v>3986</v>
      </c>
      <c r="I1375">
        <v>47.849558999999999</v>
      </c>
      <c r="J1375">
        <v>-122.248942</v>
      </c>
      <c r="K1375" t="s">
        <v>3936</v>
      </c>
      <c r="L1375" t="s">
        <v>3946</v>
      </c>
      <c r="M1375" t="s">
        <v>3948</v>
      </c>
      <c r="P1375" t="s">
        <v>6018</v>
      </c>
    </row>
    <row r="1376" spans="1:16" x14ac:dyDescent="0.2">
      <c r="A1376" t="s">
        <v>1765</v>
      </c>
      <c r="B1376" t="s">
        <v>6234</v>
      </c>
      <c r="C1376" t="s">
        <v>2717</v>
      </c>
      <c r="D1376" t="s">
        <v>2307</v>
      </c>
      <c r="E1376">
        <v>98087</v>
      </c>
      <c r="F1376" t="s">
        <v>1587</v>
      </c>
      <c r="G1376" t="s">
        <v>1973</v>
      </c>
      <c r="H1376" t="s">
        <v>4124</v>
      </c>
      <c r="I1376">
        <v>47.849856000000003</v>
      </c>
      <c r="J1376">
        <v>-122.25031799999999</v>
      </c>
      <c r="K1376" t="s">
        <v>3936</v>
      </c>
      <c r="L1376" t="s">
        <v>3946</v>
      </c>
      <c r="M1376" t="s">
        <v>3948</v>
      </c>
      <c r="P1376" t="s">
        <v>6034</v>
      </c>
    </row>
    <row r="1377" spans="1:16" x14ac:dyDescent="0.2">
      <c r="A1377" t="s">
        <v>1766</v>
      </c>
      <c r="B1377" t="s">
        <v>3734</v>
      </c>
      <c r="C1377" t="s">
        <v>2830</v>
      </c>
      <c r="D1377" t="s">
        <v>2307</v>
      </c>
      <c r="E1377">
        <v>98198</v>
      </c>
      <c r="F1377" t="s">
        <v>1604</v>
      </c>
      <c r="G1377" t="s">
        <v>1984</v>
      </c>
      <c r="H1377" t="s">
        <v>5196</v>
      </c>
      <c r="I1377">
        <v>47.401282000000002</v>
      </c>
      <c r="J1377">
        <v>-122.32433</v>
      </c>
      <c r="K1377" t="s">
        <v>3936</v>
      </c>
      <c r="L1377" t="s">
        <v>3946</v>
      </c>
      <c r="M1377" t="s">
        <v>3948</v>
      </c>
      <c r="P1377" t="s">
        <v>3734</v>
      </c>
    </row>
    <row r="1378" spans="1:16" x14ac:dyDescent="0.2">
      <c r="A1378" t="s">
        <v>1767</v>
      </c>
      <c r="B1378" t="s">
        <v>3735</v>
      </c>
      <c r="C1378" t="s">
        <v>2780</v>
      </c>
      <c r="D1378" t="s">
        <v>2307</v>
      </c>
      <c r="E1378">
        <v>98032</v>
      </c>
      <c r="F1378" t="s">
        <v>1604</v>
      </c>
      <c r="G1378" t="s">
        <v>1982</v>
      </c>
      <c r="H1378" t="s">
        <v>4125</v>
      </c>
      <c r="I1378">
        <v>47.410668999999999</v>
      </c>
      <c r="J1378">
        <v>-122.227779</v>
      </c>
      <c r="K1378" t="s">
        <v>3936</v>
      </c>
      <c r="L1378" t="s">
        <v>3946</v>
      </c>
      <c r="M1378" t="s">
        <v>3948</v>
      </c>
      <c r="P1378" t="s">
        <v>3735</v>
      </c>
    </row>
    <row r="1379" spans="1:16" x14ac:dyDescent="0.2">
      <c r="A1379" t="s">
        <v>1683</v>
      </c>
      <c r="B1379" t="s">
        <v>3512</v>
      </c>
      <c r="C1379" t="s">
        <v>2861</v>
      </c>
      <c r="D1379" t="s">
        <v>2307</v>
      </c>
      <c r="E1379">
        <v>98012</v>
      </c>
      <c r="F1379" t="s">
        <v>1577</v>
      </c>
      <c r="G1379" t="s">
        <v>1973</v>
      </c>
      <c r="H1379" t="s">
        <v>4126</v>
      </c>
      <c r="I1379">
        <v>47.849381999999999</v>
      </c>
      <c r="J1379">
        <v>-122.21875300000001</v>
      </c>
      <c r="K1379" t="s">
        <v>3936</v>
      </c>
      <c r="L1379" t="s">
        <v>3946</v>
      </c>
      <c r="M1379" t="s">
        <v>3948</v>
      </c>
      <c r="P1379" t="s">
        <v>5682</v>
      </c>
    </row>
    <row r="1380" spans="1:16" x14ac:dyDescent="0.2">
      <c r="A1380" t="s">
        <v>1768</v>
      </c>
      <c r="B1380" t="s">
        <v>3736</v>
      </c>
      <c r="C1380" t="s">
        <v>2848</v>
      </c>
      <c r="D1380" t="s">
        <v>2307</v>
      </c>
      <c r="E1380">
        <v>98383</v>
      </c>
      <c r="F1380" t="s">
        <v>1575</v>
      </c>
      <c r="G1380" t="s">
        <v>1987</v>
      </c>
      <c r="H1380" t="s">
        <v>4127</v>
      </c>
      <c r="I1380">
        <v>47.660438999999997</v>
      </c>
      <c r="J1380">
        <v>-122.685255</v>
      </c>
      <c r="K1380" t="s">
        <v>3936</v>
      </c>
      <c r="L1380" t="s">
        <v>3946</v>
      </c>
      <c r="M1380" t="s">
        <v>3948</v>
      </c>
      <c r="P1380" t="s">
        <v>3736</v>
      </c>
    </row>
    <row r="1381" spans="1:16" x14ac:dyDescent="0.2">
      <c r="A1381" t="s">
        <v>1704</v>
      </c>
      <c r="B1381" t="s">
        <v>3737</v>
      </c>
      <c r="C1381" t="s">
        <v>2848</v>
      </c>
      <c r="D1381" t="s">
        <v>2307</v>
      </c>
      <c r="E1381">
        <v>98383</v>
      </c>
      <c r="F1381" t="s">
        <v>1600</v>
      </c>
      <c r="G1381" t="s">
        <v>1998</v>
      </c>
      <c r="H1381" t="s">
        <v>4890</v>
      </c>
      <c r="I1381">
        <v>47.660632</v>
      </c>
      <c r="J1381">
        <v>-122.685571</v>
      </c>
      <c r="K1381" t="s">
        <v>3936</v>
      </c>
      <c r="L1381" t="s">
        <v>3946</v>
      </c>
      <c r="M1381" t="s">
        <v>3948</v>
      </c>
      <c r="P1381" t="s">
        <v>3737</v>
      </c>
    </row>
    <row r="1382" spans="1:16" x14ac:dyDescent="0.2">
      <c r="A1382" t="s">
        <v>1769</v>
      </c>
      <c r="B1382" t="s">
        <v>3514</v>
      </c>
      <c r="C1382" t="s">
        <v>2785</v>
      </c>
      <c r="D1382" t="s">
        <v>2307</v>
      </c>
      <c r="E1382">
        <v>98029</v>
      </c>
      <c r="F1382" t="s">
        <v>1577</v>
      </c>
      <c r="G1382" t="s">
        <v>1989</v>
      </c>
      <c r="H1382" t="s">
        <v>4128</v>
      </c>
      <c r="I1382">
        <v>47.543579000000001</v>
      </c>
      <c r="J1382">
        <v>-122.01559899999999</v>
      </c>
      <c r="K1382" t="s">
        <v>3936</v>
      </c>
      <c r="L1382" t="s">
        <v>3946</v>
      </c>
      <c r="M1382" t="s">
        <v>3948</v>
      </c>
      <c r="P1382" t="s">
        <v>3514</v>
      </c>
    </row>
    <row r="1383" spans="1:16" x14ac:dyDescent="0.2">
      <c r="A1383" t="s">
        <v>1667</v>
      </c>
      <c r="B1383" t="s">
        <v>3738</v>
      </c>
      <c r="C1383" t="s">
        <v>2861</v>
      </c>
      <c r="D1383" t="s">
        <v>2307</v>
      </c>
      <c r="E1383">
        <v>98012</v>
      </c>
      <c r="F1383" t="s">
        <v>1658</v>
      </c>
      <c r="G1383" t="s">
        <v>1994</v>
      </c>
      <c r="H1383" t="s">
        <v>4129</v>
      </c>
      <c r="I1383">
        <v>47.850062999999999</v>
      </c>
      <c r="J1383">
        <v>-122.21792499999999</v>
      </c>
      <c r="K1383" t="s">
        <v>3936</v>
      </c>
      <c r="L1383" t="s">
        <v>3946</v>
      </c>
      <c r="M1383" t="s">
        <v>3948</v>
      </c>
      <c r="P1383" t="s">
        <v>5693</v>
      </c>
    </row>
    <row r="1384" spans="1:16" x14ac:dyDescent="0.2">
      <c r="A1384" t="s">
        <v>1686</v>
      </c>
      <c r="B1384" t="s">
        <v>3739</v>
      </c>
      <c r="C1384" t="s">
        <v>2861</v>
      </c>
      <c r="D1384" t="s">
        <v>2307</v>
      </c>
      <c r="E1384">
        <v>98012</v>
      </c>
      <c r="F1384" t="s">
        <v>1573</v>
      </c>
      <c r="G1384" t="s">
        <v>1996</v>
      </c>
      <c r="H1384" t="s">
        <v>5816</v>
      </c>
      <c r="I1384">
        <v>47.850171000000003</v>
      </c>
      <c r="J1384">
        <v>-122.217973</v>
      </c>
      <c r="K1384" t="s">
        <v>3936</v>
      </c>
      <c r="L1384" t="s">
        <v>3946</v>
      </c>
      <c r="M1384" t="s">
        <v>3948</v>
      </c>
      <c r="P1384" t="s">
        <v>5724</v>
      </c>
    </row>
    <row r="1385" spans="1:16" x14ac:dyDescent="0.2">
      <c r="A1385" t="s">
        <v>1740</v>
      </c>
      <c r="B1385" t="s">
        <v>3740</v>
      </c>
      <c r="C1385" t="s">
        <v>2848</v>
      </c>
      <c r="D1385" t="s">
        <v>2307</v>
      </c>
      <c r="E1385">
        <v>98383</v>
      </c>
      <c r="F1385" t="s">
        <v>1575</v>
      </c>
      <c r="G1385" t="s">
        <v>1971</v>
      </c>
      <c r="H1385" t="s">
        <v>4994</v>
      </c>
      <c r="I1385">
        <v>47.657378000000001</v>
      </c>
      <c r="J1385">
        <v>-122.686987</v>
      </c>
      <c r="K1385" t="s">
        <v>3936</v>
      </c>
      <c r="L1385" t="s">
        <v>3946</v>
      </c>
      <c r="M1385" t="s">
        <v>3948</v>
      </c>
      <c r="P1385" t="s">
        <v>3740</v>
      </c>
    </row>
    <row r="1386" spans="1:16" x14ac:dyDescent="0.2">
      <c r="A1386" t="s">
        <v>1572</v>
      </c>
      <c r="B1386" t="s">
        <v>6272</v>
      </c>
      <c r="C1386" t="s">
        <v>2848</v>
      </c>
      <c r="D1386" t="s">
        <v>2307</v>
      </c>
      <c r="E1386">
        <v>98383</v>
      </c>
      <c r="F1386" t="s">
        <v>1573</v>
      </c>
      <c r="G1386" t="s">
        <v>1973</v>
      </c>
      <c r="H1386" t="s">
        <v>4130</v>
      </c>
      <c r="I1386">
        <v>47.650709999999997</v>
      </c>
      <c r="J1386">
        <v>-122.68949000000001</v>
      </c>
      <c r="K1386" t="s">
        <v>3936</v>
      </c>
      <c r="L1386" t="s">
        <v>3946</v>
      </c>
      <c r="M1386" t="s">
        <v>3948</v>
      </c>
      <c r="P1386" t="s">
        <v>6073</v>
      </c>
    </row>
    <row r="1387" spans="1:16" x14ac:dyDescent="0.2">
      <c r="A1387" t="s">
        <v>1595</v>
      </c>
      <c r="B1387" t="s">
        <v>3741</v>
      </c>
      <c r="C1387" t="s">
        <v>2717</v>
      </c>
      <c r="D1387" t="s">
        <v>2307</v>
      </c>
      <c r="E1387">
        <v>98036</v>
      </c>
      <c r="F1387" t="s">
        <v>1573</v>
      </c>
      <c r="G1387" t="s">
        <v>1990</v>
      </c>
      <c r="H1387" t="s">
        <v>5313</v>
      </c>
      <c r="I1387">
        <v>47.863137999999999</v>
      </c>
      <c r="J1387">
        <v>-122.28317699999999</v>
      </c>
      <c r="K1387" t="s">
        <v>3936</v>
      </c>
      <c r="L1387" t="s">
        <v>3946</v>
      </c>
      <c r="M1387" t="s">
        <v>3948</v>
      </c>
      <c r="P1387" t="s">
        <v>3741</v>
      </c>
    </row>
    <row r="1388" spans="1:16" x14ac:dyDescent="0.2">
      <c r="A1388" t="s">
        <v>1626</v>
      </c>
      <c r="B1388" t="s">
        <v>3742</v>
      </c>
      <c r="C1388" t="s">
        <v>2780</v>
      </c>
      <c r="D1388" t="s">
        <v>2307</v>
      </c>
      <c r="E1388">
        <v>98031</v>
      </c>
      <c r="F1388" t="s">
        <v>1587</v>
      </c>
      <c r="G1388" t="s">
        <v>1973</v>
      </c>
      <c r="H1388" t="s">
        <v>5104</v>
      </c>
      <c r="I1388">
        <v>47.413750999999998</v>
      </c>
      <c r="J1388">
        <v>-122.196844</v>
      </c>
      <c r="K1388" t="s">
        <v>3936</v>
      </c>
      <c r="L1388" t="s">
        <v>3946</v>
      </c>
      <c r="M1388" t="s">
        <v>3948</v>
      </c>
      <c r="P1388" t="s">
        <v>3742</v>
      </c>
    </row>
    <row r="1389" spans="1:16" x14ac:dyDescent="0.2">
      <c r="A1389" t="s">
        <v>1667</v>
      </c>
      <c r="B1389" t="s">
        <v>3743</v>
      </c>
      <c r="C1389" t="s">
        <v>2848</v>
      </c>
      <c r="D1389" t="s">
        <v>2307</v>
      </c>
      <c r="E1389">
        <v>98383</v>
      </c>
      <c r="F1389" t="s">
        <v>1658</v>
      </c>
      <c r="G1389" t="s">
        <v>1994</v>
      </c>
      <c r="H1389" t="s">
        <v>4131</v>
      </c>
      <c r="I1389">
        <v>47.650709999999997</v>
      </c>
      <c r="J1389">
        <v>-122.690924</v>
      </c>
      <c r="K1389" t="s">
        <v>3936</v>
      </c>
      <c r="L1389" t="s">
        <v>3946</v>
      </c>
      <c r="M1389" t="s">
        <v>3948</v>
      </c>
      <c r="P1389" t="s">
        <v>3743</v>
      </c>
    </row>
    <row r="1390" spans="1:16" x14ac:dyDescent="0.2">
      <c r="A1390" t="s">
        <v>1740</v>
      </c>
      <c r="B1390" t="s">
        <v>3744</v>
      </c>
      <c r="C1390" t="s">
        <v>2780</v>
      </c>
      <c r="D1390" t="s">
        <v>2307</v>
      </c>
      <c r="E1390">
        <v>98032</v>
      </c>
      <c r="F1390" t="s">
        <v>1575</v>
      </c>
      <c r="G1390" t="s">
        <v>1971</v>
      </c>
      <c r="H1390" t="s">
        <v>5221</v>
      </c>
      <c r="I1390">
        <v>47.393227000000003</v>
      </c>
      <c r="J1390">
        <v>-122.295084</v>
      </c>
      <c r="K1390" t="s">
        <v>3936</v>
      </c>
      <c r="L1390" t="s">
        <v>3946</v>
      </c>
      <c r="M1390" t="s">
        <v>3948</v>
      </c>
      <c r="P1390" t="s">
        <v>3744</v>
      </c>
    </row>
    <row r="1391" spans="1:16" x14ac:dyDescent="0.2">
      <c r="A1391" t="s">
        <v>1572</v>
      </c>
      <c r="B1391" t="s">
        <v>6273</v>
      </c>
      <c r="C1391" t="s">
        <v>2861</v>
      </c>
      <c r="D1391" t="s">
        <v>2307</v>
      </c>
      <c r="E1391">
        <v>98012</v>
      </c>
      <c r="F1391" t="s">
        <v>1573</v>
      </c>
      <c r="G1391" t="s">
        <v>1973</v>
      </c>
      <c r="H1391" t="s">
        <v>4132</v>
      </c>
      <c r="I1391">
        <v>47.855086</v>
      </c>
      <c r="J1391">
        <v>-122.218637</v>
      </c>
      <c r="K1391" t="s">
        <v>3936</v>
      </c>
      <c r="L1391" t="s">
        <v>3946</v>
      </c>
      <c r="M1391" t="s">
        <v>3948</v>
      </c>
      <c r="P1391" t="s">
        <v>6074</v>
      </c>
    </row>
    <row r="1392" spans="1:16" x14ac:dyDescent="0.2">
      <c r="A1392" t="s">
        <v>1770</v>
      </c>
      <c r="B1392" t="s">
        <v>3745</v>
      </c>
      <c r="C1392" t="s">
        <v>2848</v>
      </c>
      <c r="D1392" t="s">
        <v>2307</v>
      </c>
      <c r="E1392">
        <v>98383</v>
      </c>
      <c r="F1392" t="s">
        <v>1591</v>
      </c>
      <c r="G1392" t="s">
        <v>1969</v>
      </c>
      <c r="H1392" t="s">
        <v>5409</v>
      </c>
      <c r="I1392">
        <v>47.646816999999999</v>
      </c>
      <c r="J1392">
        <v>-122.69394699999999</v>
      </c>
      <c r="K1392" t="s">
        <v>3936</v>
      </c>
      <c r="L1392" t="s">
        <v>3946</v>
      </c>
      <c r="M1392" t="s">
        <v>3948</v>
      </c>
      <c r="P1392" t="s">
        <v>3745</v>
      </c>
    </row>
    <row r="1393" spans="1:16" x14ac:dyDescent="0.2">
      <c r="A1393" t="s">
        <v>1771</v>
      </c>
      <c r="B1393" t="s">
        <v>3746</v>
      </c>
      <c r="C1393" t="s">
        <v>2848</v>
      </c>
      <c r="D1393" t="s">
        <v>2307</v>
      </c>
      <c r="E1393">
        <v>98383</v>
      </c>
      <c r="F1393" t="s">
        <v>1583</v>
      </c>
      <c r="G1393" t="s">
        <v>1980</v>
      </c>
      <c r="H1393" t="s">
        <v>4133</v>
      </c>
      <c r="I1393">
        <v>47.649152999999998</v>
      </c>
      <c r="J1393">
        <v>-122.695262</v>
      </c>
      <c r="K1393" t="s">
        <v>3936</v>
      </c>
      <c r="L1393" t="s">
        <v>3946</v>
      </c>
      <c r="M1393" t="s">
        <v>3948</v>
      </c>
      <c r="P1393" t="s">
        <v>3746</v>
      </c>
    </row>
    <row r="1394" spans="1:16" x14ac:dyDescent="0.2">
      <c r="A1394" t="s">
        <v>1686</v>
      </c>
      <c r="B1394" t="s">
        <v>6274</v>
      </c>
      <c r="C1394" t="s">
        <v>2848</v>
      </c>
      <c r="D1394" t="s">
        <v>2307</v>
      </c>
      <c r="E1394">
        <v>98383</v>
      </c>
      <c r="F1394" t="s">
        <v>1573</v>
      </c>
      <c r="G1394" t="s">
        <v>1990</v>
      </c>
      <c r="H1394" t="s">
        <v>5817</v>
      </c>
      <c r="I1394">
        <v>47.656506999999998</v>
      </c>
      <c r="J1394">
        <v>-122.694851</v>
      </c>
      <c r="K1394" t="s">
        <v>3936</v>
      </c>
      <c r="L1394" t="s">
        <v>3946</v>
      </c>
      <c r="M1394" t="s">
        <v>3948</v>
      </c>
      <c r="P1394" t="s">
        <v>6075</v>
      </c>
    </row>
    <row r="1395" spans="1:16" x14ac:dyDescent="0.2">
      <c r="A1395" t="s">
        <v>1667</v>
      </c>
      <c r="B1395" t="s">
        <v>3747</v>
      </c>
      <c r="C1395" t="s">
        <v>2744</v>
      </c>
      <c r="D1395" t="s">
        <v>2307</v>
      </c>
      <c r="E1395">
        <v>98367</v>
      </c>
      <c r="F1395" t="s">
        <v>1658</v>
      </c>
      <c r="G1395" t="s">
        <v>1994</v>
      </c>
      <c r="H1395" t="s">
        <v>4134</v>
      </c>
      <c r="I1395">
        <v>47.502758999999998</v>
      </c>
      <c r="J1395">
        <v>-122.643475</v>
      </c>
      <c r="K1395" t="s">
        <v>3936</v>
      </c>
      <c r="L1395" t="s">
        <v>3946</v>
      </c>
      <c r="M1395" t="s">
        <v>3948</v>
      </c>
      <c r="P1395" t="s">
        <v>3747</v>
      </c>
    </row>
    <row r="1396" spans="1:16" x14ac:dyDescent="0.2">
      <c r="A1396" t="s">
        <v>1610</v>
      </c>
      <c r="B1396" t="s">
        <v>3748</v>
      </c>
      <c r="C1396" t="s">
        <v>2861</v>
      </c>
      <c r="D1396" t="s">
        <v>2307</v>
      </c>
      <c r="E1396">
        <v>98012</v>
      </c>
      <c r="F1396" t="s">
        <v>1573</v>
      </c>
      <c r="G1396" t="s">
        <v>1991</v>
      </c>
      <c r="H1396" t="s">
        <v>3988</v>
      </c>
      <c r="I1396">
        <v>47.858524000000003</v>
      </c>
      <c r="J1396">
        <v>-122.220463</v>
      </c>
      <c r="K1396" t="s">
        <v>3936</v>
      </c>
      <c r="L1396" t="s">
        <v>3946</v>
      </c>
      <c r="M1396" t="s">
        <v>3948</v>
      </c>
      <c r="P1396" t="s">
        <v>3748</v>
      </c>
    </row>
    <row r="1397" spans="1:16" x14ac:dyDescent="0.2">
      <c r="A1397" t="s">
        <v>1772</v>
      </c>
      <c r="B1397" t="s">
        <v>3749</v>
      </c>
      <c r="C1397" t="s">
        <v>2754</v>
      </c>
      <c r="D1397" t="s">
        <v>2307</v>
      </c>
      <c r="E1397">
        <v>98312</v>
      </c>
      <c r="F1397" t="s">
        <v>1600</v>
      </c>
      <c r="G1397" t="s">
        <v>2000</v>
      </c>
      <c r="H1397" t="s">
        <v>4995</v>
      </c>
      <c r="I1397">
        <v>47.579441000000003</v>
      </c>
      <c r="J1397">
        <v>-122.704031</v>
      </c>
      <c r="K1397" t="s">
        <v>3936</v>
      </c>
      <c r="L1397" t="s">
        <v>3946</v>
      </c>
      <c r="M1397" t="s">
        <v>3948</v>
      </c>
      <c r="P1397" t="s">
        <v>3749</v>
      </c>
    </row>
    <row r="1398" spans="1:16" x14ac:dyDescent="0.2">
      <c r="A1398" t="s">
        <v>1667</v>
      </c>
      <c r="B1398" t="s">
        <v>3750</v>
      </c>
      <c r="C1398" t="s">
        <v>2780</v>
      </c>
      <c r="D1398" t="s">
        <v>2307</v>
      </c>
      <c r="E1398">
        <v>98032</v>
      </c>
      <c r="F1398" t="s">
        <v>1658</v>
      </c>
      <c r="G1398" t="s">
        <v>1994</v>
      </c>
      <c r="H1398" t="s">
        <v>4135</v>
      </c>
      <c r="I1398">
        <v>47.381252000000003</v>
      </c>
      <c r="J1398">
        <v>-122.26086100000001</v>
      </c>
      <c r="K1398" t="s">
        <v>3936</v>
      </c>
      <c r="L1398" t="s">
        <v>3946</v>
      </c>
      <c r="M1398" t="s">
        <v>3948</v>
      </c>
      <c r="P1398" t="s">
        <v>3750</v>
      </c>
    </row>
    <row r="1399" spans="1:16" x14ac:dyDescent="0.2">
      <c r="A1399" t="s">
        <v>1773</v>
      </c>
      <c r="B1399" t="s">
        <v>3751</v>
      </c>
      <c r="C1399" t="s">
        <v>2780</v>
      </c>
      <c r="D1399" t="s">
        <v>2307</v>
      </c>
      <c r="E1399">
        <v>98033</v>
      </c>
      <c r="F1399" t="s">
        <v>1575</v>
      </c>
      <c r="G1399" t="s">
        <v>1973</v>
      </c>
      <c r="H1399" t="s">
        <v>5549</v>
      </c>
      <c r="I1399">
        <v>47.381287999999998</v>
      </c>
      <c r="J1399">
        <v>-122.259458</v>
      </c>
      <c r="K1399" t="s">
        <v>3936</v>
      </c>
      <c r="L1399" t="s">
        <v>3946</v>
      </c>
      <c r="M1399" t="s">
        <v>3948</v>
      </c>
      <c r="P1399" t="s">
        <v>3751</v>
      </c>
    </row>
    <row r="1400" spans="1:16" x14ac:dyDescent="0.2">
      <c r="A1400" t="s">
        <v>1582</v>
      </c>
      <c r="B1400" t="s">
        <v>3752</v>
      </c>
      <c r="C1400" t="s">
        <v>2780</v>
      </c>
      <c r="D1400" t="s">
        <v>2307</v>
      </c>
      <c r="E1400">
        <v>98031</v>
      </c>
      <c r="F1400" t="s">
        <v>1573</v>
      </c>
      <c r="G1400" t="s">
        <v>1990</v>
      </c>
      <c r="H1400" t="s">
        <v>5237</v>
      </c>
      <c r="I1400">
        <v>47.384467000000001</v>
      </c>
      <c r="J1400">
        <v>-122.234562</v>
      </c>
      <c r="K1400" t="s">
        <v>3936</v>
      </c>
      <c r="L1400" t="s">
        <v>3946</v>
      </c>
      <c r="M1400" t="s">
        <v>3948</v>
      </c>
      <c r="P1400" t="s">
        <v>3752</v>
      </c>
    </row>
    <row r="1401" spans="1:16" x14ac:dyDescent="0.2">
      <c r="A1401" t="s">
        <v>1774</v>
      </c>
      <c r="B1401" t="s">
        <v>3753</v>
      </c>
      <c r="C1401" t="s">
        <v>2780</v>
      </c>
      <c r="D1401" t="s">
        <v>2307</v>
      </c>
      <c r="E1401">
        <v>98032</v>
      </c>
      <c r="F1401" t="s">
        <v>1575</v>
      </c>
      <c r="G1401" t="s">
        <v>1973</v>
      </c>
      <c r="H1401" t="s">
        <v>4136</v>
      </c>
      <c r="I1401">
        <v>47.381436999999998</v>
      </c>
      <c r="J1401">
        <v>-122.23531699999999</v>
      </c>
      <c r="K1401" t="s">
        <v>3936</v>
      </c>
      <c r="L1401" t="s">
        <v>3946</v>
      </c>
      <c r="M1401" t="s">
        <v>3948</v>
      </c>
      <c r="P1401" t="s">
        <v>3753</v>
      </c>
    </row>
    <row r="1402" spans="1:16" x14ac:dyDescent="0.2">
      <c r="A1402" t="s">
        <v>1775</v>
      </c>
      <c r="B1402" t="s">
        <v>3754</v>
      </c>
      <c r="C1402" t="s">
        <v>2780</v>
      </c>
      <c r="D1402" t="s">
        <v>2307</v>
      </c>
      <c r="E1402">
        <v>98031</v>
      </c>
      <c r="F1402" t="s">
        <v>1587</v>
      </c>
      <c r="G1402" t="s">
        <v>1989</v>
      </c>
      <c r="H1402" t="s">
        <v>4137</v>
      </c>
      <c r="I1402">
        <v>47.389028000000003</v>
      </c>
      <c r="J1402">
        <v>-122.202394</v>
      </c>
      <c r="K1402" t="s">
        <v>3936</v>
      </c>
      <c r="L1402" t="s">
        <v>3946</v>
      </c>
      <c r="M1402" t="s">
        <v>3948</v>
      </c>
      <c r="P1402" t="s">
        <v>3754</v>
      </c>
    </row>
    <row r="1403" spans="1:16" x14ac:dyDescent="0.2">
      <c r="A1403" t="s">
        <v>1776</v>
      </c>
      <c r="B1403" t="s">
        <v>3755</v>
      </c>
      <c r="C1403" t="s">
        <v>2780</v>
      </c>
      <c r="D1403" t="s">
        <v>2307</v>
      </c>
      <c r="E1403">
        <v>98032</v>
      </c>
      <c r="F1403" t="s">
        <v>1575</v>
      </c>
      <c r="G1403" t="s">
        <v>1987</v>
      </c>
      <c r="H1403" t="s">
        <v>4138</v>
      </c>
      <c r="I1403">
        <v>47.381883999999999</v>
      </c>
      <c r="J1403">
        <v>-122.232153</v>
      </c>
      <c r="K1403" t="s">
        <v>3936</v>
      </c>
      <c r="L1403" t="s">
        <v>3946</v>
      </c>
      <c r="M1403" t="s">
        <v>3948</v>
      </c>
      <c r="P1403" t="s">
        <v>3755</v>
      </c>
    </row>
    <row r="1404" spans="1:16" x14ac:dyDescent="0.2">
      <c r="A1404" t="s">
        <v>1777</v>
      </c>
      <c r="B1404" t="s">
        <v>3756</v>
      </c>
      <c r="C1404" t="s">
        <v>2780</v>
      </c>
      <c r="D1404" t="s">
        <v>2307</v>
      </c>
      <c r="E1404">
        <v>98032</v>
      </c>
      <c r="F1404" t="s">
        <v>1573</v>
      </c>
      <c r="G1404" t="s">
        <v>2005</v>
      </c>
      <c r="H1404" t="s">
        <v>4139</v>
      </c>
      <c r="I1404">
        <v>47.380783999999998</v>
      </c>
      <c r="J1404">
        <v>-122.23334</v>
      </c>
      <c r="K1404" t="s">
        <v>3936</v>
      </c>
      <c r="L1404" t="s">
        <v>3946</v>
      </c>
      <c r="M1404" t="s">
        <v>3948</v>
      </c>
      <c r="P1404" t="s">
        <v>3756</v>
      </c>
    </row>
    <row r="1405" spans="1:16" x14ac:dyDescent="0.2">
      <c r="A1405" t="s">
        <v>1778</v>
      </c>
      <c r="B1405" t="s">
        <v>3757</v>
      </c>
      <c r="C1405" t="s">
        <v>2780</v>
      </c>
      <c r="D1405" t="s">
        <v>2307</v>
      </c>
      <c r="E1405">
        <v>98030</v>
      </c>
      <c r="F1405" t="s">
        <v>1575</v>
      </c>
      <c r="G1405" t="s">
        <v>1973</v>
      </c>
      <c r="H1405" t="s">
        <v>5187</v>
      </c>
      <c r="I1405">
        <v>47.385756999999998</v>
      </c>
      <c r="J1405">
        <v>-122.202434</v>
      </c>
      <c r="K1405" t="s">
        <v>3936</v>
      </c>
      <c r="L1405" t="s">
        <v>3946</v>
      </c>
      <c r="M1405" t="s">
        <v>3948</v>
      </c>
      <c r="P1405" t="s">
        <v>5708</v>
      </c>
    </row>
    <row r="1406" spans="1:16" x14ac:dyDescent="0.2">
      <c r="A1406" t="s">
        <v>1779</v>
      </c>
      <c r="B1406" t="s">
        <v>3758</v>
      </c>
      <c r="C1406" t="s">
        <v>2900</v>
      </c>
      <c r="D1406" t="s">
        <v>2307</v>
      </c>
      <c r="E1406">
        <v>98204</v>
      </c>
      <c r="F1406" t="s">
        <v>1573</v>
      </c>
      <c r="G1406" t="s">
        <v>5334</v>
      </c>
      <c r="H1406" t="s">
        <v>5335</v>
      </c>
      <c r="I1406">
        <v>47.882057000000003</v>
      </c>
      <c r="J1406">
        <v>-122.242227</v>
      </c>
      <c r="K1406" t="s">
        <v>3936</v>
      </c>
      <c r="L1406" t="s">
        <v>3946</v>
      </c>
      <c r="M1406" t="s">
        <v>3948</v>
      </c>
      <c r="P1406" t="s">
        <v>3758</v>
      </c>
    </row>
    <row r="1407" spans="1:16" x14ac:dyDescent="0.2">
      <c r="A1407" t="s">
        <v>1704</v>
      </c>
      <c r="B1407" t="s">
        <v>3759</v>
      </c>
      <c r="C1407" t="s">
        <v>2900</v>
      </c>
      <c r="D1407" t="s">
        <v>2307</v>
      </c>
      <c r="E1407">
        <v>98204</v>
      </c>
      <c r="F1407" t="s">
        <v>1600</v>
      </c>
      <c r="G1407" t="s">
        <v>1998</v>
      </c>
      <c r="H1407" t="s">
        <v>5314</v>
      </c>
      <c r="I1407">
        <v>47.881529</v>
      </c>
      <c r="J1407">
        <v>-122.238608</v>
      </c>
      <c r="K1407" t="s">
        <v>3936</v>
      </c>
      <c r="L1407" t="s">
        <v>3946</v>
      </c>
      <c r="M1407" t="s">
        <v>3948</v>
      </c>
      <c r="P1407" t="s">
        <v>5678</v>
      </c>
    </row>
    <row r="1408" spans="1:16" x14ac:dyDescent="0.2">
      <c r="A1408" t="s">
        <v>1781</v>
      </c>
      <c r="B1408" t="s">
        <v>3760</v>
      </c>
      <c r="C1408" t="s">
        <v>2900</v>
      </c>
      <c r="D1408" t="s">
        <v>2307</v>
      </c>
      <c r="E1408">
        <v>98208</v>
      </c>
      <c r="F1408" t="s">
        <v>1604</v>
      </c>
      <c r="G1408" t="s">
        <v>1982</v>
      </c>
      <c r="H1408" t="s">
        <v>4140</v>
      </c>
      <c r="I1408">
        <v>47.881805</v>
      </c>
      <c r="J1408">
        <v>-122.231171</v>
      </c>
      <c r="K1408" t="s">
        <v>3936</v>
      </c>
      <c r="L1408" t="s">
        <v>3946</v>
      </c>
      <c r="M1408" t="s">
        <v>3948</v>
      </c>
      <c r="P1408" t="s">
        <v>5695</v>
      </c>
    </row>
    <row r="1409" spans="1:16" x14ac:dyDescent="0.2">
      <c r="A1409" t="s">
        <v>1782</v>
      </c>
      <c r="B1409" t="s">
        <v>3761</v>
      </c>
      <c r="C1409" t="s">
        <v>2897</v>
      </c>
      <c r="D1409" t="s">
        <v>2307</v>
      </c>
      <c r="E1409">
        <v>98019</v>
      </c>
      <c r="F1409" t="s">
        <v>1587</v>
      </c>
      <c r="G1409" t="s">
        <v>1968</v>
      </c>
      <c r="H1409" t="s">
        <v>5413</v>
      </c>
      <c r="I1409">
        <v>47.740958999999997</v>
      </c>
      <c r="J1409">
        <v>-121.985963</v>
      </c>
      <c r="K1409" t="s">
        <v>3936</v>
      </c>
      <c r="L1409" t="s">
        <v>3946</v>
      </c>
      <c r="M1409" t="s">
        <v>3948</v>
      </c>
      <c r="P1409" t="s">
        <v>3761</v>
      </c>
    </row>
    <row r="1410" spans="1:16" x14ac:dyDescent="0.2">
      <c r="A1410" t="s">
        <v>1783</v>
      </c>
      <c r="B1410" t="s">
        <v>3762</v>
      </c>
      <c r="C1410" t="s">
        <v>2861</v>
      </c>
      <c r="D1410" t="s">
        <v>2307</v>
      </c>
      <c r="E1410">
        <v>98012</v>
      </c>
      <c r="F1410" t="s">
        <v>1591</v>
      </c>
      <c r="G1410" t="s">
        <v>1969</v>
      </c>
      <c r="H1410" t="s">
        <v>5336</v>
      </c>
      <c r="I1410">
        <v>47.878037999999997</v>
      </c>
      <c r="J1410">
        <v>-122.210612</v>
      </c>
      <c r="K1410" t="s">
        <v>3936</v>
      </c>
      <c r="L1410" t="s">
        <v>3946</v>
      </c>
      <c r="M1410" t="s">
        <v>3948</v>
      </c>
      <c r="P1410" t="s">
        <v>5683</v>
      </c>
    </row>
    <row r="1411" spans="1:16" x14ac:dyDescent="0.2">
      <c r="A1411" t="s">
        <v>1784</v>
      </c>
      <c r="B1411" t="s">
        <v>6236</v>
      </c>
      <c r="C1411" t="s">
        <v>2888</v>
      </c>
      <c r="D1411" t="s">
        <v>2307</v>
      </c>
      <c r="E1411">
        <v>98296</v>
      </c>
      <c r="F1411" t="s">
        <v>1591</v>
      </c>
      <c r="G1411" t="s">
        <v>5414</v>
      </c>
      <c r="H1411" t="s">
        <v>5415</v>
      </c>
      <c r="I1411">
        <v>47.847396000000003</v>
      </c>
      <c r="J1411">
        <v>-122.11823800000001</v>
      </c>
      <c r="K1411" t="s">
        <v>3936</v>
      </c>
      <c r="L1411" t="s">
        <v>3946</v>
      </c>
      <c r="M1411" t="s">
        <v>3948</v>
      </c>
      <c r="P1411" t="s">
        <v>6036</v>
      </c>
    </row>
    <row r="1412" spans="1:16" x14ac:dyDescent="0.2">
      <c r="A1412" t="s">
        <v>1572</v>
      </c>
      <c r="B1412" t="s">
        <v>6275</v>
      </c>
      <c r="C1412" t="s">
        <v>3763</v>
      </c>
      <c r="D1412" t="s">
        <v>2307</v>
      </c>
      <c r="E1412">
        <v>98275</v>
      </c>
      <c r="F1412" t="s">
        <v>1573</v>
      </c>
      <c r="G1412" t="s">
        <v>1973</v>
      </c>
      <c r="H1412" t="s">
        <v>4141</v>
      </c>
      <c r="I1412">
        <v>47.891416999999997</v>
      </c>
      <c r="J1412">
        <v>-122.28574500000001</v>
      </c>
      <c r="K1412" t="s">
        <v>3936</v>
      </c>
      <c r="L1412" t="s">
        <v>3946</v>
      </c>
      <c r="M1412" t="s">
        <v>3948</v>
      </c>
      <c r="P1412" t="s">
        <v>6076</v>
      </c>
    </row>
    <row r="1413" spans="1:16" x14ac:dyDescent="0.2">
      <c r="A1413" t="s">
        <v>1785</v>
      </c>
      <c r="B1413" t="s">
        <v>3764</v>
      </c>
      <c r="C1413" t="s">
        <v>2914</v>
      </c>
      <c r="D1413" t="s">
        <v>2307</v>
      </c>
      <c r="E1413">
        <v>98275</v>
      </c>
      <c r="F1413" t="s">
        <v>1600</v>
      </c>
      <c r="G1413" t="s">
        <v>1973</v>
      </c>
      <c r="H1413" t="s">
        <v>5107</v>
      </c>
      <c r="I1413">
        <v>47.894024000000002</v>
      </c>
      <c r="J1413">
        <v>-122.31107299999999</v>
      </c>
      <c r="K1413" t="s">
        <v>3936</v>
      </c>
      <c r="L1413" t="s">
        <v>3946</v>
      </c>
      <c r="M1413" t="s">
        <v>3948</v>
      </c>
      <c r="P1413" t="s">
        <v>5696</v>
      </c>
    </row>
    <row r="1414" spans="1:16" x14ac:dyDescent="0.2">
      <c r="A1414" t="s">
        <v>1786</v>
      </c>
      <c r="B1414" t="s">
        <v>3516</v>
      </c>
      <c r="C1414" t="s">
        <v>2861</v>
      </c>
      <c r="D1414" t="s">
        <v>2307</v>
      </c>
      <c r="E1414">
        <v>98012</v>
      </c>
      <c r="F1414" t="s">
        <v>1577</v>
      </c>
      <c r="G1414" t="s">
        <v>1987</v>
      </c>
      <c r="H1414" t="s">
        <v>4142</v>
      </c>
      <c r="I1414">
        <v>47.877859999999998</v>
      </c>
      <c r="J1414">
        <v>-122.18857300000001</v>
      </c>
      <c r="K1414" t="s">
        <v>3936</v>
      </c>
      <c r="L1414" t="s">
        <v>3946</v>
      </c>
      <c r="M1414" t="s">
        <v>3948</v>
      </c>
      <c r="P1414" t="s">
        <v>5719</v>
      </c>
    </row>
    <row r="1415" spans="1:16" x14ac:dyDescent="0.2">
      <c r="A1415" t="s">
        <v>1787</v>
      </c>
      <c r="B1415" t="s">
        <v>3767</v>
      </c>
      <c r="C1415" t="s">
        <v>2780</v>
      </c>
      <c r="D1415" t="s">
        <v>2307</v>
      </c>
      <c r="E1415">
        <v>98031</v>
      </c>
      <c r="F1415" t="s">
        <v>1604</v>
      </c>
      <c r="G1415" t="s">
        <v>1989</v>
      </c>
      <c r="H1415" t="s">
        <v>5337</v>
      </c>
      <c r="I1415">
        <v>47.374040999999998</v>
      </c>
      <c r="J1415">
        <v>-122.202173</v>
      </c>
      <c r="K1415" t="s">
        <v>3936</v>
      </c>
      <c r="L1415" t="s">
        <v>3946</v>
      </c>
      <c r="M1415" t="s">
        <v>3948</v>
      </c>
      <c r="P1415" t="s">
        <v>5684</v>
      </c>
    </row>
    <row r="1416" spans="1:16" x14ac:dyDescent="0.2">
      <c r="A1416" t="s">
        <v>1597</v>
      </c>
      <c r="B1416" t="s">
        <v>3768</v>
      </c>
      <c r="C1416" t="s">
        <v>2780</v>
      </c>
      <c r="D1416" t="s">
        <v>2307</v>
      </c>
      <c r="E1416">
        <v>98030</v>
      </c>
      <c r="F1416" t="s">
        <v>1573</v>
      </c>
      <c r="G1416" t="s">
        <v>1990</v>
      </c>
      <c r="H1416" t="s">
        <v>4891</v>
      </c>
      <c r="I1416">
        <v>47.374084000000003</v>
      </c>
      <c r="J1416">
        <v>-122.202569</v>
      </c>
      <c r="K1416" t="s">
        <v>3936</v>
      </c>
      <c r="L1416" t="s">
        <v>3946</v>
      </c>
      <c r="M1416" t="s">
        <v>3948</v>
      </c>
      <c r="P1416" t="s">
        <v>3768</v>
      </c>
    </row>
    <row r="1417" spans="1:16" x14ac:dyDescent="0.2">
      <c r="A1417" t="s">
        <v>1788</v>
      </c>
      <c r="B1417" t="s">
        <v>3769</v>
      </c>
      <c r="C1417" t="s">
        <v>2780</v>
      </c>
      <c r="D1417" t="s">
        <v>2307</v>
      </c>
      <c r="E1417">
        <v>98032</v>
      </c>
      <c r="F1417" t="s">
        <v>1575</v>
      </c>
      <c r="G1417" t="s">
        <v>1968</v>
      </c>
      <c r="H1417" t="s">
        <v>4143</v>
      </c>
      <c r="I1417">
        <v>47.366894000000002</v>
      </c>
      <c r="J1417">
        <v>-122.229755</v>
      </c>
      <c r="K1417" t="s">
        <v>3936</v>
      </c>
      <c r="L1417" t="s">
        <v>3946</v>
      </c>
      <c r="M1417" t="s">
        <v>3948</v>
      </c>
      <c r="P1417" t="s">
        <v>5697</v>
      </c>
    </row>
    <row r="1418" spans="1:16" x14ac:dyDescent="0.2">
      <c r="A1418" t="s">
        <v>1572</v>
      </c>
      <c r="B1418" t="s">
        <v>6276</v>
      </c>
      <c r="C1418" t="s">
        <v>2780</v>
      </c>
      <c r="D1418" t="s">
        <v>2307</v>
      </c>
      <c r="E1418">
        <v>98031</v>
      </c>
      <c r="F1418" t="s">
        <v>1573</v>
      </c>
      <c r="G1418" t="s">
        <v>1973</v>
      </c>
      <c r="H1418" t="s">
        <v>4144</v>
      </c>
      <c r="I1418">
        <v>47.372174000000001</v>
      </c>
      <c r="J1418">
        <v>-122.204874</v>
      </c>
      <c r="K1418" t="s">
        <v>3936</v>
      </c>
      <c r="L1418" t="s">
        <v>3946</v>
      </c>
      <c r="M1418" t="s">
        <v>3948</v>
      </c>
      <c r="P1418" t="s">
        <v>6077</v>
      </c>
    </row>
    <row r="1419" spans="1:16" x14ac:dyDescent="0.2">
      <c r="A1419" t="s">
        <v>1789</v>
      </c>
      <c r="B1419" t="s">
        <v>3770</v>
      </c>
      <c r="C1419" t="s">
        <v>2944</v>
      </c>
      <c r="D1419" t="s">
        <v>2307</v>
      </c>
      <c r="E1419">
        <v>98014</v>
      </c>
      <c r="F1419" t="s">
        <v>1587</v>
      </c>
      <c r="G1419" t="s">
        <v>1987</v>
      </c>
      <c r="H1419" t="s">
        <v>5108</v>
      </c>
      <c r="I1419">
        <v>47.624471999999997</v>
      </c>
      <c r="J1419">
        <v>-121.93334</v>
      </c>
      <c r="K1419" t="s">
        <v>3936</v>
      </c>
      <c r="L1419" t="s">
        <v>3946</v>
      </c>
      <c r="M1419" t="s">
        <v>3948</v>
      </c>
      <c r="P1419" t="s">
        <v>3770</v>
      </c>
    </row>
    <row r="1420" spans="1:16" x14ac:dyDescent="0.2">
      <c r="A1420" t="s">
        <v>1790</v>
      </c>
      <c r="B1420" t="s">
        <v>3771</v>
      </c>
      <c r="C1420" t="s">
        <v>2900</v>
      </c>
      <c r="D1420" t="s">
        <v>2307</v>
      </c>
      <c r="E1420">
        <v>98204</v>
      </c>
      <c r="F1420" t="s">
        <v>1591</v>
      </c>
      <c r="G1420" t="s">
        <v>1969</v>
      </c>
      <c r="H1420" t="s">
        <v>5552</v>
      </c>
      <c r="I1420">
        <v>47.899611</v>
      </c>
      <c r="J1420">
        <v>-122.249179</v>
      </c>
      <c r="K1420" t="s">
        <v>3936</v>
      </c>
      <c r="L1420" t="s">
        <v>3946</v>
      </c>
      <c r="M1420" t="s">
        <v>3948</v>
      </c>
      <c r="P1420" t="s">
        <v>3771</v>
      </c>
    </row>
    <row r="1421" spans="1:16" x14ac:dyDescent="0.2">
      <c r="A1421" t="s">
        <v>1594</v>
      </c>
      <c r="B1421" t="s">
        <v>3772</v>
      </c>
      <c r="C1421" t="s">
        <v>2900</v>
      </c>
      <c r="D1421" t="s">
        <v>2307</v>
      </c>
      <c r="E1421">
        <v>98201</v>
      </c>
      <c r="F1421" t="s">
        <v>1575</v>
      </c>
      <c r="G1421" t="s">
        <v>1973</v>
      </c>
      <c r="H1421" t="s">
        <v>4145</v>
      </c>
      <c r="I1421">
        <v>47.895926000000003</v>
      </c>
      <c r="J1421">
        <v>-122.206125</v>
      </c>
      <c r="K1421" t="s">
        <v>3936</v>
      </c>
      <c r="L1421" t="s">
        <v>3946</v>
      </c>
      <c r="M1421" t="s">
        <v>3948</v>
      </c>
      <c r="P1421" t="s">
        <v>5711</v>
      </c>
    </row>
    <row r="1422" spans="1:16" x14ac:dyDescent="0.2">
      <c r="A1422" t="s">
        <v>1791</v>
      </c>
      <c r="B1422" t="s">
        <v>3773</v>
      </c>
      <c r="C1422" t="s">
        <v>2900</v>
      </c>
      <c r="D1422" t="s">
        <v>2307</v>
      </c>
      <c r="E1422">
        <v>98208</v>
      </c>
      <c r="F1422" t="s">
        <v>1591</v>
      </c>
      <c r="G1422" t="s">
        <v>1969</v>
      </c>
      <c r="H1422" t="s">
        <v>5553</v>
      </c>
      <c r="I1422">
        <v>47.897914999999998</v>
      </c>
      <c r="J1422">
        <v>-122.206992</v>
      </c>
      <c r="K1422" t="s">
        <v>3936</v>
      </c>
      <c r="L1422" t="s">
        <v>3946</v>
      </c>
      <c r="M1422" t="s">
        <v>3948</v>
      </c>
      <c r="P1422" t="s">
        <v>5721</v>
      </c>
    </row>
    <row r="1423" spans="1:16" x14ac:dyDescent="0.2">
      <c r="A1423" t="s">
        <v>1686</v>
      </c>
      <c r="B1423" t="s">
        <v>3774</v>
      </c>
      <c r="C1423" t="s">
        <v>2900</v>
      </c>
      <c r="D1423" t="s">
        <v>2307</v>
      </c>
      <c r="E1423">
        <v>98208</v>
      </c>
      <c r="F1423" t="s">
        <v>1573</v>
      </c>
      <c r="G1423" t="s">
        <v>1996</v>
      </c>
      <c r="H1423" t="s">
        <v>5818</v>
      </c>
      <c r="I1423">
        <v>47.908549999999998</v>
      </c>
      <c r="J1423">
        <v>-122.227762</v>
      </c>
      <c r="K1423" t="s">
        <v>3936</v>
      </c>
      <c r="L1423" t="s">
        <v>3946</v>
      </c>
      <c r="M1423" t="s">
        <v>3948</v>
      </c>
      <c r="P1423" t="s">
        <v>5759</v>
      </c>
    </row>
    <row r="1424" spans="1:16" x14ac:dyDescent="0.2">
      <c r="A1424" t="s">
        <v>1792</v>
      </c>
      <c r="B1424" t="s">
        <v>3775</v>
      </c>
      <c r="C1424" t="s">
        <v>2900</v>
      </c>
      <c r="D1424" t="s">
        <v>2307</v>
      </c>
      <c r="E1424">
        <v>98204</v>
      </c>
      <c r="F1424" t="s">
        <v>1575</v>
      </c>
      <c r="G1424" t="s">
        <v>1971</v>
      </c>
      <c r="H1424" t="s">
        <v>5223</v>
      </c>
      <c r="I1424">
        <v>47.910463999999997</v>
      </c>
      <c r="J1424">
        <v>-122.238597</v>
      </c>
      <c r="K1424" t="s">
        <v>3936</v>
      </c>
      <c r="L1424" t="s">
        <v>3946</v>
      </c>
      <c r="M1424" t="s">
        <v>3948</v>
      </c>
      <c r="P1424" t="s">
        <v>3775</v>
      </c>
    </row>
    <row r="1425" spans="1:16" x14ac:dyDescent="0.2">
      <c r="A1425" t="s">
        <v>1793</v>
      </c>
      <c r="B1425" t="s">
        <v>3776</v>
      </c>
      <c r="C1425" t="s">
        <v>2900</v>
      </c>
      <c r="D1425" t="s">
        <v>2307</v>
      </c>
      <c r="E1425">
        <v>98204</v>
      </c>
      <c r="F1425" t="s">
        <v>1583</v>
      </c>
      <c r="G1425" t="s">
        <v>1980</v>
      </c>
      <c r="H1425" t="s">
        <v>5238</v>
      </c>
      <c r="I1425">
        <v>47.910992999999998</v>
      </c>
      <c r="J1425">
        <v>-122.238001</v>
      </c>
      <c r="K1425" t="s">
        <v>3936</v>
      </c>
      <c r="L1425" t="s">
        <v>3946</v>
      </c>
      <c r="M1425" t="s">
        <v>3948</v>
      </c>
      <c r="P1425" t="s">
        <v>3776</v>
      </c>
    </row>
    <row r="1426" spans="1:16" x14ac:dyDescent="0.2">
      <c r="A1426" t="s">
        <v>1794</v>
      </c>
      <c r="B1426" t="s">
        <v>3777</v>
      </c>
      <c r="C1426" t="s">
        <v>2930</v>
      </c>
      <c r="D1426" t="s">
        <v>2307</v>
      </c>
      <c r="E1426">
        <v>98003</v>
      </c>
      <c r="F1426" t="s">
        <v>1591</v>
      </c>
      <c r="G1426" t="s">
        <v>1969</v>
      </c>
      <c r="H1426" t="s">
        <v>4147</v>
      </c>
      <c r="I1426">
        <v>47.340845999999999</v>
      </c>
      <c r="J1426">
        <v>-122.312066</v>
      </c>
      <c r="K1426" t="s">
        <v>3936</v>
      </c>
      <c r="L1426" t="s">
        <v>3946</v>
      </c>
      <c r="M1426" t="s">
        <v>3948</v>
      </c>
      <c r="P1426" t="s">
        <v>3777</v>
      </c>
    </row>
    <row r="1427" spans="1:16" x14ac:dyDescent="0.2">
      <c r="A1427" t="s">
        <v>1795</v>
      </c>
      <c r="B1427" t="s">
        <v>3778</v>
      </c>
      <c r="C1427" t="s">
        <v>2900</v>
      </c>
      <c r="D1427" t="s">
        <v>2307</v>
      </c>
      <c r="E1427">
        <v>98208</v>
      </c>
      <c r="F1427" t="s">
        <v>1575</v>
      </c>
      <c r="G1427" t="s">
        <v>1984</v>
      </c>
      <c r="H1427" t="s">
        <v>5554</v>
      </c>
      <c r="I1427">
        <v>47.909134999999999</v>
      </c>
      <c r="J1427">
        <v>-122.224504</v>
      </c>
      <c r="K1427" t="s">
        <v>3936</v>
      </c>
      <c r="L1427" t="s">
        <v>3946</v>
      </c>
      <c r="M1427" t="s">
        <v>3948</v>
      </c>
      <c r="P1427" t="s">
        <v>3778</v>
      </c>
    </row>
    <row r="1428" spans="1:16" x14ac:dyDescent="0.2">
      <c r="A1428" t="s">
        <v>1738</v>
      </c>
      <c r="B1428" t="s">
        <v>3779</v>
      </c>
      <c r="C1428" t="s">
        <v>3780</v>
      </c>
      <c r="D1428" t="s">
        <v>2307</v>
      </c>
      <c r="E1428">
        <v>98208</v>
      </c>
      <c r="F1428" t="s">
        <v>1600</v>
      </c>
      <c r="G1428" t="s">
        <v>5527</v>
      </c>
      <c r="H1428" t="s">
        <v>5528</v>
      </c>
      <c r="I1428">
        <v>47.910321000000003</v>
      </c>
      <c r="J1428">
        <v>-122.207188</v>
      </c>
      <c r="K1428" t="s">
        <v>3936</v>
      </c>
      <c r="L1428" t="s">
        <v>3946</v>
      </c>
      <c r="M1428" t="s">
        <v>3948</v>
      </c>
      <c r="P1428" t="s">
        <v>3779</v>
      </c>
    </row>
    <row r="1429" spans="1:16" x14ac:dyDescent="0.2">
      <c r="A1429" t="s">
        <v>1572</v>
      </c>
      <c r="B1429" t="s">
        <v>6277</v>
      </c>
      <c r="C1429" t="s">
        <v>2900</v>
      </c>
      <c r="D1429" t="s">
        <v>2307</v>
      </c>
      <c r="E1429">
        <v>98208</v>
      </c>
      <c r="F1429" t="s">
        <v>1573</v>
      </c>
      <c r="G1429" t="s">
        <v>1973</v>
      </c>
      <c r="H1429" t="s">
        <v>4148</v>
      </c>
      <c r="I1429">
        <v>47.912010000000002</v>
      </c>
      <c r="J1429">
        <v>-122.214842</v>
      </c>
      <c r="K1429" t="s">
        <v>3936</v>
      </c>
      <c r="L1429" t="s">
        <v>3946</v>
      </c>
      <c r="M1429" t="s">
        <v>3948</v>
      </c>
      <c r="P1429" t="s">
        <v>6078</v>
      </c>
    </row>
    <row r="1430" spans="1:16" x14ac:dyDescent="0.2">
      <c r="A1430" t="s">
        <v>1597</v>
      </c>
      <c r="B1430" t="s">
        <v>3781</v>
      </c>
      <c r="C1430" t="s">
        <v>2900</v>
      </c>
      <c r="D1430" t="s">
        <v>2307</v>
      </c>
      <c r="E1430">
        <v>98208</v>
      </c>
      <c r="F1430" t="s">
        <v>1573</v>
      </c>
      <c r="G1430" t="s">
        <v>1990</v>
      </c>
      <c r="H1430" t="s">
        <v>5021</v>
      </c>
      <c r="I1430">
        <v>47.912120000000002</v>
      </c>
      <c r="J1430">
        <v>-122.21383</v>
      </c>
      <c r="K1430" t="s">
        <v>3936</v>
      </c>
      <c r="L1430" t="s">
        <v>3946</v>
      </c>
      <c r="M1430" t="s">
        <v>3948</v>
      </c>
      <c r="P1430" t="s">
        <v>5669</v>
      </c>
    </row>
    <row r="1431" spans="1:16" x14ac:dyDescent="0.2">
      <c r="A1431" t="s">
        <v>1667</v>
      </c>
      <c r="B1431" t="s">
        <v>3782</v>
      </c>
      <c r="C1431" t="s">
        <v>2780</v>
      </c>
      <c r="D1431" t="s">
        <v>2307</v>
      </c>
      <c r="E1431">
        <v>98030</v>
      </c>
      <c r="F1431" t="s">
        <v>1658</v>
      </c>
      <c r="G1431" t="s">
        <v>1994</v>
      </c>
      <c r="H1431" t="s">
        <v>4149</v>
      </c>
      <c r="I1431">
        <v>47.358283999999998</v>
      </c>
      <c r="J1431">
        <v>-122.166462</v>
      </c>
      <c r="K1431" t="s">
        <v>3936</v>
      </c>
      <c r="L1431" t="s">
        <v>3946</v>
      </c>
      <c r="M1431" t="s">
        <v>3948</v>
      </c>
      <c r="P1431" t="s">
        <v>5699</v>
      </c>
    </row>
    <row r="1432" spans="1:16" x14ac:dyDescent="0.2">
      <c r="A1432" t="s">
        <v>1796</v>
      </c>
      <c r="B1432" t="s">
        <v>6258</v>
      </c>
      <c r="C1432" t="s">
        <v>2961</v>
      </c>
      <c r="D1432" t="s">
        <v>2307</v>
      </c>
      <c r="E1432">
        <v>98002</v>
      </c>
      <c r="F1432" t="s">
        <v>1591</v>
      </c>
      <c r="G1432" t="s">
        <v>1969</v>
      </c>
      <c r="H1432" t="s">
        <v>4150</v>
      </c>
      <c r="I1432">
        <v>47.344591999999999</v>
      </c>
      <c r="J1432">
        <v>-122.22211900000001</v>
      </c>
      <c r="K1432" t="s">
        <v>3936</v>
      </c>
      <c r="L1432" t="s">
        <v>3946</v>
      </c>
      <c r="M1432" t="s">
        <v>3948</v>
      </c>
      <c r="P1432" t="s">
        <v>6059</v>
      </c>
    </row>
    <row r="1433" spans="1:16" x14ac:dyDescent="0.2">
      <c r="A1433" t="s">
        <v>1686</v>
      </c>
      <c r="B1433" t="s">
        <v>3783</v>
      </c>
      <c r="C1433" t="s">
        <v>2780</v>
      </c>
      <c r="D1433" t="s">
        <v>2307</v>
      </c>
      <c r="E1433">
        <v>98042</v>
      </c>
      <c r="F1433" t="s">
        <v>1573</v>
      </c>
      <c r="G1433" t="s">
        <v>2001</v>
      </c>
      <c r="H1433" t="s">
        <v>5819</v>
      </c>
      <c r="I1433">
        <v>47.358148</v>
      </c>
      <c r="J1433">
        <v>-122.165908</v>
      </c>
      <c r="K1433" t="s">
        <v>3936</v>
      </c>
      <c r="L1433" t="s">
        <v>3946</v>
      </c>
      <c r="M1433" t="s">
        <v>3948</v>
      </c>
      <c r="P1433" t="s">
        <v>3783</v>
      </c>
    </row>
    <row r="1434" spans="1:16" x14ac:dyDescent="0.2">
      <c r="A1434" t="s">
        <v>1797</v>
      </c>
      <c r="B1434" t="s">
        <v>3784</v>
      </c>
      <c r="C1434" t="s">
        <v>2900</v>
      </c>
      <c r="D1434" t="s">
        <v>2307</v>
      </c>
      <c r="E1434">
        <v>98104</v>
      </c>
      <c r="F1434" t="s">
        <v>1591</v>
      </c>
      <c r="G1434" t="s">
        <v>1969</v>
      </c>
      <c r="H1434" t="s">
        <v>4996</v>
      </c>
      <c r="I1434">
        <v>47.921982999999997</v>
      </c>
      <c r="J1434">
        <v>-122.240781</v>
      </c>
      <c r="K1434" t="s">
        <v>3936</v>
      </c>
      <c r="L1434" t="s">
        <v>3946</v>
      </c>
      <c r="M1434" t="s">
        <v>3948</v>
      </c>
      <c r="P1434" t="s">
        <v>3784</v>
      </c>
    </row>
    <row r="1435" spans="1:16" x14ac:dyDescent="0.2">
      <c r="A1435" t="s">
        <v>1798</v>
      </c>
      <c r="B1435" t="s">
        <v>3785</v>
      </c>
      <c r="C1435" t="s">
        <v>2780</v>
      </c>
      <c r="D1435" t="s">
        <v>2307</v>
      </c>
      <c r="E1435">
        <v>98042</v>
      </c>
      <c r="F1435" t="s">
        <v>1587</v>
      </c>
      <c r="G1435" t="s">
        <v>1973</v>
      </c>
      <c r="H1435" t="s">
        <v>4151</v>
      </c>
      <c r="I1435">
        <v>47.357841999999998</v>
      </c>
      <c r="J1435">
        <v>-122.135148</v>
      </c>
      <c r="K1435" t="s">
        <v>3936</v>
      </c>
      <c r="L1435" t="s">
        <v>3946</v>
      </c>
      <c r="M1435" t="s">
        <v>3948</v>
      </c>
      <c r="P1435" t="s">
        <v>3785</v>
      </c>
    </row>
    <row r="1436" spans="1:16" x14ac:dyDescent="0.2">
      <c r="A1436" t="s">
        <v>1799</v>
      </c>
      <c r="B1436" t="s">
        <v>3786</v>
      </c>
      <c r="C1436" t="s">
        <v>3787</v>
      </c>
      <c r="D1436" t="s">
        <v>2307</v>
      </c>
      <c r="E1436">
        <v>98024</v>
      </c>
      <c r="F1436" t="s">
        <v>1583</v>
      </c>
      <c r="G1436" t="s">
        <v>1980</v>
      </c>
      <c r="H1436" t="s">
        <v>5224</v>
      </c>
      <c r="I1436">
        <v>47.567819999999998</v>
      </c>
      <c r="J1436">
        <v>-121.89004300000001</v>
      </c>
      <c r="K1436" t="s">
        <v>3936</v>
      </c>
      <c r="L1436" t="s">
        <v>3946</v>
      </c>
      <c r="M1436" t="s">
        <v>3948</v>
      </c>
      <c r="P1436" t="s">
        <v>5722</v>
      </c>
    </row>
    <row r="1437" spans="1:16" x14ac:dyDescent="0.2">
      <c r="A1437" t="s">
        <v>1706</v>
      </c>
      <c r="B1437" t="s">
        <v>2969</v>
      </c>
      <c r="C1437" t="s">
        <v>2900</v>
      </c>
      <c r="D1437" t="s">
        <v>2307</v>
      </c>
      <c r="E1437">
        <v>98203</v>
      </c>
      <c r="F1437" t="s">
        <v>1658</v>
      </c>
      <c r="G1437" t="s">
        <v>1999</v>
      </c>
      <c r="H1437" t="s">
        <v>5338</v>
      </c>
      <c r="I1437">
        <v>47.929212999999997</v>
      </c>
      <c r="J1437">
        <v>-122.221171</v>
      </c>
      <c r="K1437" t="s">
        <v>3936</v>
      </c>
      <c r="L1437" t="s">
        <v>3946</v>
      </c>
      <c r="M1437" t="s">
        <v>3948</v>
      </c>
      <c r="P1437" t="s">
        <v>2969</v>
      </c>
    </row>
    <row r="1438" spans="1:16" x14ac:dyDescent="0.2">
      <c r="A1438" t="s">
        <v>1800</v>
      </c>
      <c r="B1438" t="s">
        <v>2969</v>
      </c>
      <c r="C1438" t="s">
        <v>2900</v>
      </c>
      <c r="D1438" t="s">
        <v>2307</v>
      </c>
      <c r="E1438">
        <v>98203</v>
      </c>
      <c r="F1438" t="s">
        <v>1600</v>
      </c>
      <c r="G1438" t="s">
        <v>1973</v>
      </c>
      <c r="H1438" t="s">
        <v>5418</v>
      </c>
      <c r="I1438">
        <v>47.929212999999997</v>
      </c>
      <c r="J1438">
        <v>-122.221171</v>
      </c>
      <c r="K1438" t="s">
        <v>3936</v>
      </c>
      <c r="L1438" t="s">
        <v>3946</v>
      </c>
      <c r="M1438" t="s">
        <v>3948</v>
      </c>
      <c r="P1438" t="s">
        <v>2969</v>
      </c>
    </row>
    <row r="1439" spans="1:16" x14ac:dyDescent="0.2">
      <c r="A1439" t="s">
        <v>1740</v>
      </c>
      <c r="B1439" t="s">
        <v>3788</v>
      </c>
      <c r="C1439" t="s">
        <v>2970</v>
      </c>
      <c r="D1439" t="s">
        <v>2307</v>
      </c>
      <c r="E1439">
        <v>98042</v>
      </c>
      <c r="F1439" t="s">
        <v>1575</v>
      </c>
      <c r="G1439" t="s">
        <v>1971</v>
      </c>
      <c r="H1439" t="s">
        <v>4997</v>
      </c>
      <c r="I1439">
        <v>47.358006000000003</v>
      </c>
      <c r="J1439">
        <v>-122.117709</v>
      </c>
      <c r="K1439" t="s">
        <v>3936</v>
      </c>
      <c r="L1439" t="s">
        <v>3946</v>
      </c>
      <c r="M1439" t="s">
        <v>3948</v>
      </c>
      <c r="P1439" t="s">
        <v>3788</v>
      </c>
    </row>
    <row r="1440" spans="1:16" x14ac:dyDescent="0.2">
      <c r="A1440" t="s">
        <v>1801</v>
      </c>
      <c r="B1440" t="s">
        <v>3789</v>
      </c>
      <c r="C1440" t="s">
        <v>3787</v>
      </c>
      <c r="D1440" t="s">
        <v>2307</v>
      </c>
      <c r="E1440">
        <v>98024</v>
      </c>
      <c r="F1440" t="s">
        <v>1587</v>
      </c>
      <c r="G1440" t="s">
        <v>1968</v>
      </c>
      <c r="H1440" t="s">
        <v>5114</v>
      </c>
      <c r="I1440">
        <v>47.567194000000001</v>
      </c>
      <c r="J1440">
        <v>-121.887908</v>
      </c>
      <c r="K1440" t="s">
        <v>3936</v>
      </c>
      <c r="L1440" t="s">
        <v>3946</v>
      </c>
      <c r="M1440" t="s">
        <v>3948</v>
      </c>
      <c r="P1440" t="s">
        <v>5700</v>
      </c>
    </row>
    <row r="1441" spans="1:16" x14ac:dyDescent="0.2">
      <c r="A1441" t="s">
        <v>1802</v>
      </c>
      <c r="B1441" t="s">
        <v>3790</v>
      </c>
      <c r="C1441" t="s">
        <v>2961</v>
      </c>
      <c r="D1441" t="s">
        <v>2307</v>
      </c>
      <c r="E1441">
        <v>98002</v>
      </c>
      <c r="F1441" t="s">
        <v>1591</v>
      </c>
      <c r="G1441" t="s">
        <v>1969</v>
      </c>
      <c r="H1441" t="s">
        <v>4152</v>
      </c>
      <c r="I1441">
        <v>47.325839000000002</v>
      </c>
      <c r="J1441">
        <v>-122.221684</v>
      </c>
      <c r="K1441" t="s">
        <v>3936</v>
      </c>
      <c r="L1441" t="s">
        <v>3946</v>
      </c>
      <c r="M1441" t="s">
        <v>3948</v>
      </c>
      <c r="P1441" t="s">
        <v>3790</v>
      </c>
    </row>
    <row r="1442" spans="1:16" x14ac:dyDescent="0.2">
      <c r="A1442" t="s">
        <v>1803</v>
      </c>
      <c r="B1442" t="s">
        <v>3791</v>
      </c>
      <c r="C1442" t="s">
        <v>2930</v>
      </c>
      <c r="D1442" t="s">
        <v>2307</v>
      </c>
      <c r="E1442">
        <v>98003</v>
      </c>
      <c r="F1442" t="s">
        <v>1602</v>
      </c>
      <c r="G1442" t="s">
        <v>1981</v>
      </c>
      <c r="H1442" t="s">
        <v>3990</v>
      </c>
      <c r="I1442">
        <v>47.316536999999997</v>
      </c>
      <c r="J1442">
        <v>-122.299543</v>
      </c>
      <c r="K1442" t="s">
        <v>3936</v>
      </c>
      <c r="L1442" t="s">
        <v>3946</v>
      </c>
      <c r="M1442" t="s">
        <v>3948</v>
      </c>
      <c r="P1442" t="s">
        <v>3791</v>
      </c>
    </row>
    <row r="1443" spans="1:16" x14ac:dyDescent="0.2">
      <c r="A1443" t="s">
        <v>1597</v>
      </c>
      <c r="B1443" t="s">
        <v>3792</v>
      </c>
      <c r="C1443" t="s">
        <v>2930</v>
      </c>
      <c r="D1443" t="s">
        <v>2307</v>
      </c>
      <c r="E1443">
        <v>98003</v>
      </c>
      <c r="F1443" t="s">
        <v>1573</v>
      </c>
      <c r="G1443" t="s">
        <v>1990</v>
      </c>
      <c r="H1443" t="s">
        <v>5315</v>
      </c>
      <c r="I1443">
        <v>47.315252999999998</v>
      </c>
      <c r="J1443">
        <v>-122.30822000000001</v>
      </c>
      <c r="K1443" t="s">
        <v>3936</v>
      </c>
      <c r="L1443" t="s">
        <v>3946</v>
      </c>
      <c r="M1443" t="s">
        <v>3948</v>
      </c>
      <c r="P1443" t="s">
        <v>3792</v>
      </c>
    </row>
    <row r="1444" spans="1:16" x14ac:dyDescent="0.2">
      <c r="A1444" t="s">
        <v>1804</v>
      </c>
      <c r="B1444" t="s">
        <v>3793</v>
      </c>
      <c r="C1444" t="s">
        <v>2930</v>
      </c>
      <c r="D1444" t="s">
        <v>2307</v>
      </c>
      <c r="E1444">
        <v>98003</v>
      </c>
      <c r="F1444" t="s">
        <v>1583</v>
      </c>
      <c r="G1444" t="s">
        <v>1980</v>
      </c>
      <c r="H1444" t="s">
        <v>3991</v>
      </c>
      <c r="I1444">
        <v>47.315252999999998</v>
      </c>
      <c r="J1444">
        <v>-122.30809600000001</v>
      </c>
      <c r="K1444" t="s">
        <v>3936</v>
      </c>
      <c r="L1444" t="s">
        <v>3946</v>
      </c>
      <c r="M1444" t="s">
        <v>3948</v>
      </c>
      <c r="P1444" t="s">
        <v>3793</v>
      </c>
    </row>
    <row r="1445" spans="1:16" x14ac:dyDescent="0.2">
      <c r="A1445" t="s">
        <v>1734</v>
      </c>
      <c r="B1445" t="s">
        <v>3794</v>
      </c>
      <c r="C1445" t="s">
        <v>2930</v>
      </c>
      <c r="D1445" t="s">
        <v>2307</v>
      </c>
      <c r="E1445">
        <v>98003</v>
      </c>
      <c r="F1445" t="s">
        <v>1573</v>
      </c>
      <c r="G1445" t="s">
        <v>1990</v>
      </c>
      <c r="H1445" t="s">
        <v>4153</v>
      </c>
      <c r="I1445">
        <v>47.315308000000002</v>
      </c>
      <c r="J1445">
        <v>-122.302525</v>
      </c>
      <c r="K1445" t="s">
        <v>3936</v>
      </c>
      <c r="L1445" t="s">
        <v>3946</v>
      </c>
      <c r="M1445" t="s">
        <v>3948</v>
      </c>
      <c r="P1445" t="s">
        <v>3794</v>
      </c>
    </row>
    <row r="1446" spans="1:16" x14ac:dyDescent="0.2">
      <c r="A1446" t="s">
        <v>1738</v>
      </c>
      <c r="B1446" t="s">
        <v>3795</v>
      </c>
      <c r="C1446" t="s">
        <v>2900</v>
      </c>
      <c r="D1446" t="s">
        <v>2307</v>
      </c>
      <c r="E1446">
        <v>98203</v>
      </c>
      <c r="F1446" t="s">
        <v>1585</v>
      </c>
      <c r="G1446" t="s">
        <v>1988</v>
      </c>
      <c r="H1446" t="s">
        <v>5198</v>
      </c>
      <c r="I1446">
        <v>47.935102999999998</v>
      </c>
      <c r="J1446">
        <v>-122.219578</v>
      </c>
      <c r="K1446" t="s">
        <v>3936</v>
      </c>
      <c r="L1446" t="s">
        <v>3946</v>
      </c>
      <c r="M1446" t="s">
        <v>3948</v>
      </c>
      <c r="P1446" t="s">
        <v>3795</v>
      </c>
    </row>
    <row r="1447" spans="1:16" x14ac:dyDescent="0.2">
      <c r="A1447" t="s">
        <v>1572</v>
      </c>
      <c r="B1447" t="s">
        <v>6278</v>
      </c>
      <c r="C1447" t="s">
        <v>2930</v>
      </c>
      <c r="D1447" t="s">
        <v>2307</v>
      </c>
      <c r="E1447">
        <v>98003</v>
      </c>
      <c r="F1447" t="s">
        <v>1573</v>
      </c>
      <c r="G1447" t="s">
        <v>1973</v>
      </c>
      <c r="H1447" t="s">
        <v>4154</v>
      </c>
      <c r="I1447">
        <v>47.314638000000002</v>
      </c>
      <c r="J1447">
        <v>-122.303839</v>
      </c>
      <c r="K1447" t="s">
        <v>3936</v>
      </c>
      <c r="L1447" t="s">
        <v>3946</v>
      </c>
      <c r="M1447" t="s">
        <v>3948</v>
      </c>
      <c r="P1447" t="s">
        <v>6079</v>
      </c>
    </row>
    <row r="1448" spans="1:16" x14ac:dyDescent="0.2">
      <c r="A1448" t="s">
        <v>5115</v>
      </c>
      <c r="B1448" t="s">
        <v>5116</v>
      </c>
      <c r="C1448" t="s">
        <v>2900</v>
      </c>
      <c r="D1448" t="s">
        <v>2307</v>
      </c>
      <c r="E1448">
        <v>98203</v>
      </c>
      <c r="F1448" t="s">
        <v>1620</v>
      </c>
      <c r="G1448" t="s">
        <v>1973</v>
      </c>
      <c r="H1448" t="s">
        <v>5117</v>
      </c>
      <c r="I1448">
        <v>47.937043000000003</v>
      </c>
      <c r="J1448">
        <v>-122.219059</v>
      </c>
      <c r="K1448" t="s">
        <v>3936</v>
      </c>
      <c r="L1448" t="s">
        <v>3946</v>
      </c>
      <c r="M1448" t="s">
        <v>3948</v>
      </c>
      <c r="P1448" t="s">
        <v>5116</v>
      </c>
    </row>
    <row r="1449" spans="1:16" x14ac:dyDescent="0.2">
      <c r="A1449" t="s">
        <v>1805</v>
      </c>
      <c r="B1449" t="s">
        <v>3796</v>
      </c>
      <c r="C1449" t="s">
        <v>2961</v>
      </c>
      <c r="D1449" t="s">
        <v>2307</v>
      </c>
      <c r="E1449">
        <v>98002</v>
      </c>
      <c r="F1449" t="s">
        <v>1587</v>
      </c>
      <c r="G1449" t="s">
        <v>1973</v>
      </c>
      <c r="H1449" t="s">
        <v>5420</v>
      </c>
      <c r="I1449">
        <v>47.320976000000002</v>
      </c>
      <c r="J1449">
        <v>-122.22588399999999</v>
      </c>
      <c r="K1449" t="s">
        <v>3936</v>
      </c>
      <c r="L1449" t="s">
        <v>3946</v>
      </c>
      <c r="M1449" t="s">
        <v>3948</v>
      </c>
      <c r="P1449" t="s">
        <v>3796</v>
      </c>
    </row>
    <row r="1450" spans="1:16" x14ac:dyDescent="0.2">
      <c r="A1450" t="s">
        <v>1668</v>
      </c>
      <c r="B1450" t="s">
        <v>3797</v>
      </c>
      <c r="C1450" t="s">
        <v>2930</v>
      </c>
      <c r="D1450" t="s">
        <v>2307</v>
      </c>
      <c r="E1450">
        <v>98003</v>
      </c>
      <c r="F1450" t="s">
        <v>1573</v>
      </c>
      <c r="G1450" t="s">
        <v>1990</v>
      </c>
      <c r="H1450" t="s">
        <v>4155</v>
      </c>
      <c r="I1450">
        <v>47.311461000000001</v>
      </c>
      <c r="J1450">
        <v>-122.313524</v>
      </c>
      <c r="K1450" t="s">
        <v>3936</v>
      </c>
      <c r="L1450" t="s">
        <v>3946</v>
      </c>
      <c r="M1450" t="s">
        <v>3948</v>
      </c>
      <c r="P1450" t="s">
        <v>3797</v>
      </c>
    </row>
    <row r="1451" spans="1:16" x14ac:dyDescent="0.2">
      <c r="A1451" t="s">
        <v>1597</v>
      </c>
      <c r="B1451" t="s">
        <v>3798</v>
      </c>
      <c r="C1451" t="s">
        <v>2914</v>
      </c>
      <c r="D1451" t="s">
        <v>2307</v>
      </c>
      <c r="E1451">
        <v>98275</v>
      </c>
      <c r="F1451" t="s">
        <v>1573</v>
      </c>
      <c r="G1451" t="s">
        <v>1990</v>
      </c>
      <c r="H1451" t="s">
        <v>5316</v>
      </c>
      <c r="I1451">
        <v>47.948946999999997</v>
      </c>
      <c r="J1451">
        <v>-122.303956</v>
      </c>
      <c r="K1451" t="s">
        <v>3936</v>
      </c>
      <c r="L1451" t="s">
        <v>3946</v>
      </c>
      <c r="M1451" t="s">
        <v>3948</v>
      </c>
      <c r="P1451" t="s">
        <v>3798</v>
      </c>
    </row>
    <row r="1452" spans="1:16" x14ac:dyDescent="0.2">
      <c r="A1452" t="s">
        <v>1704</v>
      </c>
      <c r="B1452" t="s">
        <v>2992</v>
      </c>
      <c r="C1452" t="s">
        <v>2961</v>
      </c>
      <c r="D1452" t="s">
        <v>2307</v>
      </c>
      <c r="E1452">
        <v>98002</v>
      </c>
      <c r="F1452" t="s">
        <v>1600</v>
      </c>
      <c r="G1452" t="s">
        <v>1998</v>
      </c>
      <c r="H1452" t="s">
        <v>5022</v>
      </c>
      <c r="I1452">
        <v>47.318694000000001</v>
      </c>
      <c r="J1452">
        <v>-122.221304</v>
      </c>
      <c r="K1452" t="s">
        <v>3936</v>
      </c>
      <c r="L1452" t="s">
        <v>3946</v>
      </c>
      <c r="M1452" t="s">
        <v>3948</v>
      </c>
      <c r="P1452" t="s">
        <v>2992</v>
      </c>
    </row>
    <row r="1453" spans="1:16" x14ac:dyDescent="0.2">
      <c r="A1453" t="s">
        <v>1806</v>
      </c>
      <c r="B1453" t="s">
        <v>3799</v>
      </c>
      <c r="C1453" t="s">
        <v>2997</v>
      </c>
      <c r="D1453" t="s">
        <v>2307</v>
      </c>
      <c r="E1453">
        <v>98332</v>
      </c>
      <c r="F1453" t="s">
        <v>1583</v>
      </c>
      <c r="G1453" t="s">
        <v>1980</v>
      </c>
      <c r="H1453" t="s">
        <v>4156</v>
      </c>
      <c r="I1453">
        <v>47.359969999999997</v>
      </c>
      <c r="J1453">
        <v>-122.602819</v>
      </c>
      <c r="K1453" t="s">
        <v>3936</v>
      </c>
      <c r="L1453" t="s">
        <v>3946</v>
      </c>
      <c r="M1453" t="s">
        <v>3948</v>
      </c>
      <c r="P1453" t="s">
        <v>6008</v>
      </c>
    </row>
    <row r="1454" spans="1:16" x14ac:dyDescent="0.2">
      <c r="A1454" t="s">
        <v>5005</v>
      </c>
      <c r="B1454" t="s">
        <v>6261</v>
      </c>
      <c r="C1454" t="s">
        <v>2888</v>
      </c>
      <c r="D1454" t="s">
        <v>2307</v>
      </c>
      <c r="E1454">
        <v>98290</v>
      </c>
      <c r="F1454" t="s">
        <v>1583</v>
      </c>
      <c r="G1454" t="s">
        <v>1980</v>
      </c>
      <c r="H1454" t="s">
        <v>5566</v>
      </c>
      <c r="I1454">
        <v>47.911495000000002</v>
      </c>
      <c r="J1454">
        <v>-122.094855</v>
      </c>
      <c r="K1454" t="s">
        <v>3936</v>
      </c>
      <c r="L1454" t="s">
        <v>3946</v>
      </c>
      <c r="M1454" t="s">
        <v>3948</v>
      </c>
      <c r="P1454" t="s">
        <v>6062</v>
      </c>
    </row>
    <row r="1455" spans="1:16" x14ac:dyDescent="0.2">
      <c r="A1455" t="s">
        <v>1809</v>
      </c>
      <c r="B1455" t="s">
        <v>3800</v>
      </c>
      <c r="C1455" t="s">
        <v>2961</v>
      </c>
      <c r="D1455" t="s">
        <v>2307</v>
      </c>
      <c r="E1455">
        <v>98092</v>
      </c>
      <c r="F1455" t="s">
        <v>1575</v>
      </c>
      <c r="G1455" t="s">
        <v>1989</v>
      </c>
      <c r="H1455" t="s">
        <v>5339</v>
      </c>
      <c r="I1455">
        <v>47.322564</v>
      </c>
      <c r="J1455">
        <v>-122.172656</v>
      </c>
      <c r="K1455" t="s">
        <v>3936</v>
      </c>
      <c r="L1455" t="s">
        <v>3946</v>
      </c>
      <c r="M1455" t="s">
        <v>3948</v>
      </c>
      <c r="P1455" t="s">
        <v>3800</v>
      </c>
    </row>
    <row r="1456" spans="1:16" x14ac:dyDescent="0.2">
      <c r="A1456" t="s">
        <v>1808</v>
      </c>
      <c r="B1456" t="s">
        <v>3800</v>
      </c>
      <c r="C1456" t="s">
        <v>2961</v>
      </c>
      <c r="D1456" t="s">
        <v>2307</v>
      </c>
      <c r="E1456">
        <v>98092</v>
      </c>
      <c r="F1456" t="s">
        <v>1658</v>
      </c>
      <c r="G1456" t="s">
        <v>1973</v>
      </c>
      <c r="H1456" t="s">
        <v>5340</v>
      </c>
      <c r="I1456">
        <v>47.322564</v>
      </c>
      <c r="J1456">
        <v>-122.172656</v>
      </c>
      <c r="K1456" t="s">
        <v>3936</v>
      </c>
      <c r="L1456" t="s">
        <v>3946</v>
      </c>
      <c r="M1456" t="s">
        <v>3948</v>
      </c>
      <c r="P1456" t="s">
        <v>3800</v>
      </c>
    </row>
    <row r="1457" spans="1:16" x14ac:dyDescent="0.2">
      <c r="A1457" t="s">
        <v>1807</v>
      </c>
      <c r="B1457" t="s">
        <v>3800</v>
      </c>
      <c r="C1457" t="s">
        <v>2961</v>
      </c>
      <c r="D1457" t="s">
        <v>2307</v>
      </c>
      <c r="E1457">
        <v>98092</v>
      </c>
      <c r="F1457" t="s">
        <v>1583</v>
      </c>
      <c r="G1457" t="s">
        <v>1980</v>
      </c>
      <c r="H1457" t="s">
        <v>4157</v>
      </c>
      <c r="I1457">
        <v>47.322564</v>
      </c>
      <c r="J1457">
        <v>-122.172656</v>
      </c>
      <c r="K1457" t="s">
        <v>3936</v>
      </c>
      <c r="L1457" t="s">
        <v>3946</v>
      </c>
      <c r="M1457" t="s">
        <v>3948</v>
      </c>
      <c r="P1457" t="s">
        <v>3800</v>
      </c>
    </row>
    <row r="1458" spans="1:16" x14ac:dyDescent="0.2">
      <c r="A1458" t="s">
        <v>1810</v>
      </c>
      <c r="B1458" t="s">
        <v>3801</v>
      </c>
      <c r="C1458" t="s">
        <v>3060</v>
      </c>
      <c r="D1458" t="s">
        <v>2307</v>
      </c>
      <c r="E1458">
        <v>98236</v>
      </c>
      <c r="F1458" t="s">
        <v>1575</v>
      </c>
      <c r="G1458" t="s">
        <v>1989</v>
      </c>
      <c r="H1458" t="s">
        <v>4158</v>
      </c>
      <c r="I1458">
        <v>47.979218000000003</v>
      </c>
      <c r="J1458">
        <v>-122.356465</v>
      </c>
      <c r="K1458" t="s">
        <v>3936</v>
      </c>
      <c r="L1458" t="s">
        <v>3946</v>
      </c>
      <c r="M1458" t="s">
        <v>3948</v>
      </c>
      <c r="P1458" t="s">
        <v>3801</v>
      </c>
    </row>
    <row r="1459" spans="1:16" x14ac:dyDescent="0.2">
      <c r="A1459" t="s">
        <v>1811</v>
      </c>
      <c r="B1459" t="s">
        <v>3016</v>
      </c>
      <c r="C1459" t="s">
        <v>3014</v>
      </c>
      <c r="D1459" t="s">
        <v>2307</v>
      </c>
      <c r="E1459">
        <v>98065</v>
      </c>
      <c r="F1459" t="s">
        <v>1575</v>
      </c>
      <c r="G1459" t="s">
        <v>1989</v>
      </c>
      <c r="H1459" t="s">
        <v>5496</v>
      </c>
      <c r="I1459">
        <v>47.530741999999996</v>
      </c>
      <c r="J1459">
        <v>-121.873142</v>
      </c>
      <c r="K1459" t="s">
        <v>3936</v>
      </c>
      <c r="L1459" t="s">
        <v>3946</v>
      </c>
      <c r="M1459" t="s">
        <v>3948</v>
      </c>
      <c r="P1459" t="s">
        <v>3016</v>
      </c>
    </row>
    <row r="1460" spans="1:16" x14ac:dyDescent="0.2">
      <c r="A1460" t="s">
        <v>1812</v>
      </c>
      <c r="B1460" t="s">
        <v>3802</v>
      </c>
      <c r="C1460" t="s">
        <v>2961</v>
      </c>
      <c r="D1460" t="s">
        <v>2307</v>
      </c>
      <c r="E1460">
        <v>98002</v>
      </c>
      <c r="F1460" t="s">
        <v>1573</v>
      </c>
      <c r="G1460" t="s">
        <v>1990</v>
      </c>
      <c r="H1460" t="s">
        <v>4956</v>
      </c>
      <c r="I1460">
        <v>47.307290999999999</v>
      </c>
      <c r="J1460">
        <v>-122.22835499999999</v>
      </c>
      <c r="K1460" t="s">
        <v>3936</v>
      </c>
      <c r="L1460" t="s">
        <v>3946</v>
      </c>
      <c r="M1460" t="s">
        <v>3948</v>
      </c>
      <c r="P1460" t="s">
        <v>3802</v>
      </c>
    </row>
    <row r="1461" spans="1:16" x14ac:dyDescent="0.2">
      <c r="A1461" t="s">
        <v>1813</v>
      </c>
      <c r="B1461" t="s">
        <v>3803</v>
      </c>
      <c r="C1461" t="s">
        <v>2900</v>
      </c>
      <c r="D1461" t="s">
        <v>2307</v>
      </c>
      <c r="E1461">
        <v>98203</v>
      </c>
      <c r="F1461" t="s">
        <v>1600</v>
      </c>
      <c r="G1461" t="s">
        <v>1997</v>
      </c>
      <c r="H1461" t="s">
        <v>4159</v>
      </c>
      <c r="I1461">
        <v>47.950440999999998</v>
      </c>
      <c r="J1461">
        <v>-122.212498</v>
      </c>
      <c r="K1461" t="s">
        <v>3936</v>
      </c>
      <c r="L1461" t="s">
        <v>3946</v>
      </c>
      <c r="M1461" t="s">
        <v>3948</v>
      </c>
      <c r="P1461" t="s">
        <v>3803</v>
      </c>
    </row>
    <row r="1462" spans="1:16" x14ac:dyDescent="0.2">
      <c r="A1462" t="s">
        <v>4986</v>
      </c>
      <c r="B1462" t="s">
        <v>4987</v>
      </c>
      <c r="C1462" t="s">
        <v>2900</v>
      </c>
      <c r="D1462" t="s">
        <v>2307</v>
      </c>
      <c r="E1462">
        <v>98203</v>
      </c>
      <c r="F1462" t="s">
        <v>1604</v>
      </c>
      <c r="G1462" t="s">
        <v>1973</v>
      </c>
      <c r="H1462" t="s">
        <v>5530</v>
      </c>
      <c r="I1462">
        <v>47.951338999999997</v>
      </c>
      <c r="J1462">
        <v>-122.214035</v>
      </c>
      <c r="K1462" t="s">
        <v>3936</v>
      </c>
      <c r="L1462" t="s">
        <v>3946</v>
      </c>
      <c r="M1462" t="s">
        <v>3948</v>
      </c>
      <c r="P1462" t="s">
        <v>4987</v>
      </c>
    </row>
    <row r="1463" spans="1:16" x14ac:dyDescent="0.2">
      <c r="A1463" t="s">
        <v>1814</v>
      </c>
      <c r="B1463" t="s">
        <v>3804</v>
      </c>
      <c r="C1463" t="s">
        <v>2961</v>
      </c>
      <c r="D1463" t="s">
        <v>2307</v>
      </c>
      <c r="E1463">
        <v>98002</v>
      </c>
      <c r="F1463" t="s">
        <v>1591</v>
      </c>
      <c r="G1463" t="s">
        <v>1969</v>
      </c>
      <c r="H1463" t="s">
        <v>5429</v>
      </c>
      <c r="I1463">
        <v>47.305525000000003</v>
      </c>
      <c r="J1463">
        <v>-122.228251</v>
      </c>
      <c r="K1463" t="s">
        <v>3936</v>
      </c>
      <c r="L1463" t="s">
        <v>3946</v>
      </c>
      <c r="M1463" t="s">
        <v>3948</v>
      </c>
      <c r="P1463" t="s">
        <v>3804</v>
      </c>
    </row>
    <row r="1464" spans="1:16" x14ac:dyDescent="0.2">
      <c r="A1464" t="s">
        <v>1815</v>
      </c>
      <c r="B1464" t="s">
        <v>3805</v>
      </c>
      <c r="C1464" t="s">
        <v>2888</v>
      </c>
      <c r="D1464" t="s">
        <v>2307</v>
      </c>
      <c r="E1464">
        <v>98290</v>
      </c>
      <c r="F1464" t="s">
        <v>1587</v>
      </c>
      <c r="G1464" t="s">
        <v>1987</v>
      </c>
      <c r="H1464" t="s">
        <v>3992</v>
      </c>
      <c r="I1464">
        <v>47.921830999999997</v>
      </c>
      <c r="J1464">
        <v>-122.097809</v>
      </c>
      <c r="K1464" t="s">
        <v>3936</v>
      </c>
      <c r="L1464" t="s">
        <v>3946</v>
      </c>
      <c r="M1464" t="s">
        <v>3948</v>
      </c>
      <c r="P1464" t="s">
        <v>3805</v>
      </c>
    </row>
    <row r="1465" spans="1:16" x14ac:dyDescent="0.2">
      <c r="A1465" t="s">
        <v>1816</v>
      </c>
      <c r="B1465" t="s">
        <v>3806</v>
      </c>
      <c r="C1465" t="s">
        <v>2888</v>
      </c>
      <c r="D1465" t="s">
        <v>2307</v>
      </c>
      <c r="E1465">
        <v>98290</v>
      </c>
      <c r="F1465" t="s">
        <v>1604</v>
      </c>
      <c r="G1465" t="s">
        <v>1973</v>
      </c>
      <c r="H1465" t="s">
        <v>5555</v>
      </c>
      <c r="I1465">
        <v>47.921689999999998</v>
      </c>
      <c r="J1465">
        <v>-122.09781700000001</v>
      </c>
      <c r="K1465" t="s">
        <v>3936</v>
      </c>
      <c r="L1465" t="s">
        <v>3946</v>
      </c>
      <c r="M1465" t="s">
        <v>3948</v>
      </c>
      <c r="P1465" t="s">
        <v>3806</v>
      </c>
    </row>
    <row r="1466" spans="1:16" x14ac:dyDescent="0.2">
      <c r="A1466" t="s">
        <v>1816</v>
      </c>
      <c r="B1466" t="s">
        <v>3807</v>
      </c>
      <c r="C1466" t="s">
        <v>2995</v>
      </c>
      <c r="D1466" t="s">
        <v>2307</v>
      </c>
      <c r="E1466">
        <v>98272</v>
      </c>
      <c r="F1466" t="s">
        <v>1604</v>
      </c>
      <c r="G1466" t="s">
        <v>1973</v>
      </c>
      <c r="H1466" t="s">
        <v>5556</v>
      </c>
      <c r="I1466">
        <v>47.855544000000002</v>
      </c>
      <c r="J1466">
        <v>-121.97103</v>
      </c>
      <c r="K1466" t="s">
        <v>3936</v>
      </c>
      <c r="L1466" t="s">
        <v>3946</v>
      </c>
      <c r="M1466" t="s">
        <v>3948</v>
      </c>
      <c r="P1466" t="s">
        <v>3807</v>
      </c>
    </row>
    <row r="1467" spans="1:16" x14ac:dyDescent="0.2">
      <c r="A1467" t="s">
        <v>1686</v>
      </c>
      <c r="B1467">
        <v>4002</v>
      </c>
      <c r="C1467" t="s">
        <v>2961</v>
      </c>
      <c r="D1467" t="s">
        <v>2307</v>
      </c>
      <c r="E1467">
        <v>98002</v>
      </c>
      <c r="F1467" t="s">
        <v>1573</v>
      </c>
      <c r="G1467" t="s">
        <v>2001</v>
      </c>
      <c r="H1467" t="s">
        <v>5820</v>
      </c>
      <c r="I1467">
        <v>47.342953999999999</v>
      </c>
      <c r="J1467">
        <v>-122.222111</v>
      </c>
      <c r="K1467" t="s">
        <v>3936</v>
      </c>
      <c r="L1467" t="s">
        <v>3946</v>
      </c>
      <c r="M1467" t="s">
        <v>3948</v>
      </c>
      <c r="P1467">
        <v>4002</v>
      </c>
    </row>
    <row r="1468" spans="1:16" x14ac:dyDescent="0.2">
      <c r="A1468" t="s">
        <v>1738</v>
      </c>
      <c r="B1468" t="s">
        <v>3808</v>
      </c>
      <c r="C1468" t="s">
        <v>2888</v>
      </c>
      <c r="D1468" t="s">
        <v>2307</v>
      </c>
      <c r="E1468">
        <v>98290</v>
      </c>
      <c r="F1468" t="s">
        <v>1600</v>
      </c>
      <c r="G1468" t="s">
        <v>5526</v>
      </c>
      <c r="H1468" t="s">
        <v>5531</v>
      </c>
      <c r="I1468">
        <v>47.924373000000003</v>
      </c>
      <c r="J1468">
        <v>-122.098077</v>
      </c>
      <c r="K1468" t="s">
        <v>3936</v>
      </c>
      <c r="L1468" t="s">
        <v>3946</v>
      </c>
      <c r="M1468" t="s">
        <v>3948</v>
      </c>
      <c r="P1468" t="s">
        <v>3808</v>
      </c>
    </row>
    <row r="1469" spans="1:16" x14ac:dyDescent="0.2">
      <c r="A1469" t="s">
        <v>1738</v>
      </c>
      <c r="B1469" t="s">
        <v>3810</v>
      </c>
      <c r="C1469" t="s">
        <v>2995</v>
      </c>
      <c r="D1469" t="s">
        <v>2307</v>
      </c>
      <c r="E1469">
        <v>98272</v>
      </c>
      <c r="F1469" t="s">
        <v>1600</v>
      </c>
      <c r="G1469" t="s">
        <v>5526</v>
      </c>
      <c r="H1469" t="s">
        <v>5532</v>
      </c>
      <c r="I1469">
        <v>47.860187000000003</v>
      </c>
      <c r="J1469">
        <v>-121.973677</v>
      </c>
      <c r="K1469" t="s">
        <v>3936</v>
      </c>
      <c r="L1469" t="s">
        <v>3946</v>
      </c>
      <c r="M1469" t="s">
        <v>3948</v>
      </c>
      <c r="P1469" t="s">
        <v>3810</v>
      </c>
    </row>
    <row r="1470" spans="1:16" x14ac:dyDescent="0.2">
      <c r="A1470" t="s">
        <v>1686</v>
      </c>
      <c r="B1470" t="s">
        <v>3811</v>
      </c>
      <c r="C1470" t="s">
        <v>2930</v>
      </c>
      <c r="D1470" t="s">
        <v>2307</v>
      </c>
      <c r="E1470">
        <v>98003</v>
      </c>
      <c r="F1470" t="s">
        <v>1573</v>
      </c>
      <c r="G1470" t="s">
        <v>1996</v>
      </c>
      <c r="H1470" t="s">
        <v>5821</v>
      </c>
      <c r="I1470">
        <v>47.293227999999999</v>
      </c>
      <c r="J1470">
        <v>-122.313283</v>
      </c>
      <c r="K1470" t="s">
        <v>3936</v>
      </c>
      <c r="L1470" t="s">
        <v>3946</v>
      </c>
      <c r="M1470" t="s">
        <v>3948</v>
      </c>
      <c r="P1470" t="s">
        <v>5760</v>
      </c>
    </row>
    <row r="1471" spans="1:16" x14ac:dyDescent="0.2">
      <c r="A1471" t="s">
        <v>1818</v>
      </c>
      <c r="B1471" t="s">
        <v>3812</v>
      </c>
      <c r="C1471" t="s">
        <v>2930</v>
      </c>
      <c r="D1471" t="s">
        <v>2307</v>
      </c>
      <c r="E1471">
        <v>98003</v>
      </c>
      <c r="F1471" t="s">
        <v>1591</v>
      </c>
      <c r="G1471" t="s">
        <v>1969</v>
      </c>
      <c r="H1471" t="s">
        <v>4160</v>
      </c>
      <c r="I1471">
        <v>47.291801</v>
      </c>
      <c r="J1471">
        <v>-122.313692</v>
      </c>
      <c r="K1471" t="s">
        <v>3936</v>
      </c>
      <c r="L1471" t="s">
        <v>3946</v>
      </c>
      <c r="M1471" t="s">
        <v>3948</v>
      </c>
      <c r="P1471" t="s">
        <v>3812</v>
      </c>
    </row>
    <row r="1472" spans="1:16" x14ac:dyDescent="0.2">
      <c r="A1472" t="s">
        <v>1740</v>
      </c>
      <c r="B1472" t="s">
        <v>3813</v>
      </c>
      <c r="C1472" t="s">
        <v>2961</v>
      </c>
      <c r="D1472" t="s">
        <v>2307</v>
      </c>
      <c r="E1472">
        <v>98001</v>
      </c>
      <c r="F1472" t="s">
        <v>1583</v>
      </c>
      <c r="G1472" t="s">
        <v>1980</v>
      </c>
      <c r="H1472" t="s">
        <v>5557</v>
      </c>
      <c r="I1472">
        <v>47.296022999999998</v>
      </c>
      <c r="J1472">
        <v>-122.25005400000001</v>
      </c>
      <c r="K1472" t="s">
        <v>3936</v>
      </c>
      <c r="L1472" t="s">
        <v>3946</v>
      </c>
      <c r="M1472" t="s">
        <v>3948</v>
      </c>
      <c r="P1472" t="s">
        <v>3813</v>
      </c>
    </row>
    <row r="1473" spans="1:16" x14ac:dyDescent="0.2">
      <c r="A1473" t="s">
        <v>1582</v>
      </c>
      <c r="B1473" t="s">
        <v>3814</v>
      </c>
      <c r="C1473" t="s">
        <v>2961</v>
      </c>
      <c r="D1473" t="s">
        <v>2307</v>
      </c>
      <c r="E1473">
        <v>98001</v>
      </c>
      <c r="F1473" t="s">
        <v>1583</v>
      </c>
      <c r="G1473" t="s">
        <v>1980</v>
      </c>
      <c r="H1473" t="s">
        <v>5822</v>
      </c>
      <c r="I1473">
        <v>47.296562999999999</v>
      </c>
      <c r="J1473">
        <v>-122.245617</v>
      </c>
      <c r="K1473" t="s">
        <v>3936</v>
      </c>
      <c r="L1473" t="s">
        <v>3946</v>
      </c>
      <c r="M1473" t="s">
        <v>3948</v>
      </c>
      <c r="P1473" t="s">
        <v>3814</v>
      </c>
    </row>
    <row r="1474" spans="1:16" x14ac:dyDescent="0.2">
      <c r="A1474" t="s">
        <v>1791</v>
      </c>
      <c r="B1474" t="s">
        <v>3815</v>
      </c>
      <c r="C1474" t="s">
        <v>2888</v>
      </c>
      <c r="D1474" t="s">
        <v>2307</v>
      </c>
      <c r="E1474">
        <v>98290</v>
      </c>
      <c r="F1474" t="s">
        <v>1658</v>
      </c>
      <c r="G1474" t="s">
        <v>1971</v>
      </c>
      <c r="H1474" t="s">
        <v>5558</v>
      </c>
      <c r="I1474">
        <v>47.928553999999998</v>
      </c>
      <c r="J1474">
        <v>-122.099013</v>
      </c>
      <c r="K1474" t="s">
        <v>3936</v>
      </c>
      <c r="L1474" t="s">
        <v>3946</v>
      </c>
      <c r="M1474" t="s">
        <v>3948</v>
      </c>
      <c r="P1474" t="s">
        <v>3815</v>
      </c>
    </row>
    <row r="1475" spans="1:16" x14ac:dyDescent="0.2">
      <c r="A1475" t="s">
        <v>1819</v>
      </c>
      <c r="B1475" t="s">
        <v>3816</v>
      </c>
      <c r="C1475" t="s">
        <v>2995</v>
      </c>
      <c r="D1475" t="s">
        <v>2307</v>
      </c>
      <c r="E1475">
        <v>98272</v>
      </c>
      <c r="F1475" t="s">
        <v>1620</v>
      </c>
      <c r="G1475" t="s">
        <v>1973</v>
      </c>
      <c r="H1475" t="s">
        <v>4161</v>
      </c>
      <c r="I1475">
        <v>47.858218000000001</v>
      </c>
      <c r="J1475">
        <v>-121.964978</v>
      </c>
      <c r="K1475" t="s">
        <v>3936</v>
      </c>
      <c r="L1475" t="s">
        <v>3946</v>
      </c>
      <c r="M1475" t="s">
        <v>3948</v>
      </c>
      <c r="P1475" t="s">
        <v>3816</v>
      </c>
    </row>
    <row r="1476" spans="1:16" x14ac:dyDescent="0.2">
      <c r="A1476" t="s">
        <v>1820</v>
      </c>
      <c r="B1476" t="s">
        <v>3817</v>
      </c>
      <c r="C1476" t="s">
        <v>2900</v>
      </c>
      <c r="D1476" t="s">
        <v>2307</v>
      </c>
      <c r="E1476">
        <v>98203</v>
      </c>
      <c r="F1476" t="s">
        <v>1600</v>
      </c>
      <c r="G1476" t="s">
        <v>1973</v>
      </c>
      <c r="H1476" t="s">
        <v>5126</v>
      </c>
      <c r="I1476">
        <v>47.959108000000001</v>
      </c>
      <c r="J1476">
        <v>-122.210809</v>
      </c>
      <c r="K1476" t="s">
        <v>3936</v>
      </c>
      <c r="L1476" t="s">
        <v>3946</v>
      </c>
      <c r="M1476" t="s">
        <v>3948</v>
      </c>
      <c r="P1476" t="s">
        <v>3817</v>
      </c>
    </row>
    <row r="1477" spans="1:16" x14ac:dyDescent="0.2">
      <c r="A1477" t="s">
        <v>1683</v>
      </c>
      <c r="B1477" t="s">
        <v>3522</v>
      </c>
      <c r="C1477" t="s">
        <v>2930</v>
      </c>
      <c r="D1477" t="s">
        <v>2307</v>
      </c>
      <c r="E1477">
        <v>98003</v>
      </c>
      <c r="F1477" t="s">
        <v>1577</v>
      </c>
      <c r="G1477" t="s">
        <v>1973</v>
      </c>
      <c r="H1477" t="s">
        <v>4162</v>
      </c>
      <c r="I1477">
        <v>47.289017999999999</v>
      </c>
      <c r="J1477">
        <v>-122.313638</v>
      </c>
      <c r="K1477" t="s">
        <v>3936</v>
      </c>
      <c r="L1477" t="s">
        <v>3946</v>
      </c>
      <c r="M1477" t="s">
        <v>3948</v>
      </c>
      <c r="P1477" t="s">
        <v>3522</v>
      </c>
    </row>
    <row r="1478" spans="1:16" x14ac:dyDescent="0.2">
      <c r="A1478" t="s">
        <v>1667</v>
      </c>
      <c r="B1478" t="s">
        <v>3818</v>
      </c>
      <c r="C1478" t="s">
        <v>2930</v>
      </c>
      <c r="D1478" t="s">
        <v>2307</v>
      </c>
      <c r="E1478">
        <v>98003</v>
      </c>
      <c r="F1478" t="s">
        <v>1658</v>
      </c>
      <c r="G1478" t="s">
        <v>1994</v>
      </c>
      <c r="H1478" t="s">
        <v>4163</v>
      </c>
      <c r="I1478">
        <v>47.288707000000002</v>
      </c>
      <c r="J1478">
        <v>-122.31339800000001</v>
      </c>
      <c r="K1478" t="s">
        <v>3936</v>
      </c>
      <c r="L1478" t="s">
        <v>3946</v>
      </c>
      <c r="M1478" t="s">
        <v>3948</v>
      </c>
      <c r="P1478" t="s">
        <v>3818</v>
      </c>
    </row>
    <row r="1479" spans="1:16" x14ac:dyDescent="0.2">
      <c r="A1479" t="s">
        <v>1597</v>
      </c>
      <c r="B1479" t="s">
        <v>3819</v>
      </c>
      <c r="C1479" t="s">
        <v>2900</v>
      </c>
      <c r="D1479" t="s">
        <v>2307</v>
      </c>
      <c r="E1479">
        <v>98201</v>
      </c>
      <c r="F1479" t="s">
        <v>1573</v>
      </c>
      <c r="G1479" t="s">
        <v>1990</v>
      </c>
      <c r="H1479" t="s">
        <v>4164</v>
      </c>
      <c r="I1479">
        <v>47.963171000000003</v>
      </c>
      <c r="J1479">
        <v>-122.208977</v>
      </c>
      <c r="K1479" t="s">
        <v>3936</v>
      </c>
      <c r="L1479" t="s">
        <v>3946</v>
      </c>
      <c r="M1479" t="s">
        <v>3948</v>
      </c>
      <c r="P1479" t="s">
        <v>5679</v>
      </c>
    </row>
    <row r="1480" spans="1:16" x14ac:dyDescent="0.2">
      <c r="A1480" t="s">
        <v>1821</v>
      </c>
      <c r="B1480" t="s">
        <v>3820</v>
      </c>
      <c r="C1480" t="s">
        <v>2968</v>
      </c>
      <c r="D1480" t="s">
        <v>2307</v>
      </c>
      <c r="E1480">
        <v>98038</v>
      </c>
      <c r="F1480" t="s">
        <v>1575</v>
      </c>
      <c r="G1480" t="s">
        <v>1984</v>
      </c>
      <c r="H1480" t="s">
        <v>5559</v>
      </c>
      <c r="I1480">
        <v>47.355341000000003</v>
      </c>
      <c r="J1480">
        <v>-122.01983</v>
      </c>
      <c r="K1480" t="s">
        <v>3936</v>
      </c>
      <c r="L1480" t="s">
        <v>3946</v>
      </c>
      <c r="M1480" t="s">
        <v>3948</v>
      </c>
      <c r="P1480" t="s">
        <v>5723</v>
      </c>
    </row>
    <row r="1481" spans="1:16" x14ac:dyDescent="0.2">
      <c r="A1481" t="s">
        <v>1822</v>
      </c>
      <c r="B1481" t="s">
        <v>3821</v>
      </c>
      <c r="C1481" t="s">
        <v>3060</v>
      </c>
      <c r="D1481" t="s">
        <v>2307</v>
      </c>
      <c r="E1481">
        <v>98236</v>
      </c>
      <c r="F1481" t="s">
        <v>1587</v>
      </c>
      <c r="G1481" t="s">
        <v>1989</v>
      </c>
      <c r="H1481" t="s">
        <v>5341</v>
      </c>
      <c r="I1481">
        <v>47.979643000000003</v>
      </c>
      <c r="J1481">
        <v>-122.367498</v>
      </c>
      <c r="K1481" t="s">
        <v>3936</v>
      </c>
      <c r="L1481" t="s">
        <v>3946</v>
      </c>
      <c r="M1481" t="s">
        <v>3948</v>
      </c>
      <c r="P1481" t="s">
        <v>3821</v>
      </c>
    </row>
    <row r="1482" spans="1:16" x14ac:dyDescent="0.2">
      <c r="A1482" t="s">
        <v>1686</v>
      </c>
      <c r="B1482" t="s">
        <v>6279</v>
      </c>
      <c r="C1482" t="s">
        <v>2997</v>
      </c>
      <c r="D1482" t="s">
        <v>2307</v>
      </c>
      <c r="E1482">
        <v>98335</v>
      </c>
      <c r="F1482" t="s">
        <v>1573</v>
      </c>
      <c r="G1482" t="s">
        <v>1990</v>
      </c>
      <c r="H1482" t="s">
        <v>5823</v>
      </c>
      <c r="I1482">
        <v>47.308151000000002</v>
      </c>
      <c r="J1482">
        <v>-122.575081</v>
      </c>
      <c r="K1482" t="s">
        <v>3936</v>
      </c>
      <c r="L1482" t="s">
        <v>3946</v>
      </c>
      <c r="M1482" t="s">
        <v>3948</v>
      </c>
      <c r="P1482" t="s">
        <v>6080</v>
      </c>
    </row>
    <row r="1483" spans="1:16" x14ac:dyDescent="0.2">
      <c r="A1483" t="s">
        <v>1823</v>
      </c>
      <c r="B1483" t="s">
        <v>3822</v>
      </c>
      <c r="C1483" t="s">
        <v>2900</v>
      </c>
      <c r="D1483" t="s">
        <v>2307</v>
      </c>
      <c r="E1483">
        <v>98201</v>
      </c>
      <c r="F1483" t="s">
        <v>1583</v>
      </c>
      <c r="G1483" t="s">
        <v>1980</v>
      </c>
      <c r="H1483" t="s">
        <v>5564</v>
      </c>
      <c r="I1483">
        <v>47.979495</v>
      </c>
      <c r="J1483">
        <v>-122.211303</v>
      </c>
      <c r="K1483" t="s">
        <v>3936</v>
      </c>
      <c r="L1483" t="s">
        <v>3946</v>
      </c>
      <c r="M1483" t="s">
        <v>3948</v>
      </c>
      <c r="P1483" t="s">
        <v>3822</v>
      </c>
    </row>
    <row r="1484" spans="1:16" x14ac:dyDescent="0.2">
      <c r="A1484" t="s">
        <v>1824</v>
      </c>
      <c r="B1484" t="s">
        <v>3823</v>
      </c>
      <c r="C1484" t="s">
        <v>2900</v>
      </c>
      <c r="D1484" t="s">
        <v>2307</v>
      </c>
      <c r="E1484">
        <v>98201</v>
      </c>
      <c r="F1484" t="s">
        <v>1600</v>
      </c>
      <c r="G1484" t="s">
        <v>1987</v>
      </c>
      <c r="H1484" t="s">
        <v>3994</v>
      </c>
      <c r="I1484">
        <v>47.976882000000003</v>
      </c>
      <c r="J1484">
        <v>-122.193502</v>
      </c>
      <c r="K1484" t="s">
        <v>3936</v>
      </c>
      <c r="L1484" t="s">
        <v>3946</v>
      </c>
      <c r="M1484" t="s">
        <v>3948</v>
      </c>
      <c r="P1484" t="s">
        <v>3823</v>
      </c>
    </row>
    <row r="1485" spans="1:16" x14ac:dyDescent="0.2">
      <c r="A1485" t="s">
        <v>1825</v>
      </c>
      <c r="B1485" t="s">
        <v>3824</v>
      </c>
      <c r="C1485" t="s">
        <v>2900</v>
      </c>
      <c r="D1485" t="s">
        <v>2307</v>
      </c>
      <c r="E1485">
        <v>98201</v>
      </c>
      <c r="F1485" t="s">
        <v>1600</v>
      </c>
      <c r="G1485" t="s">
        <v>1973</v>
      </c>
      <c r="H1485" t="s">
        <v>4165</v>
      </c>
      <c r="I1485">
        <v>47.979329</v>
      </c>
      <c r="J1485">
        <v>-122.20568400000001</v>
      </c>
      <c r="K1485" t="s">
        <v>3936</v>
      </c>
      <c r="L1485" t="s">
        <v>3946</v>
      </c>
      <c r="M1485" t="s">
        <v>3948</v>
      </c>
      <c r="P1485" t="s">
        <v>3824</v>
      </c>
    </row>
    <row r="1486" spans="1:16" x14ac:dyDescent="0.2">
      <c r="A1486" t="s">
        <v>1826</v>
      </c>
      <c r="B1486" t="s">
        <v>3825</v>
      </c>
      <c r="C1486" t="s">
        <v>2900</v>
      </c>
      <c r="D1486" t="s">
        <v>2307</v>
      </c>
      <c r="E1486">
        <v>98201</v>
      </c>
      <c r="F1486" t="s">
        <v>1587</v>
      </c>
      <c r="G1486" t="s">
        <v>1987</v>
      </c>
      <c r="H1486" t="s">
        <v>5533</v>
      </c>
      <c r="I1486">
        <v>47.979111000000003</v>
      </c>
      <c r="J1486">
        <v>-122.20551</v>
      </c>
      <c r="K1486" t="s">
        <v>3936</v>
      </c>
      <c r="L1486" t="s">
        <v>3946</v>
      </c>
      <c r="M1486" t="s">
        <v>3948</v>
      </c>
      <c r="P1486" t="s">
        <v>3825</v>
      </c>
    </row>
    <row r="1487" spans="1:16" x14ac:dyDescent="0.2">
      <c r="A1487" t="s">
        <v>1827</v>
      </c>
      <c r="B1487" t="s">
        <v>3826</v>
      </c>
      <c r="C1487" t="s">
        <v>2900</v>
      </c>
      <c r="D1487" t="s">
        <v>2307</v>
      </c>
      <c r="E1487">
        <v>98201</v>
      </c>
      <c r="F1487" t="s">
        <v>1591</v>
      </c>
      <c r="G1487" t="s">
        <v>1969</v>
      </c>
      <c r="H1487" t="s">
        <v>5432</v>
      </c>
      <c r="I1487">
        <v>47.979410000000001</v>
      </c>
      <c r="J1487">
        <v>-122.204204</v>
      </c>
      <c r="K1487" t="s">
        <v>3936</v>
      </c>
      <c r="L1487" t="s">
        <v>3946</v>
      </c>
      <c r="M1487" t="s">
        <v>3948</v>
      </c>
      <c r="P1487" t="s">
        <v>3826</v>
      </c>
    </row>
    <row r="1488" spans="1:16" x14ac:dyDescent="0.2">
      <c r="A1488" t="s">
        <v>1791</v>
      </c>
      <c r="B1488" t="s">
        <v>3827</v>
      </c>
      <c r="C1488" t="s">
        <v>2900</v>
      </c>
      <c r="D1488" t="s">
        <v>2307</v>
      </c>
      <c r="E1488">
        <v>98201</v>
      </c>
      <c r="F1488" t="s">
        <v>1591</v>
      </c>
      <c r="G1488" t="s">
        <v>1969</v>
      </c>
      <c r="H1488" t="s">
        <v>5225</v>
      </c>
      <c r="I1488">
        <v>47.980524000000003</v>
      </c>
      <c r="J1488">
        <v>-122.208468</v>
      </c>
      <c r="K1488" t="s">
        <v>3936</v>
      </c>
      <c r="L1488" t="s">
        <v>3946</v>
      </c>
      <c r="M1488" t="s">
        <v>3948</v>
      </c>
      <c r="P1488" t="s">
        <v>3827</v>
      </c>
    </row>
    <row r="1489" spans="1:16" x14ac:dyDescent="0.2">
      <c r="A1489" t="s">
        <v>1828</v>
      </c>
      <c r="B1489" t="s">
        <v>3828</v>
      </c>
      <c r="C1489" t="s">
        <v>3014</v>
      </c>
      <c r="D1489" t="s">
        <v>2307</v>
      </c>
      <c r="E1489">
        <v>98065</v>
      </c>
      <c r="F1489" t="s">
        <v>1716</v>
      </c>
      <c r="G1489" t="s">
        <v>1989</v>
      </c>
      <c r="H1489" t="s">
        <v>5433</v>
      </c>
      <c r="I1489">
        <v>47.528072000000002</v>
      </c>
      <c r="J1489">
        <v>-121.82459799999999</v>
      </c>
      <c r="K1489" t="s">
        <v>3936</v>
      </c>
      <c r="L1489" t="s">
        <v>3946</v>
      </c>
      <c r="M1489" t="s">
        <v>3948</v>
      </c>
      <c r="P1489" t="s">
        <v>3828</v>
      </c>
    </row>
    <row r="1490" spans="1:16" x14ac:dyDescent="0.2">
      <c r="A1490" t="s">
        <v>1829</v>
      </c>
      <c r="B1490" t="s">
        <v>3829</v>
      </c>
      <c r="C1490" t="s">
        <v>3014</v>
      </c>
      <c r="D1490" t="s">
        <v>2307</v>
      </c>
      <c r="E1490">
        <v>98065</v>
      </c>
      <c r="F1490" t="s">
        <v>1587</v>
      </c>
      <c r="G1490" t="s">
        <v>1987</v>
      </c>
      <c r="H1490" t="s">
        <v>5434</v>
      </c>
      <c r="I1490">
        <v>47.528292999999998</v>
      </c>
      <c r="J1490">
        <v>-121.82396300000001</v>
      </c>
      <c r="K1490" t="s">
        <v>3936</v>
      </c>
      <c r="L1490" t="s">
        <v>3946</v>
      </c>
      <c r="M1490" t="s">
        <v>3948</v>
      </c>
      <c r="P1490" t="s">
        <v>3829</v>
      </c>
    </row>
    <row r="1491" spans="1:16" x14ac:dyDescent="0.2">
      <c r="A1491" t="s">
        <v>1830</v>
      </c>
      <c r="B1491" t="s">
        <v>6251</v>
      </c>
      <c r="C1491" t="s">
        <v>2900</v>
      </c>
      <c r="D1491" t="s">
        <v>2307</v>
      </c>
      <c r="E1491">
        <v>98201</v>
      </c>
      <c r="F1491" t="s">
        <v>1602</v>
      </c>
      <c r="G1491" t="s">
        <v>1987</v>
      </c>
      <c r="H1491" t="s">
        <v>4166</v>
      </c>
      <c r="I1491">
        <v>47.984310999999998</v>
      </c>
      <c r="J1491">
        <v>-122.208688</v>
      </c>
      <c r="K1491" t="s">
        <v>3936</v>
      </c>
      <c r="L1491" t="s">
        <v>3946</v>
      </c>
      <c r="M1491" t="s">
        <v>3948</v>
      </c>
      <c r="P1491" t="s">
        <v>6052</v>
      </c>
    </row>
    <row r="1492" spans="1:16" x14ac:dyDescent="0.2">
      <c r="A1492" t="s">
        <v>1738</v>
      </c>
      <c r="B1492" t="s">
        <v>3830</v>
      </c>
      <c r="C1492" t="s">
        <v>2900</v>
      </c>
      <c r="D1492" t="s">
        <v>2307</v>
      </c>
      <c r="E1492">
        <v>98201</v>
      </c>
      <c r="F1492" t="s">
        <v>1585</v>
      </c>
      <c r="G1492" t="s">
        <v>1988</v>
      </c>
      <c r="H1492" t="s">
        <v>5199</v>
      </c>
      <c r="I1492">
        <v>47.986818</v>
      </c>
      <c r="J1492">
        <v>-122.20119</v>
      </c>
      <c r="K1492" t="s">
        <v>3936</v>
      </c>
      <c r="L1492" t="s">
        <v>3946</v>
      </c>
      <c r="M1492" t="s">
        <v>3948</v>
      </c>
      <c r="P1492" t="s">
        <v>3830</v>
      </c>
    </row>
    <row r="1493" spans="1:16" x14ac:dyDescent="0.2">
      <c r="A1493" t="s">
        <v>1831</v>
      </c>
      <c r="B1493" t="s">
        <v>3831</v>
      </c>
      <c r="C1493" t="s">
        <v>3067</v>
      </c>
      <c r="D1493" t="s">
        <v>2307</v>
      </c>
      <c r="E1493">
        <v>98407</v>
      </c>
      <c r="F1493" t="s">
        <v>1591</v>
      </c>
      <c r="G1493" t="s">
        <v>1969</v>
      </c>
      <c r="H1493" t="s">
        <v>4167</v>
      </c>
      <c r="I1493">
        <v>47.270941000000001</v>
      </c>
      <c r="J1493">
        <v>-122.487596</v>
      </c>
      <c r="K1493" t="s">
        <v>3936</v>
      </c>
      <c r="L1493" t="s">
        <v>3946</v>
      </c>
      <c r="M1493" t="s">
        <v>3948</v>
      </c>
      <c r="P1493" t="s">
        <v>3831</v>
      </c>
    </row>
    <row r="1494" spans="1:16" x14ac:dyDescent="0.2">
      <c r="A1494" t="s">
        <v>1686</v>
      </c>
      <c r="B1494" t="s">
        <v>3100</v>
      </c>
      <c r="C1494" t="s">
        <v>3067</v>
      </c>
      <c r="D1494" t="s">
        <v>2307</v>
      </c>
      <c r="E1494">
        <v>98407</v>
      </c>
      <c r="F1494" t="s">
        <v>1573</v>
      </c>
      <c r="G1494" t="s">
        <v>1996</v>
      </c>
      <c r="H1494" t="s">
        <v>5824</v>
      </c>
      <c r="I1494">
        <v>47.271296</v>
      </c>
      <c r="J1494">
        <v>-122.515685</v>
      </c>
      <c r="K1494" t="s">
        <v>3936</v>
      </c>
      <c r="L1494" t="s">
        <v>3946</v>
      </c>
      <c r="M1494" t="s">
        <v>3948</v>
      </c>
      <c r="P1494" t="s">
        <v>3100</v>
      </c>
    </row>
    <row r="1495" spans="1:16" x14ac:dyDescent="0.2">
      <c r="A1495" t="s">
        <v>1667</v>
      </c>
      <c r="B1495" t="s">
        <v>3832</v>
      </c>
      <c r="C1495" t="s">
        <v>3067</v>
      </c>
      <c r="D1495" t="s">
        <v>2307</v>
      </c>
      <c r="E1495">
        <v>98046</v>
      </c>
      <c r="F1495" t="s">
        <v>1658</v>
      </c>
      <c r="G1495" t="s">
        <v>1994</v>
      </c>
      <c r="H1495" t="s">
        <v>4168</v>
      </c>
      <c r="I1495">
        <v>47.269421000000001</v>
      </c>
      <c r="J1495">
        <v>-122.51569000000001</v>
      </c>
      <c r="K1495" t="s">
        <v>3936</v>
      </c>
      <c r="L1495" t="s">
        <v>3946</v>
      </c>
      <c r="M1495" t="s">
        <v>3948</v>
      </c>
      <c r="P1495" t="s">
        <v>3832</v>
      </c>
    </row>
    <row r="1496" spans="1:16" x14ac:dyDescent="0.2">
      <c r="A1496" t="s">
        <v>6259</v>
      </c>
      <c r="B1496" t="s">
        <v>3833</v>
      </c>
      <c r="C1496" t="s">
        <v>2900</v>
      </c>
      <c r="D1496" t="s">
        <v>2307</v>
      </c>
      <c r="E1496">
        <v>98201</v>
      </c>
      <c r="F1496" t="s">
        <v>1591</v>
      </c>
      <c r="G1496" t="s">
        <v>1969</v>
      </c>
      <c r="H1496" t="s">
        <v>4169</v>
      </c>
      <c r="I1496">
        <v>48.003174000000001</v>
      </c>
      <c r="J1496">
        <v>-122.201114</v>
      </c>
      <c r="K1496" t="s">
        <v>3936</v>
      </c>
      <c r="L1496" t="s">
        <v>3946</v>
      </c>
      <c r="M1496" t="s">
        <v>3948</v>
      </c>
      <c r="P1496" t="s">
        <v>3833</v>
      </c>
    </row>
    <row r="1497" spans="1:16" x14ac:dyDescent="0.2">
      <c r="A1497" t="s">
        <v>1740</v>
      </c>
      <c r="B1497" t="s">
        <v>3834</v>
      </c>
      <c r="C1497" t="s">
        <v>3113</v>
      </c>
      <c r="D1497" t="s">
        <v>2307</v>
      </c>
      <c r="E1497">
        <v>98010</v>
      </c>
      <c r="F1497" t="s">
        <v>1575</v>
      </c>
      <c r="G1497" t="s">
        <v>1971</v>
      </c>
      <c r="H1497" t="s">
        <v>5560</v>
      </c>
      <c r="I1497">
        <v>47.308864</v>
      </c>
      <c r="J1497">
        <v>-122.003271</v>
      </c>
      <c r="K1497" t="s">
        <v>3936</v>
      </c>
      <c r="L1497" t="s">
        <v>3946</v>
      </c>
      <c r="M1497" t="s">
        <v>3948</v>
      </c>
      <c r="P1497" t="s">
        <v>3834</v>
      </c>
    </row>
    <row r="1498" spans="1:16" x14ac:dyDescent="0.2">
      <c r="A1498" t="s">
        <v>1832</v>
      </c>
      <c r="B1498" t="s">
        <v>3835</v>
      </c>
      <c r="C1498" t="s">
        <v>3067</v>
      </c>
      <c r="D1498" t="s">
        <v>2307</v>
      </c>
      <c r="E1498">
        <v>98108</v>
      </c>
      <c r="F1498" t="s">
        <v>1575</v>
      </c>
      <c r="G1498" t="s">
        <v>1995</v>
      </c>
      <c r="H1498" t="s">
        <v>4170</v>
      </c>
      <c r="I1498">
        <v>47.240558999999998</v>
      </c>
      <c r="J1498">
        <v>-122.42927</v>
      </c>
      <c r="K1498" t="s">
        <v>3936</v>
      </c>
      <c r="L1498" t="s">
        <v>3946</v>
      </c>
      <c r="M1498" t="s">
        <v>3948</v>
      </c>
      <c r="P1498" t="s">
        <v>3835</v>
      </c>
    </row>
    <row r="1499" spans="1:16" x14ac:dyDescent="0.2">
      <c r="A1499" t="s">
        <v>1833</v>
      </c>
      <c r="B1499" t="s">
        <v>3836</v>
      </c>
      <c r="C1499" t="s">
        <v>3138</v>
      </c>
      <c r="D1499" t="s">
        <v>2307</v>
      </c>
      <c r="E1499">
        <v>98045</v>
      </c>
      <c r="F1499" t="s">
        <v>1604</v>
      </c>
      <c r="G1499" t="s">
        <v>1973</v>
      </c>
      <c r="H1499" t="s">
        <v>4171</v>
      </c>
      <c r="I1499">
        <v>47.495010999999998</v>
      </c>
      <c r="J1499">
        <v>-121.78628500000001</v>
      </c>
      <c r="K1499" t="s">
        <v>3936</v>
      </c>
      <c r="L1499" t="s">
        <v>3946</v>
      </c>
      <c r="M1499" t="s">
        <v>3948</v>
      </c>
      <c r="P1499" t="s">
        <v>3836</v>
      </c>
    </row>
    <row r="1500" spans="1:16" x14ac:dyDescent="0.2">
      <c r="A1500" t="s">
        <v>1834</v>
      </c>
      <c r="B1500" t="s">
        <v>3837</v>
      </c>
      <c r="C1500" t="s">
        <v>3149</v>
      </c>
      <c r="D1500" t="s">
        <v>2307</v>
      </c>
      <c r="E1500">
        <v>98258</v>
      </c>
      <c r="F1500" t="s">
        <v>1583</v>
      </c>
      <c r="G1500" t="s">
        <v>1980</v>
      </c>
      <c r="H1500" t="s">
        <v>5810</v>
      </c>
      <c r="I1500">
        <v>47.999079000000002</v>
      </c>
      <c r="J1500">
        <v>-122.10850600000001</v>
      </c>
      <c r="K1500" t="s">
        <v>3936</v>
      </c>
      <c r="L1500" t="s">
        <v>3946</v>
      </c>
      <c r="M1500" t="s">
        <v>3948</v>
      </c>
      <c r="P1500" t="s">
        <v>5754</v>
      </c>
    </row>
    <row r="1501" spans="1:16" x14ac:dyDescent="0.2">
      <c r="A1501" t="s">
        <v>1667</v>
      </c>
      <c r="B1501" t="s">
        <v>3838</v>
      </c>
      <c r="C1501" t="s">
        <v>3067</v>
      </c>
      <c r="D1501" t="s">
        <v>2307</v>
      </c>
      <c r="E1501">
        <v>98405</v>
      </c>
      <c r="F1501" t="s">
        <v>1658</v>
      </c>
      <c r="G1501" t="s">
        <v>1994</v>
      </c>
      <c r="H1501" t="s">
        <v>4172</v>
      </c>
      <c r="I1501">
        <v>47.238599999999998</v>
      </c>
      <c r="J1501">
        <v>-122.481734</v>
      </c>
      <c r="K1501" t="s">
        <v>3936</v>
      </c>
      <c r="L1501" t="s">
        <v>3946</v>
      </c>
      <c r="M1501" t="s">
        <v>3948</v>
      </c>
      <c r="P1501" t="s">
        <v>3838</v>
      </c>
    </row>
    <row r="1502" spans="1:16" x14ac:dyDescent="0.2">
      <c r="A1502" t="s">
        <v>1835</v>
      </c>
      <c r="B1502" t="s">
        <v>3839</v>
      </c>
      <c r="C1502" t="s">
        <v>3149</v>
      </c>
      <c r="D1502" t="s">
        <v>2307</v>
      </c>
      <c r="E1502">
        <v>98258</v>
      </c>
      <c r="F1502" t="s">
        <v>1591</v>
      </c>
      <c r="G1502" t="s">
        <v>1969</v>
      </c>
      <c r="H1502" t="s">
        <v>5044</v>
      </c>
      <c r="I1502">
        <v>48.001097999999999</v>
      </c>
      <c r="J1502">
        <v>-122.10837100000001</v>
      </c>
      <c r="K1502" t="s">
        <v>3936</v>
      </c>
      <c r="L1502" t="s">
        <v>3946</v>
      </c>
      <c r="M1502" t="s">
        <v>3948</v>
      </c>
      <c r="P1502" t="s">
        <v>3839</v>
      </c>
    </row>
    <row r="1503" spans="1:16" x14ac:dyDescent="0.2">
      <c r="A1503" t="s">
        <v>1836</v>
      </c>
      <c r="B1503" t="s">
        <v>3841</v>
      </c>
      <c r="C1503" t="s">
        <v>3067</v>
      </c>
      <c r="D1503" t="s">
        <v>2307</v>
      </c>
      <c r="E1503">
        <v>98409</v>
      </c>
      <c r="F1503" t="s">
        <v>1591</v>
      </c>
      <c r="G1503" t="s">
        <v>1969</v>
      </c>
      <c r="H1503" t="s">
        <v>3995</v>
      </c>
      <c r="I1503">
        <v>47.233960000000003</v>
      </c>
      <c r="J1503">
        <v>-122.455792</v>
      </c>
      <c r="K1503" t="s">
        <v>3936</v>
      </c>
      <c r="L1503" t="s">
        <v>3946</v>
      </c>
      <c r="M1503" t="s">
        <v>3948</v>
      </c>
      <c r="P1503" t="s">
        <v>3841</v>
      </c>
    </row>
    <row r="1504" spans="1:16" x14ac:dyDescent="0.2">
      <c r="A1504" t="s">
        <v>1597</v>
      </c>
      <c r="B1504" t="s">
        <v>3842</v>
      </c>
      <c r="C1504" t="s">
        <v>3067</v>
      </c>
      <c r="D1504" t="s">
        <v>2307</v>
      </c>
      <c r="E1504">
        <v>98465</v>
      </c>
      <c r="F1504" t="s">
        <v>1573</v>
      </c>
      <c r="G1504" t="s">
        <v>1990</v>
      </c>
      <c r="H1504" t="s">
        <v>5317</v>
      </c>
      <c r="I1504">
        <v>47.243774000000002</v>
      </c>
      <c r="J1504">
        <v>-122.52647399999999</v>
      </c>
      <c r="K1504" t="s">
        <v>3936</v>
      </c>
      <c r="L1504" t="s">
        <v>3946</v>
      </c>
      <c r="M1504" t="s">
        <v>3948</v>
      </c>
      <c r="P1504" t="s">
        <v>3842</v>
      </c>
    </row>
    <row r="1505" spans="1:16" x14ac:dyDescent="0.2">
      <c r="A1505" t="s">
        <v>1738</v>
      </c>
      <c r="B1505" t="s">
        <v>3843</v>
      </c>
      <c r="C1505" t="s">
        <v>3149</v>
      </c>
      <c r="D1505" t="s">
        <v>2307</v>
      </c>
      <c r="E1505">
        <v>98258</v>
      </c>
      <c r="F1505" t="s">
        <v>1585</v>
      </c>
      <c r="G1505" t="s">
        <v>1988</v>
      </c>
      <c r="H1505" t="s">
        <v>5201</v>
      </c>
      <c r="I1505">
        <v>48.004618000000001</v>
      </c>
      <c r="J1505">
        <v>-122.10576399999999</v>
      </c>
      <c r="K1505" t="s">
        <v>3936</v>
      </c>
      <c r="L1505" t="s">
        <v>3946</v>
      </c>
      <c r="M1505" t="s">
        <v>3948</v>
      </c>
      <c r="P1505" t="s">
        <v>3843</v>
      </c>
    </row>
    <row r="1506" spans="1:16" x14ac:dyDescent="0.2">
      <c r="A1506" t="s">
        <v>1686</v>
      </c>
      <c r="B1506" t="s">
        <v>3844</v>
      </c>
      <c r="C1506" t="s">
        <v>3162</v>
      </c>
      <c r="D1506" t="s">
        <v>2307</v>
      </c>
      <c r="E1506">
        <v>98466</v>
      </c>
      <c r="F1506" t="s">
        <v>1573</v>
      </c>
      <c r="G1506" t="s">
        <v>1996</v>
      </c>
      <c r="H1506" t="s">
        <v>5825</v>
      </c>
      <c r="I1506">
        <v>47.235548999999999</v>
      </c>
      <c r="J1506">
        <v>-122.53052099999999</v>
      </c>
      <c r="K1506" t="s">
        <v>3936</v>
      </c>
      <c r="L1506" t="s">
        <v>3946</v>
      </c>
      <c r="M1506" t="s">
        <v>3948</v>
      </c>
      <c r="P1506" t="s">
        <v>3844</v>
      </c>
    </row>
    <row r="1507" spans="1:16" x14ac:dyDescent="0.2">
      <c r="A1507" t="s">
        <v>5226</v>
      </c>
      <c r="B1507" t="s">
        <v>6260</v>
      </c>
      <c r="C1507" t="s">
        <v>3067</v>
      </c>
      <c r="D1507" t="s">
        <v>2307</v>
      </c>
      <c r="E1507">
        <v>98409</v>
      </c>
      <c r="F1507" t="s">
        <v>1591</v>
      </c>
      <c r="G1507" t="s">
        <v>1969</v>
      </c>
      <c r="H1507" t="s">
        <v>5227</v>
      </c>
      <c r="I1507">
        <v>47.222552</v>
      </c>
      <c r="J1507">
        <v>-122.47484300000001</v>
      </c>
      <c r="K1507" t="s">
        <v>3936</v>
      </c>
      <c r="L1507" t="s">
        <v>3946</v>
      </c>
      <c r="M1507" t="s">
        <v>3948</v>
      </c>
      <c r="P1507" t="s">
        <v>6060</v>
      </c>
    </row>
    <row r="1508" spans="1:16" x14ac:dyDescent="0.2">
      <c r="A1508" t="s">
        <v>1597</v>
      </c>
      <c r="B1508" t="s">
        <v>3845</v>
      </c>
      <c r="C1508" t="s">
        <v>3067</v>
      </c>
      <c r="D1508" t="s">
        <v>2307</v>
      </c>
      <c r="E1508">
        <v>98409</v>
      </c>
      <c r="F1508" t="s">
        <v>1573</v>
      </c>
      <c r="G1508" t="s">
        <v>1990</v>
      </c>
      <c r="H1508" t="s">
        <v>5023</v>
      </c>
      <c r="I1508">
        <v>47.217892999999997</v>
      </c>
      <c r="J1508">
        <v>-122.46785300000001</v>
      </c>
      <c r="K1508" t="s">
        <v>3936</v>
      </c>
      <c r="L1508" t="s">
        <v>3946</v>
      </c>
      <c r="M1508" t="s">
        <v>3948</v>
      </c>
      <c r="P1508" t="s">
        <v>3845</v>
      </c>
    </row>
    <row r="1509" spans="1:16" x14ac:dyDescent="0.2">
      <c r="A1509" t="s">
        <v>1837</v>
      </c>
      <c r="B1509" t="s">
        <v>3846</v>
      </c>
      <c r="C1509" t="s">
        <v>3067</v>
      </c>
      <c r="D1509" t="s">
        <v>2307</v>
      </c>
      <c r="E1509">
        <v>98408</v>
      </c>
      <c r="F1509" t="s">
        <v>1583</v>
      </c>
      <c r="G1509" t="s">
        <v>1980</v>
      </c>
      <c r="H1509" t="s">
        <v>4174</v>
      </c>
      <c r="I1509">
        <v>47.213965999999999</v>
      </c>
      <c r="J1509">
        <v>-122.44329</v>
      </c>
      <c r="K1509" t="s">
        <v>3936</v>
      </c>
      <c r="L1509" t="s">
        <v>3946</v>
      </c>
      <c r="M1509" t="s">
        <v>3948</v>
      </c>
      <c r="P1509" t="s">
        <v>3846</v>
      </c>
    </row>
    <row r="1510" spans="1:16" x14ac:dyDescent="0.2">
      <c r="A1510" t="s">
        <v>1572</v>
      </c>
      <c r="B1510" t="s">
        <v>6280</v>
      </c>
      <c r="C1510" t="s">
        <v>3067</v>
      </c>
      <c r="D1510" t="s">
        <v>2307</v>
      </c>
      <c r="E1510">
        <v>98409</v>
      </c>
      <c r="F1510" t="s">
        <v>1573</v>
      </c>
      <c r="G1510" t="s">
        <v>1973</v>
      </c>
      <c r="H1510" t="s">
        <v>4175</v>
      </c>
      <c r="I1510">
        <v>47.213740000000001</v>
      </c>
      <c r="J1510">
        <v>-122.463807</v>
      </c>
      <c r="K1510" t="s">
        <v>3936</v>
      </c>
      <c r="L1510" t="s">
        <v>3946</v>
      </c>
      <c r="M1510" t="s">
        <v>3948</v>
      </c>
      <c r="P1510" t="s">
        <v>6081</v>
      </c>
    </row>
    <row r="1511" spans="1:16" x14ac:dyDescent="0.2">
      <c r="A1511" t="s">
        <v>1838</v>
      </c>
      <c r="B1511" t="s">
        <v>3847</v>
      </c>
      <c r="C1511" t="s">
        <v>3149</v>
      </c>
      <c r="D1511" t="s">
        <v>2307</v>
      </c>
      <c r="E1511">
        <v>98258</v>
      </c>
      <c r="F1511" t="s">
        <v>1591</v>
      </c>
      <c r="G1511" t="s">
        <v>1969</v>
      </c>
      <c r="H1511" t="s">
        <v>4960</v>
      </c>
      <c r="I1511">
        <v>48.015568999999999</v>
      </c>
      <c r="J1511">
        <v>-122.063211</v>
      </c>
      <c r="K1511" t="s">
        <v>3936</v>
      </c>
      <c r="L1511" t="s">
        <v>3946</v>
      </c>
      <c r="M1511" t="s">
        <v>3948</v>
      </c>
      <c r="P1511" t="s">
        <v>3847</v>
      </c>
    </row>
    <row r="1512" spans="1:16" x14ac:dyDescent="0.2">
      <c r="A1512" t="s">
        <v>1839</v>
      </c>
      <c r="B1512" t="s">
        <v>3848</v>
      </c>
      <c r="C1512" t="s">
        <v>3149</v>
      </c>
      <c r="D1512" t="s">
        <v>2307</v>
      </c>
      <c r="E1512">
        <v>98258</v>
      </c>
      <c r="F1512" t="s">
        <v>1575</v>
      </c>
      <c r="G1512" t="s">
        <v>1979</v>
      </c>
      <c r="H1512" t="s">
        <v>5228</v>
      </c>
      <c r="I1512">
        <v>48.015583999999997</v>
      </c>
      <c r="J1512">
        <v>-122.06317300000001</v>
      </c>
      <c r="K1512" t="s">
        <v>3936</v>
      </c>
      <c r="L1512" t="s">
        <v>3946</v>
      </c>
      <c r="M1512" t="s">
        <v>3948</v>
      </c>
      <c r="P1512" t="s">
        <v>3848</v>
      </c>
    </row>
    <row r="1513" spans="1:16" x14ac:dyDescent="0.2">
      <c r="A1513" t="s">
        <v>1667</v>
      </c>
      <c r="B1513" t="s">
        <v>3849</v>
      </c>
      <c r="C1513" t="s">
        <v>3162</v>
      </c>
      <c r="D1513" t="s">
        <v>2307</v>
      </c>
      <c r="E1513">
        <v>98466</v>
      </c>
      <c r="F1513" t="s">
        <v>1658</v>
      </c>
      <c r="G1513" t="s">
        <v>1994</v>
      </c>
      <c r="H1513" t="s">
        <v>4176</v>
      </c>
      <c r="I1513">
        <v>47.221468999999999</v>
      </c>
      <c r="J1513">
        <v>-122.53731999999999</v>
      </c>
      <c r="K1513" t="s">
        <v>3936</v>
      </c>
      <c r="L1513" t="s">
        <v>3946</v>
      </c>
      <c r="M1513" t="s">
        <v>3948</v>
      </c>
      <c r="P1513" t="s">
        <v>3849</v>
      </c>
    </row>
    <row r="1514" spans="1:16" x14ac:dyDescent="0.2">
      <c r="A1514" t="s">
        <v>1840</v>
      </c>
      <c r="B1514" t="s">
        <v>3850</v>
      </c>
      <c r="C1514" t="s">
        <v>3186</v>
      </c>
      <c r="D1514" t="s">
        <v>2307</v>
      </c>
      <c r="E1514">
        <v>98371</v>
      </c>
      <c r="F1514" t="s">
        <v>1583</v>
      </c>
      <c r="G1514" t="s">
        <v>1980</v>
      </c>
      <c r="H1514" t="s">
        <v>4177</v>
      </c>
      <c r="I1514">
        <v>47.201101999999999</v>
      </c>
      <c r="J1514">
        <v>-122.302539</v>
      </c>
      <c r="K1514" t="s">
        <v>3936</v>
      </c>
      <c r="L1514" t="s">
        <v>3946</v>
      </c>
      <c r="M1514" t="s">
        <v>3948</v>
      </c>
      <c r="P1514" t="s">
        <v>3850</v>
      </c>
    </row>
    <row r="1515" spans="1:16" x14ac:dyDescent="0.2">
      <c r="A1515" t="s">
        <v>1841</v>
      </c>
      <c r="B1515" t="s">
        <v>3851</v>
      </c>
      <c r="C1515" t="s">
        <v>3186</v>
      </c>
      <c r="D1515" t="s">
        <v>2307</v>
      </c>
      <c r="E1515">
        <v>98371</v>
      </c>
      <c r="F1515" t="s">
        <v>1583</v>
      </c>
      <c r="G1515" t="s">
        <v>1980</v>
      </c>
      <c r="H1515" t="s">
        <v>4178</v>
      </c>
      <c r="I1515">
        <v>47.200749999999999</v>
      </c>
      <c r="J1515">
        <v>-122.29459300000001</v>
      </c>
      <c r="K1515" t="s">
        <v>3936</v>
      </c>
      <c r="L1515" t="s">
        <v>3946</v>
      </c>
      <c r="M1515" t="s">
        <v>3948</v>
      </c>
      <c r="P1515" t="s">
        <v>3851</v>
      </c>
    </row>
    <row r="1516" spans="1:16" x14ac:dyDescent="0.2">
      <c r="A1516" t="s">
        <v>1842</v>
      </c>
      <c r="B1516" t="s">
        <v>3852</v>
      </c>
      <c r="C1516" t="s">
        <v>3193</v>
      </c>
      <c r="D1516" t="s">
        <v>2307</v>
      </c>
      <c r="E1516">
        <v>98390</v>
      </c>
      <c r="F1516" t="s">
        <v>1591</v>
      </c>
      <c r="G1516" t="s">
        <v>1969</v>
      </c>
      <c r="H1516" t="s">
        <v>4179</v>
      </c>
      <c r="I1516">
        <v>47.203876999999999</v>
      </c>
      <c r="J1516">
        <v>-122.24779700000001</v>
      </c>
      <c r="K1516" t="s">
        <v>3936</v>
      </c>
      <c r="L1516" t="s">
        <v>3946</v>
      </c>
      <c r="M1516" t="s">
        <v>3948</v>
      </c>
      <c r="P1516" t="s">
        <v>3852</v>
      </c>
    </row>
    <row r="1517" spans="1:16" x14ac:dyDescent="0.2">
      <c r="A1517" t="s">
        <v>1843</v>
      </c>
      <c r="B1517" t="s">
        <v>3853</v>
      </c>
      <c r="C1517" t="s">
        <v>3193</v>
      </c>
      <c r="D1517" t="s">
        <v>2307</v>
      </c>
      <c r="E1517">
        <v>98390</v>
      </c>
      <c r="F1517" t="s">
        <v>1583</v>
      </c>
      <c r="G1517" t="s">
        <v>1980</v>
      </c>
      <c r="H1517" t="s">
        <v>4180</v>
      </c>
      <c r="I1517">
        <v>47.202393000000001</v>
      </c>
      <c r="J1517">
        <v>-122.240454</v>
      </c>
      <c r="K1517" t="s">
        <v>3936</v>
      </c>
      <c r="L1517" t="s">
        <v>3946</v>
      </c>
      <c r="M1517" t="s">
        <v>3948</v>
      </c>
      <c r="P1517" t="s">
        <v>3853</v>
      </c>
    </row>
    <row r="1518" spans="1:16" x14ac:dyDescent="0.2">
      <c r="A1518" t="s">
        <v>1844</v>
      </c>
      <c r="B1518" t="s">
        <v>3854</v>
      </c>
      <c r="C1518" t="s">
        <v>3067</v>
      </c>
      <c r="D1518" t="s">
        <v>2307</v>
      </c>
      <c r="E1518">
        <v>98409</v>
      </c>
      <c r="F1518" t="s">
        <v>1583</v>
      </c>
      <c r="G1518" t="s">
        <v>1980</v>
      </c>
      <c r="H1518" t="s">
        <v>4181</v>
      </c>
      <c r="I1518">
        <v>47.207554999999999</v>
      </c>
      <c r="J1518">
        <v>-122.48352800000001</v>
      </c>
      <c r="K1518" t="s">
        <v>3936</v>
      </c>
      <c r="L1518" t="s">
        <v>3946</v>
      </c>
      <c r="M1518" t="s">
        <v>3948</v>
      </c>
      <c r="P1518" t="s">
        <v>3854</v>
      </c>
    </row>
    <row r="1519" spans="1:16" x14ac:dyDescent="0.2">
      <c r="A1519" t="s">
        <v>1845</v>
      </c>
      <c r="B1519" t="s">
        <v>3855</v>
      </c>
      <c r="C1519" t="s">
        <v>3201</v>
      </c>
      <c r="D1519" t="s">
        <v>2307</v>
      </c>
      <c r="E1519">
        <v>98270</v>
      </c>
      <c r="F1519" t="s">
        <v>1587</v>
      </c>
      <c r="G1519" t="s">
        <v>1971</v>
      </c>
      <c r="H1519" t="s">
        <v>5438</v>
      </c>
      <c r="I1519">
        <v>48.050263999999999</v>
      </c>
      <c r="J1519">
        <v>-122.18303400000001</v>
      </c>
      <c r="K1519" t="s">
        <v>3936</v>
      </c>
      <c r="L1519" t="s">
        <v>3946</v>
      </c>
      <c r="M1519" t="s">
        <v>3948</v>
      </c>
      <c r="P1519" t="s">
        <v>3855</v>
      </c>
    </row>
    <row r="1520" spans="1:16" x14ac:dyDescent="0.2">
      <c r="A1520" t="s">
        <v>1846</v>
      </c>
      <c r="B1520" t="s">
        <v>3856</v>
      </c>
      <c r="C1520" t="s">
        <v>3067</v>
      </c>
      <c r="D1520" t="s">
        <v>2307</v>
      </c>
      <c r="E1520">
        <v>98409</v>
      </c>
      <c r="F1520" t="s">
        <v>1583</v>
      </c>
      <c r="G1520" t="s">
        <v>1980</v>
      </c>
      <c r="H1520" t="s">
        <v>4182</v>
      </c>
      <c r="I1520">
        <v>47.205807</v>
      </c>
      <c r="J1520">
        <v>-122.48352300000001</v>
      </c>
      <c r="K1520" t="s">
        <v>3936</v>
      </c>
      <c r="L1520" t="s">
        <v>3946</v>
      </c>
      <c r="M1520" t="s">
        <v>3948</v>
      </c>
      <c r="P1520" t="s">
        <v>3856</v>
      </c>
    </row>
    <row r="1521" spans="1:16" x14ac:dyDescent="0.2">
      <c r="A1521" t="s">
        <v>1847</v>
      </c>
      <c r="B1521" t="s">
        <v>3857</v>
      </c>
      <c r="C1521" t="s">
        <v>3193</v>
      </c>
      <c r="D1521" t="s">
        <v>2307</v>
      </c>
      <c r="E1521">
        <v>98390</v>
      </c>
      <c r="F1521" t="s">
        <v>1591</v>
      </c>
      <c r="G1521" t="s">
        <v>1969</v>
      </c>
      <c r="H1521" t="s">
        <v>4183</v>
      </c>
      <c r="I1521">
        <v>47.202823000000002</v>
      </c>
      <c r="J1521">
        <v>-122.218824</v>
      </c>
      <c r="K1521" t="s">
        <v>3936</v>
      </c>
      <c r="L1521" t="s">
        <v>3946</v>
      </c>
      <c r="M1521" t="s">
        <v>3948</v>
      </c>
      <c r="P1521" t="s">
        <v>3857</v>
      </c>
    </row>
    <row r="1522" spans="1:16" x14ac:dyDescent="0.2">
      <c r="A1522" t="s">
        <v>1848</v>
      </c>
      <c r="B1522" t="s">
        <v>3858</v>
      </c>
      <c r="C1522" t="s">
        <v>3186</v>
      </c>
      <c r="D1522" t="s">
        <v>2307</v>
      </c>
      <c r="E1522">
        <v>98371</v>
      </c>
      <c r="F1522" t="s">
        <v>1591</v>
      </c>
      <c r="G1522" t="s">
        <v>1969</v>
      </c>
      <c r="H1522" t="s">
        <v>4184</v>
      </c>
      <c r="I1522">
        <v>47.195512000000001</v>
      </c>
      <c r="J1522">
        <v>-122.29387199999999</v>
      </c>
      <c r="K1522" t="s">
        <v>3936</v>
      </c>
      <c r="L1522" t="s">
        <v>3946</v>
      </c>
      <c r="M1522" t="s">
        <v>3948</v>
      </c>
      <c r="P1522" t="s">
        <v>3858</v>
      </c>
    </row>
    <row r="1523" spans="1:16" x14ac:dyDescent="0.2">
      <c r="A1523" t="s">
        <v>1849</v>
      </c>
      <c r="B1523" t="s">
        <v>3527</v>
      </c>
      <c r="C1523" t="s">
        <v>3201</v>
      </c>
      <c r="D1523" t="s">
        <v>2307</v>
      </c>
      <c r="E1523">
        <v>98271</v>
      </c>
      <c r="F1523" t="s">
        <v>1604</v>
      </c>
      <c r="G1523" t="s">
        <v>1973</v>
      </c>
      <c r="H1523" t="s">
        <v>4185</v>
      </c>
      <c r="I1523">
        <v>48.053491999999999</v>
      </c>
      <c r="J1523">
        <v>-122.188784</v>
      </c>
      <c r="K1523" t="s">
        <v>3936</v>
      </c>
      <c r="L1523" t="s">
        <v>3946</v>
      </c>
      <c r="M1523" t="s">
        <v>3948</v>
      </c>
      <c r="P1523" t="s">
        <v>3527</v>
      </c>
    </row>
    <row r="1524" spans="1:16" x14ac:dyDescent="0.2">
      <c r="A1524" t="s">
        <v>1850</v>
      </c>
      <c r="B1524" t="s">
        <v>3859</v>
      </c>
      <c r="C1524" t="s">
        <v>3201</v>
      </c>
      <c r="D1524" t="s">
        <v>2307</v>
      </c>
      <c r="E1524">
        <v>98270</v>
      </c>
      <c r="F1524" t="s">
        <v>1591</v>
      </c>
      <c r="G1524" t="s">
        <v>1969</v>
      </c>
      <c r="H1524" t="s">
        <v>4186</v>
      </c>
      <c r="I1524">
        <v>48.052878999999997</v>
      </c>
      <c r="J1524">
        <v>-122.18051199999999</v>
      </c>
      <c r="K1524" t="s">
        <v>3936</v>
      </c>
      <c r="L1524" t="s">
        <v>3946</v>
      </c>
      <c r="M1524" t="s">
        <v>3948</v>
      </c>
      <c r="P1524" t="s">
        <v>5674</v>
      </c>
    </row>
    <row r="1525" spans="1:16" x14ac:dyDescent="0.2">
      <c r="A1525" t="s">
        <v>1738</v>
      </c>
      <c r="B1525" t="s">
        <v>3860</v>
      </c>
      <c r="C1525" t="s">
        <v>3186</v>
      </c>
      <c r="D1525" t="s">
        <v>2307</v>
      </c>
      <c r="E1525">
        <v>98372</v>
      </c>
      <c r="F1525" t="s">
        <v>1600</v>
      </c>
      <c r="G1525" t="s">
        <v>5526</v>
      </c>
      <c r="H1525" t="s">
        <v>5535</v>
      </c>
      <c r="I1525">
        <v>47.192078000000002</v>
      </c>
      <c r="J1525">
        <v>-122.273822</v>
      </c>
      <c r="K1525" t="s">
        <v>3936</v>
      </c>
      <c r="L1525" t="s">
        <v>3946</v>
      </c>
      <c r="M1525" t="s">
        <v>3948</v>
      </c>
      <c r="P1525" t="s">
        <v>3860</v>
      </c>
    </row>
    <row r="1526" spans="1:16" x14ac:dyDescent="0.2">
      <c r="A1526" t="s">
        <v>1851</v>
      </c>
      <c r="B1526" t="s">
        <v>3861</v>
      </c>
      <c r="C1526" t="s">
        <v>3186</v>
      </c>
      <c r="D1526" t="s">
        <v>2307</v>
      </c>
      <c r="E1526">
        <v>98371</v>
      </c>
      <c r="F1526" t="s">
        <v>1583</v>
      </c>
      <c r="G1526" t="s">
        <v>1980</v>
      </c>
      <c r="H1526" t="s">
        <v>4187</v>
      </c>
      <c r="I1526">
        <v>47.187030999999998</v>
      </c>
      <c r="J1526">
        <v>-122.298789</v>
      </c>
      <c r="K1526" t="s">
        <v>3936</v>
      </c>
      <c r="L1526" t="s">
        <v>3946</v>
      </c>
      <c r="M1526" t="s">
        <v>3948</v>
      </c>
      <c r="P1526" t="s">
        <v>3861</v>
      </c>
    </row>
    <row r="1527" spans="1:16" x14ac:dyDescent="0.2">
      <c r="A1527" t="s">
        <v>1667</v>
      </c>
      <c r="B1527" t="s">
        <v>3862</v>
      </c>
      <c r="C1527" t="s">
        <v>3067</v>
      </c>
      <c r="D1527" t="s">
        <v>2307</v>
      </c>
      <c r="E1527">
        <v>98408</v>
      </c>
      <c r="F1527" t="s">
        <v>1658</v>
      </c>
      <c r="G1527" t="s">
        <v>1994</v>
      </c>
      <c r="H1527" t="s">
        <v>4188</v>
      </c>
      <c r="I1527">
        <v>47.192008000000001</v>
      </c>
      <c r="J1527">
        <v>-122.45950999999999</v>
      </c>
      <c r="K1527" t="s">
        <v>3936</v>
      </c>
      <c r="L1527" t="s">
        <v>3946</v>
      </c>
      <c r="M1527" t="s">
        <v>3948</v>
      </c>
      <c r="P1527" t="s">
        <v>3862</v>
      </c>
    </row>
    <row r="1528" spans="1:16" x14ac:dyDescent="0.2">
      <c r="A1528" t="s">
        <v>1852</v>
      </c>
      <c r="B1528" t="s">
        <v>3863</v>
      </c>
      <c r="C1528" t="s">
        <v>3201</v>
      </c>
      <c r="D1528" t="s">
        <v>2307</v>
      </c>
      <c r="E1528">
        <v>98270</v>
      </c>
      <c r="F1528" t="s">
        <v>1583</v>
      </c>
      <c r="G1528" t="s">
        <v>1980</v>
      </c>
      <c r="H1528" t="s">
        <v>5796</v>
      </c>
      <c r="I1528">
        <v>48.061987000000002</v>
      </c>
      <c r="J1528">
        <v>-122.176716</v>
      </c>
      <c r="K1528" t="s">
        <v>3936</v>
      </c>
      <c r="L1528" t="s">
        <v>3946</v>
      </c>
      <c r="M1528" t="s">
        <v>3948</v>
      </c>
      <c r="P1528" t="s">
        <v>5664</v>
      </c>
    </row>
    <row r="1529" spans="1:16" x14ac:dyDescent="0.2">
      <c r="A1529" t="s">
        <v>1686</v>
      </c>
      <c r="B1529" t="s">
        <v>6281</v>
      </c>
      <c r="C1529" t="s">
        <v>3067</v>
      </c>
      <c r="D1529" t="s">
        <v>2307</v>
      </c>
      <c r="E1529">
        <v>98408</v>
      </c>
      <c r="F1529" t="s">
        <v>1573</v>
      </c>
      <c r="G1529" t="s">
        <v>1990</v>
      </c>
      <c r="H1529" t="s">
        <v>5826</v>
      </c>
      <c r="I1529">
        <v>47.185637999999997</v>
      </c>
      <c r="J1529">
        <v>-122.462929</v>
      </c>
      <c r="K1529" t="s">
        <v>3936</v>
      </c>
      <c r="L1529" t="s">
        <v>3946</v>
      </c>
      <c r="M1529" t="s">
        <v>3948</v>
      </c>
      <c r="P1529" t="s">
        <v>6082</v>
      </c>
    </row>
    <row r="1530" spans="1:16" x14ac:dyDescent="0.2">
      <c r="A1530" t="s">
        <v>5131</v>
      </c>
      <c r="B1530" t="s">
        <v>5132</v>
      </c>
      <c r="C1530" t="s">
        <v>3237</v>
      </c>
      <c r="D1530" t="s">
        <v>2307</v>
      </c>
      <c r="E1530">
        <v>98499</v>
      </c>
      <c r="F1530" t="s">
        <v>1583</v>
      </c>
      <c r="G1530" t="s">
        <v>1980</v>
      </c>
      <c r="H1530" t="s">
        <v>5133</v>
      </c>
      <c r="I1530">
        <v>47.187207999999998</v>
      </c>
      <c r="J1530">
        <v>-122.516868</v>
      </c>
      <c r="K1530" t="s">
        <v>3936</v>
      </c>
      <c r="L1530" t="s">
        <v>3946</v>
      </c>
      <c r="M1530" t="s">
        <v>3948</v>
      </c>
      <c r="P1530" t="s">
        <v>5132</v>
      </c>
    </row>
    <row r="1531" spans="1:16" x14ac:dyDescent="0.2">
      <c r="A1531" t="s">
        <v>1853</v>
      </c>
      <c r="B1531" t="s">
        <v>3864</v>
      </c>
      <c r="C1531" t="s">
        <v>3067</v>
      </c>
      <c r="D1531" t="s">
        <v>2307</v>
      </c>
      <c r="E1531">
        <v>98444</v>
      </c>
      <c r="F1531" t="s">
        <v>1583</v>
      </c>
      <c r="G1531" t="s">
        <v>1980</v>
      </c>
      <c r="H1531" t="s">
        <v>4189</v>
      </c>
      <c r="I1531">
        <v>47.174906999999997</v>
      </c>
      <c r="J1531">
        <v>-122.43424400000001</v>
      </c>
      <c r="K1531" t="s">
        <v>3936</v>
      </c>
      <c r="L1531" t="s">
        <v>3946</v>
      </c>
      <c r="M1531" t="s">
        <v>3948</v>
      </c>
      <c r="P1531" t="s">
        <v>3864</v>
      </c>
    </row>
    <row r="1532" spans="1:16" x14ac:dyDescent="0.2">
      <c r="A1532" t="s">
        <v>1854</v>
      </c>
      <c r="B1532" t="s">
        <v>3865</v>
      </c>
      <c r="C1532" t="s">
        <v>3201</v>
      </c>
      <c r="D1532" t="s">
        <v>2307</v>
      </c>
      <c r="E1532">
        <v>98270</v>
      </c>
      <c r="F1532" t="s">
        <v>1583</v>
      </c>
      <c r="G1532" t="s">
        <v>1980</v>
      </c>
      <c r="H1532" t="s">
        <v>5138</v>
      </c>
      <c r="I1532">
        <v>48.071581999999999</v>
      </c>
      <c r="J1532">
        <v>-122.139978</v>
      </c>
      <c r="K1532" t="s">
        <v>3936</v>
      </c>
      <c r="L1532" t="s">
        <v>3946</v>
      </c>
      <c r="M1532" t="s">
        <v>3948</v>
      </c>
      <c r="P1532" t="s">
        <v>3865</v>
      </c>
    </row>
    <row r="1533" spans="1:16" x14ac:dyDescent="0.2">
      <c r="A1533" t="s">
        <v>1738</v>
      </c>
      <c r="B1533" t="s">
        <v>3866</v>
      </c>
      <c r="C1533" t="s">
        <v>3201</v>
      </c>
      <c r="D1533" t="s">
        <v>2307</v>
      </c>
      <c r="E1533">
        <v>98270</v>
      </c>
      <c r="F1533" t="s">
        <v>1585</v>
      </c>
      <c r="G1533" t="s">
        <v>1988</v>
      </c>
      <c r="H1533" t="s">
        <v>5202</v>
      </c>
      <c r="I1533">
        <v>48.080672</v>
      </c>
      <c r="J1533">
        <v>-122.174673</v>
      </c>
      <c r="K1533" t="s">
        <v>3936</v>
      </c>
      <c r="L1533" t="s">
        <v>3946</v>
      </c>
      <c r="M1533" t="s">
        <v>3948</v>
      </c>
      <c r="P1533" t="s">
        <v>3866</v>
      </c>
    </row>
    <row r="1534" spans="1:16" x14ac:dyDescent="0.2">
      <c r="A1534" t="s">
        <v>1855</v>
      </c>
      <c r="B1534" t="s">
        <v>3867</v>
      </c>
      <c r="C1534" t="s">
        <v>3237</v>
      </c>
      <c r="D1534" t="s">
        <v>2307</v>
      </c>
      <c r="E1534">
        <v>98499</v>
      </c>
      <c r="F1534" t="s">
        <v>1591</v>
      </c>
      <c r="G1534" t="s">
        <v>1969</v>
      </c>
      <c r="H1534" t="s">
        <v>4190</v>
      </c>
      <c r="I1534">
        <v>47.176302</v>
      </c>
      <c r="J1534">
        <v>-122.488446</v>
      </c>
      <c r="K1534" t="s">
        <v>3936</v>
      </c>
      <c r="L1534" t="s">
        <v>3946</v>
      </c>
      <c r="M1534" t="s">
        <v>3948</v>
      </c>
      <c r="P1534" t="s">
        <v>3867</v>
      </c>
    </row>
    <row r="1535" spans="1:16" x14ac:dyDescent="0.2">
      <c r="A1535" t="s">
        <v>1856</v>
      </c>
      <c r="B1535" t="s">
        <v>3868</v>
      </c>
      <c r="C1535" t="s">
        <v>3201</v>
      </c>
      <c r="D1535" t="s">
        <v>2307</v>
      </c>
      <c r="E1535">
        <v>98270</v>
      </c>
      <c r="F1535" t="s">
        <v>1587</v>
      </c>
      <c r="G1535" t="s">
        <v>1987</v>
      </c>
      <c r="H1535" t="s">
        <v>3997</v>
      </c>
      <c r="I1535">
        <v>48.082132000000001</v>
      </c>
      <c r="J1535">
        <v>-122.173562</v>
      </c>
      <c r="K1535" t="s">
        <v>3936</v>
      </c>
      <c r="L1535" t="s">
        <v>3946</v>
      </c>
      <c r="M1535" t="s">
        <v>3948</v>
      </c>
      <c r="P1535" t="s">
        <v>3868</v>
      </c>
    </row>
    <row r="1536" spans="1:16" x14ac:dyDescent="0.2">
      <c r="A1536" t="s">
        <v>1795</v>
      </c>
      <c r="B1536" t="s">
        <v>3870</v>
      </c>
      <c r="C1536" t="s">
        <v>3201</v>
      </c>
      <c r="D1536" t="s">
        <v>2307</v>
      </c>
      <c r="E1536">
        <v>98270</v>
      </c>
      <c r="F1536" t="s">
        <v>1587</v>
      </c>
      <c r="G1536" t="s">
        <v>1973</v>
      </c>
      <c r="H1536" t="s">
        <v>5561</v>
      </c>
      <c r="I1536">
        <v>48.085123000000003</v>
      </c>
      <c r="J1536">
        <v>-122.172512</v>
      </c>
      <c r="K1536" t="s">
        <v>3936</v>
      </c>
      <c r="L1536" t="s">
        <v>3946</v>
      </c>
      <c r="M1536" t="s">
        <v>3948</v>
      </c>
      <c r="P1536" t="s">
        <v>3870</v>
      </c>
    </row>
    <row r="1537" spans="1:16" x14ac:dyDescent="0.2">
      <c r="A1537" t="s">
        <v>1857</v>
      </c>
      <c r="B1537" t="s">
        <v>3871</v>
      </c>
      <c r="C1537" t="s">
        <v>3237</v>
      </c>
      <c r="D1537" t="s">
        <v>2307</v>
      </c>
      <c r="E1537">
        <v>98498</v>
      </c>
      <c r="F1537" t="s">
        <v>1583</v>
      </c>
      <c r="G1537" t="s">
        <v>1980</v>
      </c>
      <c r="H1537" t="s">
        <v>4191</v>
      </c>
      <c r="I1537">
        <v>47.181503999999997</v>
      </c>
      <c r="J1537">
        <v>-122.547489</v>
      </c>
      <c r="K1537" t="s">
        <v>3936</v>
      </c>
      <c r="L1537" t="s">
        <v>3946</v>
      </c>
      <c r="M1537" t="s">
        <v>3948</v>
      </c>
      <c r="P1537" t="s">
        <v>3871</v>
      </c>
    </row>
    <row r="1538" spans="1:16" x14ac:dyDescent="0.2">
      <c r="A1538" t="s">
        <v>4998</v>
      </c>
      <c r="B1538" t="s">
        <v>4999</v>
      </c>
      <c r="C1538" t="s">
        <v>3237</v>
      </c>
      <c r="D1538" t="s">
        <v>2307</v>
      </c>
      <c r="E1538">
        <v>98498</v>
      </c>
      <c r="F1538" t="s">
        <v>1583</v>
      </c>
      <c r="G1538" t="s">
        <v>1980</v>
      </c>
      <c r="H1538" t="s">
        <v>5000</v>
      </c>
      <c r="I1538">
        <v>47.180072000000003</v>
      </c>
      <c r="J1538">
        <v>-122.54366</v>
      </c>
      <c r="K1538" t="s">
        <v>3936</v>
      </c>
      <c r="L1538" t="s">
        <v>3946</v>
      </c>
      <c r="M1538" t="s">
        <v>3948</v>
      </c>
      <c r="P1538" t="s">
        <v>6061</v>
      </c>
    </row>
    <row r="1539" spans="1:16" x14ac:dyDescent="0.2">
      <c r="A1539" t="s">
        <v>1858</v>
      </c>
      <c r="B1539" t="s">
        <v>3872</v>
      </c>
      <c r="C1539" t="s">
        <v>3186</v>
      </c>
      <c r="D1539" t="s">
        <v>2307</v>
      </c>
      <c r="E1539">
        <v>98374</v>
      </c>
      <c r="F1539" t="s">
        <v>1573</v>
      </c>
      <c r="G1539" t="s">
        <v>1990</v>
      </c>
      <c r="H1539" t="s">
        <v>4192</v>
      </c>
      <c r="I1539">
        <v>47.158611999999998</v>
      </c>
      <c r="J1539">
        <v>-122.29061900000001</v>
      </c>
      <c r="K1539" t="s">
        <v>3936</v>
      </c>
      <c r="L1539" t="s">
        <v>3946</v>
      </c>
      <c r="M1539" t="s">
        <v>3948</v>
      </c>
      <c r="P1539" t="s">
        <v>3872</v>
      </c>
    </row>
    <row r="1540" spans="1:16" x14ac:dyDescent="0.2">
      <c r="A1540" t="s">
        <v>1667</v>
      </c>
      <c r="B1540" t="s">
        <v>3873</v>
      </c>
      <c r="C1540" t="s">
        <v>3186</v>
      </c>
      <c r="D1540" t="s">
        <v>2307</v>
      </c>
      <c r="E1540">
        <v>98373</v>
      </c>
      <c r="F1540" t="s">
        <v>1658</v>
      </c>
      <c r="G1540" t="s">
        <v>1994</v>
      </c>
      <c r="H1540" t="s">
        <v>4193</v>
      </c>
      <c r="I1540">
        <v>47.156443000000003</v>
      </c>
      <c r="J1540">
        <v>-122.357404</v>
      </c>
      <c r="K1540" t="s">
        <v>3936</v>
      </c>
      <c r="L1540" t="s">
        <v>3946</v>
      </c>
      <c r="M1540" t="s">
        <v>3948</v>
      </c>
      <c r="P1540" t="s">
        <v>3873</v>
      </c>
    </row>
    <row r="1541" spans="1:16" x14ac:dyDescent="0.2">
      <c r="A1541" t="s">
        <v>1667</v>
      </c>
      <c r="B1541" t="s">
        <v>3874</v>
      </c>
      <c r="C1541" t="s">
        <v>3186</v>
      </c>
      <c r="D1541" t="s">
        <v>2307</v>
      </c>
      <c r="E1541">
        <v>98374</v>
      </c>
      <c r="F1541" t="s">
        <v>1658</v>
      </c>
      <c r="G1541" t="s">
        <v>1994</v>
      </c>
      <c r="H1541" t="s">
        <v>4194</v>
      </c>
      <c r="I1541">
        <v>47.156782</v>
      </c>
      <c r="J1541">
        <v>-122.29214899999999</v>
      </c>
      <c r="K1541" t="s">
        <v>3936</v>
      </c>
      <c r="L1541" t="s">
        <v>3946</v>
      </c>
      <c r="M1541" t="s">
        <v>3948</v>
      </c>
      <c r="P1541" t="s">
        <v>3874</v>
      </c>
    </row>
    <row r="1542" spans="1:16" x14ac:dyDescent="0.2">
      <c r="A1542" t="s">
        <v>1597</v>
      </c>
      <c r="B1542" t="s">
        <v>3875</v>
      </c>
      <c r="C1542" t="s">
        <v>3067</v>
      </c>
      <c r="D1542" t="s">
        <v>2307</v>
      </c>
      <c r="E1542">
        <v>98499</v>
      </c>
      <c r="F1542" t="s">
        <v>1573</v>
      </c>
      <c r="G1542" t="s">
        <v>1990</v>
      </c>
      <c r="H1542" t="s">
        <v>5318</v>
      </c>
      <c r="I1542">
        <v>47.165149</v>
      </c>
      <c r="J1542">
        <v>-122.483808</v>
      </c>
      <c r="K1542" t="s">
        <v>3936</v>
      </c>
      <c r="L1542" t="s">
        <v>3946</v>
      </c>
      <c r="M1542" t="s">
        <v>3948</v>
      </c>
      <c r="P1542" t="s">
        <v>3875</v>
      </c>
    </row>
    <row r="1543" spans="1:16" x14ac:dyDescent="0.2">
      <c r="A1543" t="s">
        <v>1704</v>
      </c>
      <c r="B1543" t="s">
        <v>3876</v>
      </c>
      <c r="C1543" t="s">
        <v>3186</v>
      </c>
      <c r="D1543" t="s">
        <v>2307</v>
      </c>
      <c r="E1543">
        <v>98373</v>
      </c>
      <c r="F1543" t="s">
        <v>1600</v>
      </c>
      <c r="G1543" t="s">
        <v>2004</v>
      </c>
      <c r="H1543" t="s">
        <v>5319</v>
      </c>
      <c r="I1543">
        <v>47.153928999999998</v>
      </c>
      <c r="J1543">
        <v>-122.293094</v>
      </c>
      <c r="K1543" t="s">
        <v>3936</v>
      </c>
      <c r="L1543" t="s">
        <v>3946</v>
      </c>
      <c r="M1543" t="s">
        <v>3948</v>
      </c>
      <c r="P1543" t="s">
        <v>3876</v>
      </c>
    </row>
    <row r="1544" spans="1:16" x14ac:dyDescent="0.2">
      <c r="A1544" t="s">
        <v>1734</v>
      </c>
      <c r="B1544" t="s">
        <v>3877</v>
      </c>
      <c r="C1544" t="s">
        <v>3067</v>
      </c>
      <c r="D1544" t="s">
        <v>2307</v>
      </c>
      <c r="E1544">
        <v>98499</v>
      </c>
      <c r="F1544" t="s">
        <v>1573</v>
      </c>
      <c r="G1544" t="s">
        <v>1990</v>
      </c>
      <c r="H1544" t="s">
        <v>4195</v>
      </c>
      <c r="I1544">
        <v>47.167554000000003</v>
      </c>
      <c r="J1544">
        <v>-122.511285</v>
      </c>
      <c r="K1544" t="s">
        <v>3936</v>
      </c>
      <c r="L1544" t="s">
        <v>3946</v>
      </c>
      <c r="M1544" t="s">
        <v>3948</v>
      </c>
      <c r="P1544" t="s">
        <v>3877</v>
      </c>
    </row>
    <row r="1545" spans="1:16" x14ac:dyDescent="0.2">
      <c r="A1545" t="s">
        <v>1744</v>
      </c>
      <c r="B1545" t="s">
        <v>3878</v>
      </c>
      <c r="C1545" t="s">
        <v>3186</v>
      </c>
      <c r="D1545" t="s">
        <v>2307</v>
      </c>
      <c r="E1545">
        <v>98373</v>
      </c>
      <c r="F1545" t="s">
        <v>1575</v>
      </c>
      <c r="G1545" t="s">
        <v>1987</v>
      </c>
      <c r="H1545" t="s">
        <v>3998</v>
      </c>
      <c r="I1545">
        <v>47.151862999999999</v>
      </c>
      <c r="J1545">
        <v>-122.292834</v>
      </c>
      <c r="K1545" t="s">
        <v>3936</v>
      </c>
      <c r="L1545" t="s">
        <v>3946</v>
      </c>
      <c r="M1545" t="s">
        <v>3948</v>
      </c>
      <c r="P1545" t="s">
        <v>3878</v>
      </c>
    </row>
    <row r="1546" spans="1:16" x14ac:dyDescent="0.2">
      <c r="A1546" t="s">
        <v>1667</v>
      </c>
      <c r="B1546" t="s">
        <v>3879</v>
      </c>
      <c r="C1546" t="s">
        <v>3191</v>
      </c>
      <c r="D1546" t="s">
        <v>2307</v>
      </c>
      <c r="E1546">
        <v>98390</v>
      </c>
      <c r="F1546" t="s">
        <v>1658</v>
      </c>
      <c r="G1546" t="s">
        <v>1994</v>
      </c>
      <c r="H1546" t="s">
        <v>4196</v>
      </c>
      <c r="I1546">
        <v>47.168205</v>
      </c>
      <c r="J1546">
        <v>-122.152739</v>
      </c>
      <c r="K1546" t="s">
        <v>3936</v>
      </c>
      <c r="L1546" t="s">
        <v>3946</v>
      </c>
      <c r="M1546" t="s">
        <v>3948</v>
      </c>
      <c r="P1546" t="s">
        <v>3879</v>
      </c>
    </row>
    <row r="1547" spans="1:16" x14ac:dyDescent="0.2">
      <c r="A1547" t="s">
        <v>1605</v>
      </c>
      <c r="B1547" t="s">
        <v>3880</v>
      </c>
      <c r="C1547" t="s">
        <v>3237</v>
      </c>
      <c r="D1547" t="s">
        <v>2307</v>
      </c>
      <c r="E1547">
        <v>98499</v>
      </c>
      <c r="F1547" t="s">
        <v>1591</v>
      </c>
      <c r="G1547" t="s">
        <v>1969</v>
      </c>
      <c r="H1547" t="s">
        <v>4197</v>
      </c>
      <c r="I1547">
        <v>47.165227999999999</v>
      </c>
      <c r="J1547">
        <v>-122.512333</v>
      </c>
      <c r="K1547" t="s">
        <v>3936</v>
      </c>
      <c r="L1547" t="s">
        <v>3946</v>
      </c>
      <c r="M1547" t="s">
        <v>3948</v>
      </c>
      <c r="P1547" t="s">
        <v>3880</v>
      </c>
    </row>
    <row r="1548" spans="1:16" x14ac:dyDescent="0.2">
      <c r="A1548" t="s">
        <v>1859</v>
      </c>
      <c r="B1548" t="s">
        <v>3881</v>
      </c>
      <c r="C1548" t="s">
        <v>3191</v>
      </c>
      <c r="D1548" t="s">
        <v>2307</v>
      </c>
      <c r="E1548">
        <v>98391</v>
      </c>
      <c r="F1548" t="s">
        <v>1583</v>
      </c>
      <c r="G1548" t="s">
        <v>1980</v>
      </c>
      <c r="H1548" t="s">
        <v>4198</v>
      </c>
      <c r="I1548">
        <v>47.167724999999997</v>
      </c>
      <c r="J1548">
        <v>-122.145595</v>
      </c>
      <c r="K1548" t="s">
        <v>3936</v>
      </c>
      <c r="L1548" t="s">
        <v>3946</v>
      </c>
      <c r="M1548" t="s">
        <v>3948</v>
      </c>
      <c r="P1548" t="s">
        <v>3881</v>
      </c>
    </row>
    <row r="1549" spans="1:16" x14ac:dyDescent="0.2">
      <c r="A1549" t="s">
        <v>1860</v>
      </c>
      <c r="B1549" t="s">
        <v>3882</v>
      </c>
      <c r="C1549" t="s">
        <v>3191</v>
      </c>
      <c r="D1549" t="s">
        <v>2307</v>
      </c>
      <c r="E1549">
        <v>98391</v>
      </c>
      <c r="F1549" t="s">
        <v>1583</v>
      </c>
      <c r="G1549" t="s">
        <v>1980</v>
      </c>
      <c r="H1549" t="s">
        <v>4199</v>
      </c>
      <c r="I1549">
        <v>47.166848000000002</v>
      </c>
      <c r="J1549">
        <v>-122.137342</v>
      </c>
      <c r="K1549" t="s">
        <v>3936</v>
      </c>
      <c r="L1549" t="s">
        <v>3946</v>
      </c>
      <c r="M1549" t="s">
        <v>3948</v>
      </c>
      <c r="P1549" t="s">
        <v>3882</v>
      </c>
    </row>
    <row r="1550" spans="1:16" x14ac:dyDescent="0.2">
      <c r="A1550" t="s">
        <v>1861</v>
      </c>
      <c r="B1550" t="s">
        <v>3883</v>
      </c>
      <c r="C1550" t="s">
        <v>3186</v>
      </c>
      <c r="D1550" t="s">
        <v>2307</v>
      </c>
      <c r="E1550">
        <v>98374</v>
      </c>
      <c r="F1550" t="s">
        <v>1583</v>
      </c>
      <c r="G1550" t="s">
        <v>1980</v>
      </c>
      <c r="H1550" t="s">
        <v>4200</v>
      </c>
      <c r="I1550">
        <v>47.147329999999997</v>
      </c>
      <c r="J1550">
        <v>-122.29183399999999</v>
      </c>
      <c r="K1550" t="s">
        <v>3936</v>
      </c>
      <c r="L1550" t="s">
        <v>3946</v>
      </c>
      <c r="M1550" t="s">
        <v>3948</v>
      </c>
      <c r="P1550" t="s">
        <v>5702</v>
      </c>
    </row>
    <row r="1551" spans="1:16" x14ac:dyDescent="0.2">
      <c r="A1551" t="s">
        <v>1795</v>
      </c>
      <c r="B1551" t="s">
        <v>3884</v>
      </c>
      <c r="C1551" t="s">
        <v>3885</v>
      </c>
      <c r="D1551" t="s">
        <v>2307</v>
      </c>
      <c r="E1551">
        <v>98251</v>
      </c>
      <c r="F1551" t="s">
        <v>1587</v>
      </c>
      <c r="G1551" t="s">
        <v>1973</v>
      </c>
      <c r="H1551" t="s">
        <v>4201</v>
      </c>
      <c r="I1551">
        <v>47.855632999999997</v>
      </c>
      <c r="J1551">
        <v>-121.69859700000001</v>
      </c>
      <c r="K1551" t="s">
        <v>3936</v>
      </c>
      <c r="L1551" t="s">
        <v>3946</v>
      </c>
      <c r="M1551" t="s">
        <v>3948</v>
      </c>
      <c r="P1551" t="s">
        <v>3884</v>
      </c>
    </row>
    <row r="1552" spans="1:16" x14ac:dyDescent="0.2">
      <c r="A1552" t="s">
        <v>1862</v>
      </c>
      <c r="B1552" t="s">
        <v>3886</v>
      </c>
      <c r="C1552" t="s">
        <v>3067</v>
      </c>
      <c r="D1552" t="s">
        <v>2307</v>
      </c>
      <c r="E1552">
        <v>98444</v>
      </c>
      <c r="F1552" t="s">
        <v>1591</v>
      </c>
      <c r="G1552" t="s">
        <v>1969</v>
      </c>
      <c r="H1552" t="s">
        <v>4202</v>
      </c>
      <c r="I1552">
        <v>47.146281999999999</v>
      </c>
      <c r="J1552">
        <v>-122.437449</v>
      </c>
      <c r="K1552" t="s">
        <v>3936</v>
      </c>
      <c r="L1552" t="s">
        <v>3946</v>
      </c>
      <c r="M1552" t="s">
        <v>3948</v>
      </c>
      <c r="P1552" t="s">
        <v>3886</v>
      </c>
    </row>
    <row r="1553" spans="1:16" x14ac:dyDescent="0.2">
      <c r="A1553" t="s">
        <v>1704</v>
      </c>
      <c r="B1553" t="s">
        <v>3887</v>
      </c>
      <c r="C1553" t="s">
        <v>3067</v>
      </c>
      <c r="D1553" t="s">
        <v>2307</v>
      </c>
      <c r="E1553">
        <v>98444</v>
      </c>
      <c r="F1553" t="s">
        <v>1600</v>
      </c>
      <c r="G1553" t="s">
        <v>2004</v>
      </c>
      <c r="H1553" t="s">
        <v>4203</v>
      </c>
      <c r="I1553">
        <v>47.132192000000003</v>
      </c>
      <c r="J1553">
        <v>-122.434488</v>
      </c>
      <c r="K1553" t="s">
        <v>3936</v>
      </c>
      <c r="L1553" t="s">
        <v>3946</v>
      </c>
      <c r="M1553" t="s">
        <v>3948</v>
      </c>
      <c r="P1553" t="s">
        <v>3887</v>
      </c>
    </row>
    <row r="1554" spans="1:16" x14ac:dyDescent="0.2">
      <c r="A1554" t="s">
        <v>1863</v>
      </c>
      <c r="B1554" t="s">
        <v>3888</v>
      </c>
      <c r="C1554" t="s">
        <v>3067</v>
      </c>
      <c r="D1554" t="s">
        <v>2307</v>
      </c>
      <c r="E1554">
        <v>98444</v>
      </c>
      <c r="F1554" t="s">
        <v>1583</v>
      </c>
      <c r="G1554" t="s">
        <v>1980</v>
      </c>
      <c r="H1554" t="s">
        <v>3999</v>
      </c>
      <c r="I1554">
        <v>47.128390000000003</v>
      </c>
      <c r="J1554">
        <v>-122.434614</v>
      </c>
      <c r="K1554" t="s">
        <v>3936</v>
      </c>
      <c r="L1554" t="s">
        <v>3946</v>
      </c>
      <c r="M1554" t="s">
        <v>3948</v>
      </c>
      <c r="P1554" t="s">
        <v>3888</v>
      </c>
    </row>
    <row r="1555" spans="1:16" x14ac:dyDescent="0.2">
      <c r="A1555" t="s">
        <v>5140</v>
      </c>
      <c r="B1555" t="s">
        <v>5141</v>
      </c>
      <c r="C1555" t="s">
        <v>3364</v>
      </c>
      <c r="D1555" t="s">
        <v>2307</v>
      </c>
      <c r="E1555">
        <v>98292</v>
      </c>
      <c r="F1555" t="s">
        <v>1573</v>
      </c>
      <c r="G1555" t="s">
        <v>1969</v>
      </c>
      <c r="H1555" t="s">
        <v>5142</v>
      </c>
      <c r="I1555">
        <v>48.139305999999998</v>
      </c>
      <c r="J1555">
        <v>-122.35847</v>
      </c>
      <c r="K1555" t="s">
        <v>3936</v>
      </c>
      <c r="L1555" t="s">
        <v>3946</v>
      </c>
      <c r="M1555" t="s">
        <v>3948</v>
      </c>
      <c r="P1555" t="s">
        <v>5141</v>
      </c>
    </row>
    <row r="1556" spans="1:16" x14ac:dyDescent="0.2">
      <c r="A1556" t="s">
        <v>1802</v>
      </c>
      <c r="B1556" t="s">
        <v>3889</v>
      </c>
      <c r="C1556" t="s">
        <v>3307</v>
      </c>
      <c r="D1556" t="s">
        <v>2307</v>
      </c>
      <c r="E1556">
        <v>98321</v>
      </c>
      <c r="F1556" t="s">
        <v>1591</v>
      </c>
      <c r="G1556" t="s">
        <v>1969</v>
      </c>
      <c r="H1556" t="s">
        <v>4204</v>
      </c>
      <c r="I1556">
        <v>47.163117</v>
      </c>
      <c r="J1556">
        <v>-122.026786</v>
      </c>
      <c r="K1556" t="s">
        <v>3936</v>
      </c>
      <c r="L1556" t="s">
        <v>3946</v>
      </c>
      <c r="M1556" t="s">
        <v>3948</v>
      </c>
      <c r="P1556" t="s">
        <v>3889</v>
      </c>
    </row>
    <row r="1557" spans="1:16" x14ac:dyDescent="0.2">
      <c r="A1557" t="s">
        <v>1738</v>
      </c>
      <c r="B1557" t="s">
        <v>3890</v>
      </c>
      <c r="C1557" t="s">
        <v>3315</v>
      </c>
      <c r="D1557" t="s">
        <v>2307</v>
      </c>
      <c r="E1557">
        <v>98252</v>
      </c>
      <c r="F1557" t="s">
        <v>1585</v>
      </c>
      <c r="G1557" t="s">
        <v>1988</v>
      </c>
      <c r="H1557" t="s">
        <v>5536</v>
      </c>
      <c r="I1557">
        <v>48.085569999999997</v>
      </c>
      <c r="J1557">
        <v>-121.96934899999999</v>
      </c>
      <c r="K1557" t="s">
        <v>3936</v>
      </c>
      <c r="L1557" t="s">
        <v>3946</v>
      </c>
      <c r="M1557" t="s">
        <v>3948</v>
      </c>
      <c r="P1557" t="s">
        <v>3890</v>
      </c>
    </row>
    <row r="1558" spans="1:16" x14ac:dyDescent="0.2">
      <c r="A1558" t="s">
        <v>1686</v>
      </c>
      <c r="B1558" t="s">
        <v>3891</v>
      </c>
      <c r="C1558" t="s">
        <v>3186</v>
      </c>
      <c r="D1558" t="s">
        <v>2307</v>
      </c>
      <c r="E1558">
        <v>98375</v>
      </c>
      <c r="F1558" t="s">
        <v>1573</v>
      </c>
      <c r="G1558" t="s">
        <v>1990</v>
      </c>
      <c r="H1558" t="s">
        <v>5827</v>
      </c>
      <c r="I1558">
        <v>47.111007000000001</v>
      </c>
      <c r="J1558">
        <v>-122.29355700000001</v>
      </c>
      <c r="K1558" t="s">
        <v>3936</v>
      </c>
      <c r="L1558" t="s">
        <v>3946</v>
      </c>
      <c r="M1558" t="s">
        <v>3948</v>
      </c>
      <c r="P1558" t="s">
        <v>3891</v>
      </c>
    </row>
    <row r="1559" spans="1:16" x14ac:dyDescent="0.2">
      <c r="A1559" t="s">
        <v>1864</v>
      </c>
      <c r="B1559" t="s">
        <v>3892</v>
      </c>
      <c r="C1559" t="s">
        <v>3893</v>
      </c>
      <c r="D1559" t="s">
        <v>2307</v>
      </c>
      <c r="E1559">
        <v>98223</v>
      </c>
      <c r="F1559" t="s">
        <v>1591</v>
      </c>
      <c r="G1559" t="s">
        <v>1969</v>
      </c>
      <c r="H1559" t="s">
        <v>4205</v>
      </c>
      <c r="I1559">
        <v>48.148420999999999</v>
      </c>
      <c r="J1559">
        <v>-122.181989</v>
      </c>
      <c r="K1559" t="s">
        <v>3936</v>
      </c>
      <c r="L1559" t="s">
        <v>3946</v>
      </c>
      <c r="M1559" t="s">
        <v>3948</v>
      </c>
      <c r="P1559" t="s">
        <v>3892</v>
      </c>
    </row>
    <row r="1560" spans="1:16" x14ac:dyDescent="0.2">
      <c r="A1560" t="s">
        <v>1865</v>
      </c>
      <c r="B1560" t="s">
        <v>3894</v>
      </c>
      <c r="C1560" t="s">
        <v>3893</v>
      </c>
      <c r="D1560" t="s">
        <v>2307</v>
      </c>
      <c r="E1560">
        <v>98223</v>
      </c>
      <c r="F1560" t="s">
        <v>1583</v>
      </c>
      <c r="G1560" t="s">
        <v>1980</v>
      </c>
      <c r="H1560" t="s">
        <v>4206</v>
      </c>
      <c r="I1560">
        <v>48.148677999999997</v>
      </c>
      <c r="J1560">
        <v>-122.181134</v>
      </c>
      <c r="K1560" t="s">
        <v>3936</v>
      </c>
      <c r="L1560" t="s">
        <v>3946</v>
      </c>
      <c r="M1560" t="s">
        <v>3948</v>
      </c>
      <c r="P1560" t="s">
        <v>3894</v>
      </c>
    </row>
    <row r="1561" spans="1:16" x14ac:dyDescent="0.2">
      <c r="A1561" t="s">
        <v>1866</v>
      </c>
      <c r="B1561" t="s">
        <v>3895</v>
      </c>
      <c r="C1561" t="s">
        <v>3201</v>
      </c>
      <c r="D1561" t="s">
        <v>2307</v>
      </c>
      <c r="E1561">
        <v>98271</v>
      </c>
      <c r="F1561" t="s">
        <v>1583</v>
      </c>
      <c r="G1561" t="s">
        <v>1980</v>
      </c>
      <c r="H1561" t="s">
        <v>5342</v>
      </c>
      <c r="I1561">
        <v>48.150460000000002</v>
      </c>
      <c r="J1561">
        <v>-122.18943</v>
      </c>
      <c r="K1561" t="s">
        <v>3936</v>
      </c>
      <c r="L1561" t="s">
        <v>3946</v>
      </c>
      <c r="M1561" t="s">
        <v>3948</v>
      </c>
      <c r="P1561" t="s">
        <v>3895</v>
      </c>
    </row>
    <row r="1562" spans="1:16" x14ac:dyDescent="0.2">
      <c r="A1562" t="s">
        <v>4998</v>
      </c>
      <c r="B1562" t="s">
        <v>5001</v>
      </c>
      <c r="C1562" t="s">
        <v>3186</v>
      </c>
      <c r="D1562" t="s">
        <v>2307</v>
      </c>
      <c r="E1562">
        <v>98375</v>
      </c>
      <c r="F1562" t="s">
        <v>1583</v>
      </c>
      <c r="G1562" t="s">
        <v>1980</v>
      </c>
      <c r="H1562" t="s">
        <v>5002</v>
      </c>
      <c r="I1562">
        <v>47.097185000000003</v>
      </c>
      <c r="J1562">
        <v>-122.293724</v>
      </c>
      <c r="K1562" t="s">
        <v>3936</v>
      </c>
      <c r="L1562" t="s">
        <v>3946</v>
      </c>
      <c r="M1562" t="s">
        <v>3948</v>
      </c>
      <c r="P1562" t="s">
        <v>5001</v>
      </c>
    </row>
    <row r="1563" spans="1:16" x14ac:dyDescent="0.2">
      <c r="A1563" t="s">
        <v>1867</v>
      </c>
      <c r="B1563" t="s">
        <v>3896</v>
      </c>
      <c r="C1563" t="s">
        <v>3329</v>
      </c>
      <c r="D1563" t="s">
        <v>2307</v>
      </c>
      <c r="E1563">
        <v>98223</v>
      </c>
      <c r="F1563" t="s">
        <v>1583</v>
      </c>
      <c r="G1563" t="s">
        <v>1980</v>
      </c>
      <c r="H1563" t="s">
        <v>4207</v>
      </c>
      <c r="I1563">
        <v>48.152262999999998</v>
      </c>
      <c r="J1563">
        <v>-122.18047199999999</v>
      </c>
      <c r="K1563" t="s">
        <v>3936</v>
      </c>
      <c r="L1563" t="s">
        <v>3946</v>
      </c>
      <c r="M1563" t="s">
        <v>3948</v>
      </c>
      <c r="P1563" t="s">
        <v>6009</v>
      </c>
    </row>
    <row r="1564" spans="1:16" x14ac:dyDescent="0.2">
      <c r="A1564" t="s">
        <v>1868</v>
      </c>
      <c r="B1564" t="s">
        <v>3897</v>
      </c>
      <c r="C1564" t="s">
        <v>3329</v>
      </c>
      <c r="D1564" t="s">
        <v>2307</v>
      </c>
      <c r="E1564">
        <v>98223</v>
      </c>
      <c r="F1564" t="s">
        <v>1583</v>
      </c>
      <c r="G1564" t="s">
        <v>1980</v>
      </c>
      <c r="H1564" t="s">
        <v>4208</v>
      </c>
      <c r="I1564">
        <v>48.153683999999998</v>
      </c>
      <c r="J1564">
        <v>-122.186718</v>
      </c>
      <c r="K1564" t="s">
        <v>3936</v>
      </c>
      <c r="L1564" t="s">
        <v>3946</v>
      </c>
      <c r="M1564" t="s">
        <v>3948</v>
      </c>
      <c r="P1564" t="s">
        <v>3897</v>
      </c>
    </row>
    <row r="1565" spans="1:16" x14ac:dyDescent="0.2">
      <c r="A1565" t="s">
        <v>1738</v>
      </c>
      <c r="B1565" t="s">
        <v>5203</v>
      </c>
      <c r="C1565" t="s">
        <v>3329</v>
      </c>
      <c r="D1565" t="s">
        <v>2307</v>
      </c>
      <c r="E1565">
        <v>98223</v>
      </c>
      <c r="F1565" t="s">
        <v>1585</v>
      </c>
      <c r="G1565" t="s">
        <v>1988</v>
      </c>
      <c r="H1565" t="s">
        <v>5537</v>
      </c>
      <c r="I1565">
        <v>48.154181000000001</v>
      </c>
      <c r="J1565">
        <v>-122.18352</v>
      </c>
      <c r="K1565" t="s">
        <v>3936</v>
      </c>
      <c r="L1565" t="s">
        <v>3946</v>
      </c>
      <c r="M1565" t="s">
        <v>3948</v>
      </c>
      <c r="P1565" t="s">
        <v>5203</v>
      </c>
    </row>
    <row r="1566" spans="1:16" x14ac:dyDescent="0.2">
      <c r="A1566" t="s">
        <v>1869</v>
      </c>
      <c r="B1566" t="s">
        <v>3898</v>
      </c>
      <c r="C1566" t="s">
        <v>3893</v>
      </c>
      <c r="D1566" t="s">
        <v>2307</v>
      </c>
      <c r="E1566">
        <v>98223</v>
      </c>
      <c r="F1566" t="s">
        <v>1591</v>
      </c>
      <c r="G1566" t="s">
        <v>1969</v>
      </c>
      <c r="H1566" t="s">
        <v>4209</v>
      </c>
      <c r="I1566">
        <v>48.15484</v>
      </c>
      <c r="J1566">
        <v>-122.187319</v>
      </c>
      <c r="K1566" t="s">
        <v>3936</v>
      </c>
      <c r="L1566" t="s">
        <v>3946</v>
      </c>
      <c r="M1566" t="s">
        <v>3948</v>
      </c>
      <c r="P1566" t="s">
        <v>3898</v>
      </c>
    </row>
    <row r="1567" spans="1:16" x14ac:dyDescent="0.2">
      <c r="A1567" t="s">
        <v>1870</v>
      </c>
      <c r="B1567" t="s">
        <v>3899</v>
      </c>
      <c r="C1567" t="s">
        <v>3329</v>
      </c>
      <c r="D1567" t="s">
        <v>2307</v>
      </c>
      <c r="E1567">
        <v>98223</v>
      </c>
      <c r="F1567" t="s">
        <v>1591</v>
      </c>
      <c r="G1567" t="s">
        <v>1969</v>
      </c>
      <c r="H1567" t="s">
        <v>4210</v>
      </c>
      <c r="I1567">
        <v>48.15484</v>
      </c>
      <c r="J1567">
        <v>-122.187319</v>
      </c>
      <c r="K1567" t="s">
        <v>3936</v>
      </c>
      <c r="L1567" t="s">
        <v>3946</v>
      </c>
      <c r="M1567" t="s">
        <v>3948</v>
      </c>
      <c r="P1567" t="s">
        <v>3899</v>
      </c>
    </row>
    <row r="1568" spans="1:16" x14ac:dyDescent="0.2">
      <c r="A1568" t="s">
        <v>1871</v>
      </c>
      <c r="B1568" t="s">
        <v>6248</v>
      </c>
      <c r="C1568" t="s">
        <v>3329</v>
      </c>
      <c r="D1568" t="s">
        <v>2307</v>
      </c>
      <c r="E1568">
        <v>98223</v>
      </c>
      <c r="F1568" t="s">
        <v>1591</v>
      </c>
      <c r="G1568" t="s">
        <v>1993</v>
      </c>
      <c r="H1568" t="s">
        <v>4211</v>
      </c>
      <c r="I1568">
        <v>48.151986000000001</v>
      </c>
      <c r="J1568">
        <v>-122.159503</v>
      </c>
      <c r="K1568" t="s">
        <v>3936</v>
      </c>
      <c r="L1568" t="s">
        <v>3946</v>
      </c>
      <c r="M1568" t="s">
        <v>3948</v>
      </c>
      <c r="P1568" t="s">
        <v>6046</v>
      </c>
    </row>
    <row r="1569" spans="1:16" x14ac:dyDescent="0.2">
      <c r="A1569" t="s">
        <v>5144</v>
      </c>
      <c r="B1569" t="s">
        <v>5145</v>
      </c>
      <c r="C1569" t="s">
        <v>3329</v>
      </c>
      <c r="D1569" t="s">
        <v>2307</v>
      </c>
      <c r="E1569">
        <v>98223</v>
      </c>
      <c r="F1569" t="s">
        <v>1583</v>
      </c>
      <c r="G1569" t="s">
        <v>1980</v>
      </c>
      <c r="H1569" t="s">
        <v>5146</v>
      </c>
      <c r="I1569">
        <v>48.156713000000003</v>
      </c>
      <c r="J1569">
        <v>-122.127531</v>
      </c>
      <c r="K1569" t="s">
        <v>3936</v>
      </c>
      <c r="L1569" t="s">
        <v>3946</v>
      </c>
      <c r="M1569" t="s">
        <v>3948</v>
      </c>
      <c r="P1569" t="s">
        <v>5145</v>
      </c>
    </row>
    <row r="1570" spans="1:16" x14ac:dyDescent="0.2">
      <c r="A1570" t="s">
        <v>1693</v>
      </c>
      <c r="B1570" t="s">
        <v>3900</v>
      </c>
      <c r="C1570" t="s">
        <v>3345</v>
      </c>
      <c r="D1570" t="s">
        <v>2307</v>
      </c>
      <c r="E1570">
        <v>98387</v>
      </c>
      <c r="F1570" t="s">
        <v>1587</v>
      </c>
      <c r="G1570" t="s">
        <v>1989</v>
      </c>
      <c r="H1570" t="s">
        <v>4212</v>
      </c>
      <c r="I1570">
        <v>47.072035</v>
      </c>
      <c r="J1570">
        <v>-122.41976</v>
      </c>
      <c r="K1570" t="s">
        <v>3936</v>
      </c>
      <c r="L1570" t="s">
        <v>3946</v>
      </c>
      <c r="M1570" t="s">
        <v>3948</v>
      </c>
      <c r="P1570" t="s">
        <v>3900</v>
      </c>
    </row>
    <row r="1571" spans="1:16" x14ac:dyDescent="0.2">
      <c r="A1571" t="s">
        <v>1872</v>
      </c>
      <c r="B1571" t="s">
        <v>3901</v>
      </c>
      <c r="C1571" t="s">
        <v>3361</v>
      </c>
      <c r="D1571" t="s">
        <v>2307</v>
      </c>
      <c r="E1571">
        <v>98338</v>
      </c>
      <c r="F1571" t="s">
        <v>1591</v>
      </c>
      <c r="G1571" t="s">
        <v>1969</v>
      </c>
      <c r="H1571" t="s">
        <v>4213</v>
      </c>
      <c r="I1571">
        <v>47.053272999999997</v>
      </c>
      <c r="J1571">
        <v>-122.299486</v>
      </c>
      <c r="K1571" t="s">
        <v>3936</v>
      </c>
      <c r="L1571" t="s">
        <v>3946</v>
      </c>
      <c r="M1571" t="s">
        <v>3948</v>
      </c>
      <c r="P1571" t="s">
        <v>3901</v>
      </c>
    </row>
    <row r="1572" spans="1:16" x14ac:dyDescent="0.2">
      <c r="A1572" t="s">
        <v>1873</v>
      </c>
      <c r="B1572" t="s">
        <v>3902</v>
      </c>
      <c r="C1572" t="s">
        <v>3329</v>
      </c>
      <c r="D1572" t="s">
        <v>2307</v>
      </c>
      <c r="E1572">
        <v>98223</v>
      </c>
      <c r="F1572" t="s">
        <v>1583</v>
      </c>
      <c r="G1572" t="s">
        <v>1980</v>
      </c>
      <c r="H1572" t="s">
        <v>4214</v>
      </c>
      <c r="I1572">
        <v>48.196564000000002</v>
      </c>
      <c r="J1572">
        <v>-122.126542</v>
      </c>
      <c r="K1572" t="s">
        <v>3936</v>
      </c>
      <c r="L1572" t="s">
        <v>3946</v>
      </c>
      <c r="M1572" t="s">
        <v>3948</v>
      </c>
      <c r="P1572" t="s">
        <v>3902</v>
      </c>
    </row>
    <row r="1573" spans="1:16" x14ac:dyDescent="0.2">
      <c r="A1573" t="s">
        <v>1795</v>
      </c>
      <c r="B1573" t="s">
        <v>3904</v>
      </c>
      <c r="C1573" t="s">
        <v>3329</v>
      </c>
      <c r="D1573" t="s">
        <v>2307</v>
      </c>
      <c r="E1573">
        <v>98223</v>
      </c>
      <c r="F1573" t="s">
        <v>1587</v>
      </c>
      <c r="G1573" t="s">
        <v>1973</v>
      </c>
      <c r="H1573" t="s">
        <v>5562</v>
      </c>
      <c r="I1573">
        <v>48.198587000000003</v>
      </c>
      <c r="J1573">
        <v>-122.128371</v>
      </c>
      <c r="K1573" t="s">
        <v>3936</v>
      </c>
      <c r="L1573" t="s">
        <v>3946</v>
      </c>
      <c r="M1573" t="s">
        <v>3948</v>
      </c>
      <c r="P1573" t="s">
        <v>3904</v>
      </c>
    </row>
    <row r="1574" spans="1:16" x14ac:dyDescent="0.2">
      <c r="A1574" t="s">
        <v>1875</v>
      </c>
      <c r="B1574" t="s">
        <v>3905</v>
      </c>
      <c r="C1574" t="s">
        <v>3329</v>
      </c>
      <c r="D1574" t="s">
        <v>2307</v>
      </c>
      <c r="E1574">
        <v>98223</v>
      </c>
      <c r="F1574" t="s">
        <v>1591</v>
      </c>
      <c r="G1574" t="s">
        <v>1969</v>
      </c>
      <c r="H1574" t="s">
        <v>4216</v>
      </c>
      <c r="I1574">
        <v>48.198723999999999</v>
      </c>
      <c r="J1574">
        <v>-122.126126</v>
      </c>
      <c r="K1574" t="s">
        <v>3936</v>
      </c>
      <c r="L1574" t="s">
        <v>3946</v>
      </c>
      <c r="M1574" t="s">
        <v>3948</v>
      </c>
      <c r="P1574" t="s">
        <v>3905</v>
      </c>
    </row>
    <row r="1575" spans="1:16" x14ac:dyDescent="0.2">
      <c r="A1575" t="s">
        <v>1876</v>
      </c>
      <c r="B1575" t="s">
        <v>3906</v>
      </c>
      <c r="C1575" t="s">
        <v>3364</v>
      </c>
      <c r="D1575" t="s">
        <v>2307</v>
      </c>
      <c r="E1575">
        <v>98292</v>
      </c>
      <c r="F1575" t="s">
        <v>1591</v>
      </c>
      <c r="G1575" t="s">
        <v>1969</v>
      </c>
      <c r="H1575" t="s">
        <v>4217</v>
      </c>
      <c r="I1575">
        <v>48.240535000000001</v>
      </c>
      <c r="J1575">
        <v>-122.367377</v>
      </c>
      <c r="K1575" t="s">
        <v>3936</v>
      </c>
      <c r="L1575" t="s">
        <v>3946</v>
      </c>
      <c r="M1575" t="s">
        <v>3948</v>
      </c>
      <c r="P1575" t="s">
        <v>3906</v>
      </c>
    </row>
    <row r="1576" spans="1:16" x14ac:dyDescent="0.2">
      <c r="A1576" t="s">
        <v>1877</v>
      </c>
      <c r="B1576" t="s">
        <v>3907</v>
      </c>
      <c r="C1576" t="s">
        <v>3364</v>
      </c>
      <c r="D1576" t="s">
        <v>2307</v>
      </c>
      <c r="E1576">
        <v>98292</v>
      </c>
      <c r="F1576" t="s">
        <v>1583</v>
      </c>
      <c r="G1576" t="s">
        <v>1980</v>
      </c>
      <c r="H1576" t="s">
        <v>4218</v>
      </c>
      <c r="I1576">
        <v>48.241795000000003</v>
      </c>
      <c r="J1576">
        <v>-122.37044400000001</v>
      </c>
      <c r="K1576" t="s">
        <v>3936</v>
      </c>
      <c r="L1576" t="s">
        <v>3946</v>
      </c>
      <c r="M1576" t="s">
        <v>3948</v>
      </c>
      <c r="P1576" t="s">
        <v>3907</v>
      </c>
    </row>
    <row r="1577" spans="1:16" x14ac:dyDescent="0.2">
      <c r="A1577" t="s">
        <v>1878</v>
      </c>
      <c r="B1577" t="s">
        <v>3908</v>
      </c>
      <c r="C1577" t="s">
        <v>3364</v>
      </c>
      <c r="D1577" t="s">
        <v>2307</v>
      </c>
      <c r="E1577">
        <v>98292</v>
      </c>
      <c r="F1577" t="s">
        <v>1583</v>
      </c>
      <c r="G1577" t="s">
        <v>1980</v>
      </c>
      <c r="H1577" t="s">
        <v>4219</v>
      </c>
      <c r="I1577">
        <v>48.241957999999997</v>
      </c>
      <c r="J1577">
        <v>-122.351516</v>
      </c>
      <c r="K1577" t="s">
        <v>3936</v>
      </c>
      <c r="L1577" t="s">
        <v>3946</v>
      </c>
      <c r="M1577" t="s">
        <v>3948</v>
      </c>
      <c r="P1577" t="s">
        <v>3908</v>
      </c>
    </row>
    <row r="1578" spans="1:16" x14ac:dyDescent="0.2">
      <c r="A1578" t="s">
        <v>1874</v>
      </c>
      <c r="B1578" t="s">
        <v>6249</v>
      </c>
      <c r="C1578" t="s">
        <v>3909</v>
      </c>
      <c r="D1578" t="s">
        <v>2307</v>
      </c>
      <c r="E1578">
        <v>98239</v>
      </c>
      <c r="F1578" t="s">
        <v>1583</v>
      </c>
      <c r="G1578" t="s">
        <v>1980</v>
      </c>
      <c r="H1578" t="s">
        <v>4220</v>
      </c>
      <c r="I1578">
        <v>48.211019999999998</v>
      </c>
      <c r="J1578">
        <v>-122.685929</v>
      </c>
      <c r="K1578" t="s">
        <v>3936</v>
      </c>
      <c r="L1578" t="s">
        <v>3946</v>
      </c>
      <c r="M1578" t="s">
        <v>3948</v>
      </c>
      <c r="P1578" t="s">
        <v>6048</v>
      </c>
    </row>
    <row r="1579" spans="1:16" x14ac:dyDescent="0.2">
      <c r="A1579" t="s">
        <v>1879</v>
      </c>
      <c r="B1579" t="s">
        <v>3910</v>
      </c>
      <c r="C1579" t="s">
        <v>3911</v>
      </c>
      <c r="D1579" t="s">
        <v>2307</v>
      </c>
      <c r="E1579">
        <v>98584</v>
      </c>
      <c r="F1579" t="s">
        <v>1583</v>
      </c>
      <c r="G1579" t="s">
        <v>1980</v>
      </c>
      <c r="H1579" t="s">
        <v>4221</v>
      </c>
      <c r="I1579">
        <v>47.335146000000002</v>
      </c>
      <c r="J1579">
        <v>-123.160735</v>
      </c>
      <c r="K1579" t="s">
        <v>3936</v>
      </c>
      <c r="L1579" t="s">
        <v>3946</v>
      </c>
      <c r="M1579" t="s">
        <v>3948</v>
      </c>
      <c r="P1579" t="s">
        <v>3910</v>
      </c>
    </row>
    <row r="1580" spans="1:16" x14ac:dyDescent="0.2">
      <c r="A1580" t="s">
        <v>1880</v>
      </c>
      <c r="B1580" t="s">
        <v>3912</v>
      </c>
      <c r="C1580" t="s">
        <v>3376</v>
      </c>
      <c r="D1580" t="s">
        <v>2307</v>
      </c>
      <c r="E1580">
        <v>98516</v>
      </c>
      <c r="F1580" t="s">
        <v>1583</v>
      </c>
      <c r="G1580" t="s">
        <v>1980</v>
      </c>
      <c r="H1580" t="s">
        <v>4222</v>
      </c>
      <c r="I1580">
        <v>47.064959999999999</v>
      </c>
      <c r="J1580">
        <v>-122.765356</v>
      </c>
      <c r="K1580" t="s">
        <v>3936</v>
      </c>
      <c r="L1580" t="s">
        <v>3946</v>
      </c>
      <c r="M1580" t="s">
        <v>3948</v>
      </c>
      <c r="P1580" t="s">
        <v>3912</v>
      </c>
    </row>
    <row r="1581" spans="1:16" x14ac:dyDescent="0.2">
      <c r="A1581" t="s">
        <v>1881</v>
      </c>
      <c r="B1581" t="s">
        <v>3913</v>
      </c>
      <c r="C1581" t="s">
        <v>3376</v>
      </c>
      <c r="D1581" t="s">
        <v>2307</v>
      </c>
      <c r="E1581">
        <v>98516</v>
      </c>
      <c r="F1581" t="s">
        <v>1583</v>
      </c>
      <c r="G1581" t="s">
        <v>1980</v>
      </c>
      <c r="H1581" t="s">
        <v>4223</v>
      </c>
      <c r="I1581">
        <v>47.064959999999999</v>
      </c>
      <c r="J1581">
        <v>-122.765356</v>
      </c>
      <c r="K1581" t="s">
        <v>3936</v>
      </c>
      <c r="L1581" t="s">
        <v>3946</v>
      </c>
      <c r="M1581" t="s">
        <v>3948</v>
      </c>
      <c r="P1581" t="s">
        <v>3913</v>
      </c>
    </row>
    <row r="1582" spans="1:16" x14ac:dyDescent="0.2">
      <c r="A1582" t="s">
        <v>1882</v>
      </c>
      <c r="B1582" t="s">
        <v>3914</v>
      </c>
      <c r="C1582" t="s">
        <v>3376</v>
      </c>
      <c r="D1582" t="s">
        <v>2307</v>
      </c>
      <c r="E1582">
        <v>98516</v>
      </c>
      <c r="F1582" t="s">
        <v>1583</v>
      </c>
      <c r="G1582" t="s">
        <v>1980</v>
      </c>
      <c r="H1582" t="s">
        <v>4224</v>
      </c>
      <c r="I1582">
        <v>47.059474000000002</v>
      </c>
      <c r="J1582">
        <v>-122.754003</v>
      </c>
      <c r="K1582" t="s">
        <v>3936</v>
      </c>
      <c r="L1582" t="s">
        <v>3946</v>
      </c>
      <c r="M1582" t="s">
        <v>3948</v>
      </c>
      <c r="P1582" t="s">
        <v>3914</v>
      </c>
    </row>
    <row r="1583" spans="1:16" x14ac:dyDescent="0.2">
      <c r="A1583" t="s">
        <v>1686</v>
      </c>
      <c r="B1583" t="s">
        <v>6282</v>
      </c>
      <c r="C1583" t="s">
        <v>3376</v>
      </c>
      <c r="D1583" t="s">
        <v>2307</v>
      </c>
      <c r="E1583">
        <v>98516</v>
      </c>
      <c r="F1583" t="s">
        <v>1573</v>
      </c>
      <c r="G1583" t="s">
        <v>2001</v>
      </c>
      <c r="H1583" t="s">
        <v>5239</v>
      </c>
      <c r="I1583">
        <v>47.059403000000003</v>
      </c>
      <c r="J1583">
        <v>-122.764836</v>
      </c>
      <c r="K1583" t="s">
        <v>3936</v>
      </c>
      <c r="L1583" t="s">
        <v>3946</v>
      </c>
      <c r="M1583" t="s">
        <v>3948</v>
      </c>
      <c r="P1583" t="s">
        <v>6083</v>
      </c>
    </row>
    <row r="1584" spans="1:16" x14ac:dyDescent="0.2">
      <c r="A1584" t="s">
        <v>1667</v>
      </c>
      <c r="B1584" t="s">
        <v>3915</v>
      </c>
      <c r="C1584" t="s">
        <v>3383</v>
      </c>
      <c r="D1584" t="s">
        <v>2307</v>
      </c>
      <c r="E1584">
        <v>98516</v>
      </c>
      <c r="F1584" t="s">
        <v>1658</v>
      </c>
      <c r="G1584" t="s">
        <v>1994</v>
      </c>
      <c r="H1584" t="s">
        <v>4225</v>
      </c>
      <c r="I1584">
        <v>47.048445999999998</v>
      </c>
      <c r="J1584">
        <v>-122.824656</v>
      </c>
      <c r="K1584" t="s">
        <v>3936</v>
      </c>
      <c r="L1584" t="s">
        <v>3946</v>
      </c>
      <c r="M1584" t="s">
        <v>3948</v>
      </c>
      <c r="P1584" t="s">
        <v>3915</v>
      </c>
    </row>
    <row r="1585" spans="1:16" x14ac:dyDescent="0.2">
      <c r="A1585" t="s">
        <v>1883</v>
      </c>
      <c r="B1585" t="s">
        <v>3916</v>
      </c>
      <c r="C1585" t="s">
        <v>3383</v>
      </c>
      <c r="D1585" t="s">
        <v>2307</v>
      </c>
      <c r="E1585">
        <v>98506</v>
      </c>
      <c r="F1585" t="s">
        <v>1583</v>
      </c>
      <c r="G1585" t="s">
        <v>1980</v>
      </c>
      <c r="H1585" t="s">
        <v>4226</v>
      </c>
      <c r="I1585">
        <v>47.047708</v>
      </c>
      <c r="J1585">
        <v>-122.835459</v>
      </c>
      <c r="K1585" t="s">
        <v>3936</v>
      </c>
      <c r="L1585" t="s">
        <v>3946</v>
      </c>
      <c r="M1585" t="s">
        <v>3948</v>
      </c>
      <c r="P1585" t="s">
        <v>3916</v>
      </c>
    </row>
    <row r="1586" spans="1:16" x14ac:dyDescent="0.2">
      <c r="A1586" t="s">
        <v>1884</v>
      </c>
      <c r="B1586" t="s">
        <v>3917</v>
      </c>
      <c r="C1586" t="s">
        <v>3376</v>
      </c>
      <c r="D1586" t="s">
        <v>2307</v>
      </c>
      <c r="E1586">
        <v>98503</v>
      </c>
      <c r="F1586" t="s">
        <v>1583</v>
      </c>
      <c r="G1586" t="s">
        <v>1980</v>
      </c>
      <c r="H1586" t="s">
        <v>4002</v>
      </c>
      <c r="I1586">
        <v>47.037267999999997</v>
      </c>
      <c r="J1586">
        <v>-122.819374</v>
      </c>
      <c r="K1586" t="s">
        <v>3936</v>
      </c>
      <c r="L1586" t="s">
        <v>3946</v>
      </c>
      <c r="M1586" t="s">
        <v>3948</v>
      </c>
      <c r="P1586" t="s">
        <v>3917</v>
      </c>
    </row>
    <row r="1587" spans="1:16" x14ac:dyDescent="0.2">
      <c r="A1587" t="s">
        <v>1880</v>
      </c>
      <c r="B1587" t="s">
        <v>3918</v>
      </c>
      <c r="C1587" t="s">
        <v>3376</v>
      </c>
      <c r="D1587" t="s">
        <v>2307</v>
      </c>
      <c r="E1587">
        <v>98503</v>
      </c>
      <c r="F1587" t="s">
        <v>1583</v>
      </c>
      <c r="G1587" t="s">
        <v>1980</v>
      </c>
      <c r="H1587" t="s">
        <v>4227</v>
      </c>
      <c r="I1587">
        <v>47.037813999999997</v>
      </c>
      <c r="J1587">
        <v>-122.82526300000001</v>
      </c>
      <c r="K1587" t="s">
        <v>3936</v>
      </c>
      <c r="L1587" t="s">
        <v>3946</v>
      </c>
      <c r="M1587" t="s">
        <v>3948</v>
      </c>
      <c r="P1587" t="s">
        <v>3918</v>
      </c>
    </row>
    <row r="1588" spans="1:16" x14ac:dyDescent="0.2">
      <c r="A1588" t="s">
        <v>1881</v>
      </c>
      <c r="B1588" t="s">
        <v>3919</v>
      </c>
      <c r="C1588" t="s">
        <v>3376</v>
      </c>
      <c r="D1588" t="s">
        <v>2307</v>
      </c>
      <c r="E1588">
        <v>98503</v>
      </c>
      <c r="F1588" t="s">
        <v>1583</v>
      </c>
      <c r="G1588" t="s">
        <v>1980</v>
      </c>
      <c r="H1588" t="s">
        <v>4228</v>
      </c>
      <c r="I1588">
        <v>47.037813999999997</v>
      </c>
      <c r="J1588">
        <v>-122.82526300000001</v>
      </c>
      <c r="K1588" t="s">
        <v>3936</v>
      </c>
      <c r="L1588" t="s">
        <v>3946</v>
      </c>
      <c r="M1588" t="s">
        <v>3948</v>
      </c>
      <c r="P1588" t="s">
        <v>3919</v>
      </c>
    </row>
    <row r="1589" spans="1:16" x14ac:dyDescent="0.2">
      <c r="A1589" t="s">
        <v>1704</v>
      </c>
      <c r="B1589" t="s">
        <v>3920</v>
      </c>
      <c r="C1589" t="s">
        <v>3376</v>
      </c>
      <c r="D1589" t="s">
        <v>2307</v>
      </c>
      <c r="E1589">
        <v>98503</v>
      </c>
      <c r="F1589" t="s">
        <v>1600</v>
      </c>
      <c r="G1589" t="s">
        <v>1998</v>
      </c>
      <c r="H1589" t="s">
        <v>5320</v>
      </c>
      <c r="I1589">
        <v>47.040232000000003</v>
      </c>
      <c r="J1589">
        <v>-122.837659</v>
      </c>
      <c r="K1589" t="s">
        <v>3936</v>
      </c>
      <c r="L1589" t="s">
        <v>3946</v>
      </c>
      <c r="M1589" t="s">
        <v>3948</v>
      </c>
      <c r="P1589" t="s">
        <v>3920</v>
      </c>
    </row>
    <row r="1590" spans="1:16" x14ac:dyDescent="0.2">
      <c r="A1590" t="s">
        <v>1667</v>
      </c>
      <c r="B1590" t="s">
        <v>3921</v>
      </c>
      <c r="C1590" t="s">
        <v>3383</v>
      </c>
      <c r="D1590" t="s">
        <v>2307</v>
      </c>
      <c r="E1590">
        <v>98501</v>
      </c>
      <c r="F1590" t="s">
        <v>1658</v>
      </c>
      <c r="G1590" t="s">
        <v>1994</v>
      </c>
      <c r="H1590" t="s">
        <v>4229</v>
      </c>
      <c r="I1590">
        <v>47.041626000000001</v>
      </c>
      <c r="J1590">
        <v>-122.847724</v>
      </c>
      <c r="K1590" t="s">
        <v>3936</v>
      </c>
      <c r="L1590" t="s">
        <v>3946</v>
      </c>
      <c r="M1590" t="s">
        <v>3948</v>
      </c>
      <c r="P1590" t="s">
        <v>3921</v>
      </c>
    </row>
    <row r="1591" spans="1:16" x14ac:dyDescent="0.2">
      <c r="A1591" t="s">
        <v>1885</v>
      </c>
      <c r="B1591" t="s">
        <v>3922</v>
      </c>
      <c r="C1591" t="s">
        <v>3409</v>
      </c>
      <c r="D1591" t="s">
        <v>2307</v>
      </c>
      <c r="E1591">
        <v>98277</v>
      </c>
      <c r="F1591" t="s">
        <v>1583</v>
      </c>
      <c r="G1591" t="s">
        <v>1980</v>
      </c>
      <c r="H1591" t="s">
        <v>4230</v>
      </c>
      <c r="I1591">
        <v>48.288251000000002</v>
      </c>
      <c r="J1591">
        <v>-122.645752</v>
      </c>
      <c r="K1591" t="s">
        <v>3936</v>
      </c>
      <c r="L1591" t="s">
        <v>3946</v>
      </c>
      <c r="M1591" t="s">
        <v>3948</v>
      </c>
      <c r="P1591" t="s">
        <v>3922</v>
      </c>
    </row>
    <row r="1592" spans="1:16" x14ac:dyDescent="0.2">
      <c r="A1592" t="s">
        <v>1886</v>
      </c>
      <c r="B1592" t="s">
        <v>3923</v>
      </c>
      <c r="C1592" t="s">
        <v>3409</v>
      </c>
      <c r="D1592" t="s">
        <v>2307</v>
      </c>
      <c r="E1592">
        <v>98277</v>
      </c>
      <c r="F1592" t="s">
        <v>1591</v>
      </c>
      <c r="G1592" t="s">
        <v>1969</v>
      </c>
      <c r="H1592" t="s">
        <v>4231</v>
      </c>
      <c r="I1592">
        <v>48.288071000000002</v>
      </c>
      <c r="J1592">
        <v>-122.649151</v>
      </c>
      <c r="K1592" t="s">
        <v>3936</v>
      </c>
      <c r="L1592" t="s">
        <v>3946</v>
      </c>
      <c r="M1592" t="s">
        <v>3948</v>
      </c>
      <c r="P1592" t="s">
        <v>3923</v>
      </c>
    </row>
    <row r="1593" spans="1:16" x14ac:dyDescent="0.2">
      <c r="A1593" t="s">
        <v>1887</v>
      </c>
      <c r="B1593" t="s">
        <v>3924</v>
      </c>
      <c r="C1593" t="s">
        <v>3409</v>
      </c>
      <c r="D1593" t="s">
        <v>2307</v>
      </c>
      <c r="E1593">
        <v>98277</v>
      </c>
      <c r="F1593" t="s">
        <v>1591</v>
      </c>
      <c r="G1593" t="s">
        <v>1993</v>
      </c>
      <c r="H1593" t="s">
        <v>4232</v>
      </c>
      <c r="I1593">
        <v>48.289071</v>
      </c>
      <c r="J1593">
        <v>-122.646191</v>
      </c>
      <c r="K1593" t="s">
        <v>3936</v>
      </c>
      <c r="L1593" t="s">
        <v>3946</v>
      </c>
      <c r="M1593" t="s">
        <v>3948</v>
      </c>
      <c r="P1593" t="s">
        <v>3924</v>
      </c>
    </row>
    <row r="1594" spans="1:16" x14ac:dyDescent="0.2">
      <c r="A1594" t="s">
        <v>1888</v>
      </c>
      <c r="B1594" t="s">
        <v>3925</v>
      </c>
      <c r="C1594" t="s">
        <v>3409</v>
      </c>
      <c r="D1594" t="s">
        <v>2307</v>
      </c>
      <c r="E1594">
        <v>98277</v>
      </c>
      <c r="F1594" t="s">
        <v>1583</v>
      </c>
      <c r="G1594" t="s">
        <v>1980</v>
      </c>
      <c r="H1594" t="s">
        <v>4233</v>
      </c>
      <c r="I1594">
        <v>48.288173999999998</v>
      </c>
      <c r="J1594">
        <v>-122.652186</v>
      </c>
      <c r="K1594" t="s">
        <v>3936</v>
      </c>
      <c r="L1594" t="s">
        <v>3946</v>
      </c>
      <c r="M1594" t="s">
        <v>3948</v>
      </c>
      <c r="P1594" t="s">
        <v>3925</v>
      </c>
    </row>
    <row r="1595" spans="1:16" x14ac:dyDescent="0.2">
      <c r="A1595" t="s">
        <v>1889</v>
      </c>
      <c r="B1595" t="s">
        <v>3926</v>
      </c>
      <c r="C1595" t="s">
        <v>3383</v>
      </c>
      <c r="D1595" t="s">
        <v>2307</v>
      </c>
      <c r="E1595">
        <v>98501</v>
      </c>
      <c r="F1595" t="s">
        <v>1591</v>
      </c>
      <c r="G1595" t="s">
        <v>1969</v>
      </c>
      <c r="H1595" t="s">
        <v>4234</v>
      </c>
      <c r="I1595">
        <v>47.045448</v>
      </c>
      <c r="J1595">
        <v>-122.896557</v>
      </c>
      <c r="K1595" t="s">
        <v>3936</v>
      </c>
      <c r="L1595" t="s">
        <v>3946</v>
      </c>
      <c r="M1595" t="s">
        <v>3948</v>
      </c>
      <c r="P1595" t="s">
        <v>3926</v>
      </c>
    </row>
    <row r="1596" spans="1:16" x14ac:dyDescent="0.2">
      <c r="A1596" t="s">
        <v>1890</v>
      </c>
      <c r="B1596" t="s">
        <v>3927</v>
      </c>
      <c r="C1596" t="s">
        <v>3383</v>
      </c>
      <c r="D1596" t="s">
        <v>2307</v>
      </c>
      <c r="E1596">
        <v>98501</v>
      </c>
      <c r="F1596" t="s">
        <v>1591</v>
      </c>
      <c r="G1596" t="s">
        <v>1969</v>
      </c>
      <c r="H1596" t="s">
        <v>4003</v>
      </c>
      <c r="I1596">
        <v>47.045239000000002</v>
      </c>
      <c r="J1596">
        <v>-122.89890699999999</v>
      </c>
      <c r="K1596" t="s">
        <v>3936</v>
      </c>
      <c r="L1596" t="s">
        <v>3946</v>
      </c>
      <c r="M1596" t="s">
        <v>3948</v>
      </c>
      <c r="P1596" t="s">
        <v>3927</v>
      </c>
    </row>
    <row r="1597" spans="1:16" x14ac:dyDescent="0.2">
      <c r="A1597" t="s">
        <v>1891</v>
      </c>
      <c r="B1597" t="s">
        <v>3928</v>
      </c>
      <c r="C1597" t="s">
        <v>3430</v>
      </c>
      <c r="D1597" t="s">
        <v>2307</v>
      </c>
      <c r="E1597">
        <v>98597</v>
      </c>
      <c r="F1597" t="s">
        <v>1591</v>
      </c>
      <c r="G1597" t="s">
        <v>1969</v>
      </c>
      <c r="H1597" t="s">
        <v>4235</v>
      </c>
      <c r="I1597">
        <v>46.946544000000003</v>
      </c>
      <c r="J1597">
        <v>-122.614648</v>
      </c>
      <c r="K1597" t="s">
        <v>3936</v>
      </c>
      <c r="L1597" t="s">
        <v>3946</v>
      </c>
      <c r="M1597" t="s">
        <v>3948</v>
      </c>
      <c r="P1597" t="s">
        <v>3928</v>
      </c>
    </row>
    <row r="1598" spans="1:16" x14ac:dyDescent="0.2">
      <c r="A1598" t="s">
        <v>1582</v>
      </c>
      <c r="B1598" t="s">
        <v>3929</v>
      </c>
      <c r="C1598" t="s">
        <v>3383</v>
      </c>
      <c r="D1598" t="s">
        <v>2307</v>
      </c>
      <c r="E1598">
        <v>98502</v>
      </c>
      <c r="F1598" t="s">
        <v>1573</v>
      </c>
      <c r="G1598" t="s">
        <v>1990</v>
      </c>
      <c r="H1598" t="s">
        <v>5828</v>
      </c>
      <c r="I1598">
        <v>47.041831999999999</v>
      </c>
      <c r="J1598">
        <v>-122.929489</v>
      </c>
      <c r="K1598" t="s">
        <v>3936</v>
      </c>
      <c r="L1598" t="s">
        <v>3946</v>
      </c>
      <c r="M1598" t="s">
        <v>3948</v>
      </c>
      <c r="P1598" t="s">
        <v>3929</v>
      </c>
    </row>
    <row r="1599" spans="1:16" x14ac:dyDescent="0.2">
      <c r="A1599" t="s">
        <v>1859</v>
      </c>
      <c r="B1599" t="s">
        <v>3930</v>
      </c>
      <c r="C1599" t="s">
        <v>3376</v>
      </c>
      <c r="D1599" t="s">
        <v>2307</v>
      </c>
      <c r="E1599">
        <v>98503</v>
      </c>
      <c r="F1599" t="s">
        <v>1583</v>
      </c>
      <c r="G1599" t="s">
        <v>1980</v>
      </c>
      <c r="H1599" t="s">
        <v>4236</v>
      </c>
      <c r="I1599">
        <v>46.998714</v>
      </c>
      <c r="J1599">
        <v>-122.824049</v>
      </c>
      <c r="K1599" t="s">
        <v>3936</v>
      </c>
      <c r="L1599" t="s">
        <v>3946</v>
      </c>
      <c r="M1599" t="s">
        <v>3948</v>
      </c>
      <c r="P1599" t="s">
        <v>3930</v>
      </c>
    </row>
    <row r="1600" spans="1:16" x14ac:dyDescent="0.2">
      <c r="A1600" t="s">
        <v>5148</v>
      </c>
      <c r="B1600" t="s">
        <v>5149</v>
      </c>
      <c r="C1600" t="s">
        <v>3430</v>
      </c>
      <c r="D1600" t="s">
        <v>2307</v>
      </c>
      <c r="E1600">
        <v>98597</v>
      </c>
      <c r="F1600" t="s">
        <v>1591</v>
      </c>
      <c r="G1600" t="s">
        <v>1969</v>
      </c>
      <c r="H1600" t="s">
        <v>5150</v>
      </c>
      <c r="I1600">
        <v>46.941744</v>
      </c>
      <c r="J1600">
        <v>-122.60648399999999</v>
      </c>
      <c r="K1600" t="s">
        <v>3936</v>
      </c>
      <c r="L1600" t="s">
        <v>3946</v>
      </c>
      <c r="M1600" t="s">
        <v>3948</v>
      </c>
      <c r="P1600" t="s">
        <v>5149</v>
      </c>
    </row>
    <row r="1601" spans="1:16" x14ac:dyDescent="0.2">
      <c r="A1601" t="s">
        <v>1892</v>
      </c>
      <c r="B1601" t="s">
        <v>3931</v>
      </c>
      <c r="C1601" t="s">
        <v>3430</v>
      </c>
      <c r="D1601" t="s">
        <v>2307</v>
      </c>
      <c r="E1601">
        <v>98597</v>
      </c>
      <c r="F1601" t="s">
        <v>1591</v>
      </c>
      <c r="G1601" t="s">
        <v>1969</v>
      </c>
      <c r="H1601" t="s">
        <v>4237</v>
      </c>
      <c r="I1601">
        <v>46.940365999999997</v>
      </c>
      <c r="J1601">
        <v>-122.603956</v>
      </c>
      <c r="K1601" t="s">
        <v>3936</v>
      </c>
      <c r="L1601" t="s">
        <v>3946</v>
      </c>
      <c r="M1601" t="s">
        <v>3948</v>
      </c>
      <c r="P1601" t="s">
        <v>3931</v>
      </c>
    </row>
    <row r="1602" spans="1:16" x14ac:dyDescent="0.2">
      <c r="A1602" t="s">
        <v>1880</v>
      </c>
      <c r="B1602" t="s">
        <v>3932</v>
      </c>
      <c r="C1602" t="s">
        <v>3376</v>
      </c>
      <c r="D1602" t="s">
        <v>2307</v>
      </c>
      <c r="E1602">
        <v>98503</v>
      </c>
      <c r="F1602" t="s">
        <v>1583</v>
      </c>
      <c r="G1602" t="s">
        <v>1980</v>
      </c>
      <c r="H1602" t="s">
        <v>4238</v>
      </c>
      <c r="I1602">
        <v>46.996257999999997</v>
      </c>
      <c r="J1602">
        <v>-122.821916</v>
      </c>
      <c r="K1602" t="s">
        <v>3936</v>
      </c>
      <c r="L1602" t="s">
        <v>3946</v>
      </c>
      <c r="M1602" t="s">
        <v>3948</v>
      </c>
      <c r="P1602" t="s">
        <v>3932</v>
      </c>
    </row>
    <row r="1603" spans="1:16" x14ac:dyDescent="0.2">
      <c r="A1603" t="s">
        <v>1881</v>
      </c>
      <c r="B1603" t="s">
        <v>3933</v>
      </c>
      <c r="C1603" t="s">
        <v>3376</v>
      </c>
      <c r="D1603" t="s">
        <v>2307</v>
      </c>
      <c r="E1603">
        <v>98501</v>
      </c>
      <c r="F1603" t="s">
        <v>1583</v>
      </c>
      <c r="G1603" t="s">
        <v>1980</v>
      </c>
      <c r="H1603" t="s">
        <v>4239</v>
      </c>
      <c r="I1603">
        <v>46.996257999999997</v>
      </c>
      <c r="J1603">
        <v>-122.821916</v>
      </c>
      <c r="K1603" t="s">
        <v>3936</v>
      </c>
      <c r="L1603" t="s">
        <v>3946</v>
      </c>
      <c r="M1603" t="s">
        <v>3948</v>
      </c>
      <c r="P1603" t="s">
        <v>3933</v>
      </c>
    </row>
    <row r="1604" spans="1:16" x14ac:dyDescent="0.2">
      <c r="A1604" t="s">
        <v>1893</v>
      </c>
      <c r="B1604" t="s">
        <v>3934</v>
      </c>
      <c r="C1604" t="s">
        <v>3376</v>
      </c>
      <c r="D1604" t="s">
        <v>2307</v>
      </c>
      <c r="E1604">
        <v>98513</v>
      </c>
      <c r="F1604" t="s">
        <v>1591</v>
      </c>
      <c r="G1604" t="s">
        <v>1969</v>
      </c>
      <c r="H1604" t="s">
        <v>4240</v>
      </c>
      <c r="I1604">
        <v>46.995246999999999</v>
      </c>
      <c r="J1604">
        <v>-122.827173</v>
      </c>
      <c r="K1604" t="s">
        <v>3936</v>
      </c>
      <c r="L1604" t="s">
        <v>3946</v>
      </c>
      <c r="M1604" t="s">
        <v>3948</v>
      </c>
      <c r="P1604" t="s">
        <v>5755</v>
      </c>
    </row>
    <row r="1605" spans="1:16" x14ac:dyDescent="0.2">
      <c r="A1605" t="s">
        <v>1883</v>
      </c>
      <c r="B1605" t="s">
        <v>5229</v>
      </c>
      <c r="C1605" t="s">
        <v>3383</v>
      </c>
      <c r="D1605" t="s">
        <v>2307</v>
      </c>
      <c r="E1605">
        <v>98502</v>
      </c>
      <c r="F1605" t="s">
        <v>1583</v>
      </c>
      <c r="G1605" t="s">
        <v>1980</v>
      </c>
      <c r="H1605" t="s">
        <v>5230</v>
      </c>
      <c r="I1605">
        <v>47.055886999999998</v>
      </c>
      <c r="J1605">
        <v>-122.94098200000001</v>
      </c>
      <c r="K1605" t="s">
        <v>3936</v>
      </c>
      <c r="L1605" t="s">
        <v>3946</v>
      </c>
      <c r="M1605" t="s">
        <v>3948</v>
      </c>
      <c r="P1605" t="s">
        <v>5229</v>
      </c>
    </row>
    <row r="1606" spans="1:16" x14ac:dyDescent="0.2">
      <c r="A1606" t="s">
        <v>2007</v>
      </c>
      <c r="B1606" t="s">
        <v>2308</v>
      </c>
      <c r="C1606" t="s">
        <v>66</v>
      </c>
      <c r="D1606" t="s">
        <v>2307</v>
      </c>
      <c r="E1606">
        <v>98109</v>
      </c>
      <c r="F1606" t="s">
        <v>1658</v>
      </c>
      <c r="G1606" t="s">
        <v>2110</v>
      </c>
      <c r="H1606" t="s">
        <v>5829</v>
      </c>
      <c r="I1606">
        <v>47.625607000000002</v>
      </c>
      <c r="J1606">
        <v>-122.346144</v>
      </c>
      <c r="K1606" t="s">
        <v>3936</v>
      </c>
      <c r="L1606" t="s">
        <v>3946</v>
      </c>
      <c r="M1606" t="s">
        <v>5575</v>
      </c>
      <c r="P1606" t="s">
        <v>2308</v>
      </c>
    </row>
    <row r="1607" spans="1:16" x14ac:dyDescent="0.2">
      <c r="A1607" t="s">
        <v>2009</v>
      </c>
      <c r="B1607" t="s">
        <v>2309</v>
      </c>
      <c r="C1607" t="s">
        <v>66</v>
      </c>
      <c r="D1607" t="s">
        <v>2307</v>
      </c>
      <c r="E1607">
        <v>98109</v>
      </c>
      <c r="F1607" t="s">
        <v>1600</v>
      </c>
      <c r="G1607" t="s">
        <v>2005</v>
      </c>
      <c r="H1607" t="s">
        <v>4241</v>
      </c>
      <c r="I1607">
        <v>47.622421000000003</v>
      </c>
      <c r="J1607">
        <v>-122.338266</v>
      </c>
      <c r="K1607" t="s">
        <v>3936</v>
      </c>
      <c r="L1607" t="s">
        <v>3946</v>
      </c>
      <c r="M1607" t="s">
        <v>5575</v>
      </c>
      <c r="P1607" t="s">
        <v>2309</v>
      </c>
    </row>
    <row r="1608" spans="1:16" x14ac:dyDescent="0.2">
      <c r="A1608" t="s">
        <v>2010</v>
      </c>
      <c r="B1608" t="s">
        <v>2311</v>
      </c>
      <c r="C1608" t="s">
        <v>66</v>
      </c>
      <c r="D1608" t="s">
        <v>2307</v>
      </c>
      <c r="E1608">
        <v>98109</v>
      </c>
      <c r="F1608" t="s">
        <v>1716</v>
      </c>
      <c r="G1608" t="s">
        <v>2000</v>
      </c>
      <c r="H1608" t="s">
        <v>4243</v>
      </c>
      <c r="I1608">
        <v>47.621972999999997</v>
      </c>
      <c r="J1608">
        <v>-122.348398</v>
      </c>
      <c r="K1608" t="s">
        <v>3936</v>
      </c>
      <c r="L1608" t="s">
        <v>3946</v>
      </c>
      <c r="M1608" t="s">
        <v>5575</v>
      </c>
      <c r="P1608" t="s">
        <v>2311</v>
      </c>
    </row>
    <row r="1609" spans="1:16" x14ac:dyDescent="0.2">
      <c r="A1609" t="s">
        <v>2011</v>
      </c>
      <c r="B1609" t="s">
        <v>2311</v>
      </c>
      <c r="C1609" t="s">
        <v>66</v>
      </c>
      <c r="D1609" t="s">
        <v>2307</v>
      </c>
      <c r="E1609">
        <v>98109</v>
      </c>
      <c r="F1609" t="s">
        <v>1573</v>
      </c>
      <c r="G1609" t="s">
        <v>1986</v>
      </c>
      <c r="H1609" t="s">
        <v>4244</v>
      </c>
      <c r="I1609">
        <v>47.621972999999997</v>
      </c>
      <c r="J1609">
        <v>-122.348398</v>
      </c>
      <c r="K1609" t="s">
        <v>3936</v>
      </c>
      <c r="L1609" t="s">
        <v>3946</v>
      </c>
      <c r="M1609" t="s">
        <v>5575</v>
      </c>
      <c r="P1609" t="s">
        <v>2311</v>
      </c>
    </row>
    <row r="1610" spans="1:16" x14ac:dyDescent="0.2">
      <c r="A1610" t="s">
        <v>6252</v>
      </c>
      <c r="B1610" t="s">
        <v>2310</v>
      </c>
      <c r="C1610" t="s">
        <v>66</v>
      </c>
      <c r="D1610" t="s">
        <v>2307</v>
      </c>
      <c r="E1610">
        <v>98109</v>
      </c>
      <c r="F1610" t="s">
        <v>1585</v>
      </c>
      <c r="G1610" t="s">
        <v>1988</v>
      </c>
      <c r="H1610" t="s">
        <v>4242</v>
      </c>
      <c r="I1610">
        <v>47.621972999999997</v>
      </c>
      <c r="J1610">
        <v>-122.348398</v>
      </c>
      <c r="K1610" t="s">
        <v>3936</v>
      </c>
      <c r="L1610" t="s">
        <v>3946</v>
      </c>
      <c r="M1610" t="s">
        <v>5575</v>
      </c>
      <c r="P1610" t="s">
        <v>2310</v>
      </c>
    </row>
    <row r="1611" spans="1:16" x14ac:dyDescent="0.2">
      <c r="A1611" t="s">
        <v>2011</v>
      </c>
      <c r="B1611" t="s">
        <v>2312</v>
      </c>
      <c r="C1611" t="s">
        <v>66</v>
      </c>
      <c r="D1611" t="s">
        <v>2307</v>
      </c>
      <c r="E1611">
        <v>98121</v>
      </c>
      <c r="F1611" t="s">
        <v>1573</v>
      </c>
      <c r="G1611" t="s">
        <v>1986</v>
      </c>
      <c r="H1611" t="s">
        <v>4245</v>
      </c>
      <c r="I1611">
        <v>47.617958999999999</v>
      </c>
      <c r="J1611">
        <v>-122.33420099999999</v>
      </c>
      <c r="K1611" t="s">
        <v>3936</v>
      </c>
      <c r="L1611" t="s">
        <v>3946</v>
      </c>
      <c r="M1611" t="s">
        <v>5575</v>
      </c>
      <c r="P1611" t="s">
        <v>2312</v>
      </c>
    </row>
    <row r="1612" spans="1:16" x14ac:dyDescent="0.2">
      <c r="A1612" t="s">
        <v>2012</v>
      </c>
      <c r="B1612" t="s">
        <v>2313</v>
      </c>
      <c r="C1612" t="s">
        <v>66</v>
      </c>
      <c r="D1612" t="s">
        <v>2307</v>
      </c>
      <c r="E1612">
        <v>98109</v>
      </c>
      <c r="F1612" t="s">
        <v>1600</v>
      </c>
      <c r="G1612" t="s">
        <v>2005</v>
      </c>
      <c r="H1612" t="s">
        <v>4246</v>
      </c>
      <c r="I1612">
        <v>47.624622000000002</v>
      </c>
      <c r="J1612">
        <v>-122.356667</v>
      </c>
      <c r="K1612" t="s">
        <v>3936</v>
      </c>
      <c r="L1612" t="s">
        <v>3946</v>
      </c>
      <c r="M1612" t="s">
        <v>5575</v>
      </c>
      <c r="P1612" t="s">
        <v>2313</v>
      </c>
    </row>
    <row r="1613" spans="1:16" x14ac:dyDescent="0.2">
      <c r="A1613" t="s">
        <v>2011</v>
      </c>
      <c r="B1613" t="s">
        <v>2314</v>
      </c>
      <c r="C1613" t="s">
        <v>66</v>
      </c>
      <c r="D1613" t="s">
        <v>2307</v>
      </c>
      <c r="E1613">
        <v>98119</v>
      </c>
      <c r="F1613" t="s">
        <v>1573</v>
      </c>
      <c r="G1613" t="s">
        <v>1986</v>
      </c>
      <c r="H1613" t="s">
        <v>4247</v>
      </c>
      <c r="I1613">
        <v>47.624445000000001</v>
      </c>
      <c r="J1613">
        <v>-122.357112</v>
      </c>
      <c r="K1613" t="s">
        <v>3936</v>
      </c>
      <c r="L1613" t="s">
        <v>3946</v>
      </c>
      <c r="M1613" t="s">
        <v>5575</v>
      </c>
      <c r="P1613" t="s">
        <v>2314</v>
      </c>
    </row>
    <row r="1614" spans="1:16" x14ac:dyDescent="0.2">
      <c r="A1614" t="s">
        <v>2011</v>
      </c>
      <c r="B1614" t="s">
        <v>6283</v>
      </c>
      <c r="C1614" t="s">
        <v>66</v>
      </c>
      <c r="D1614" t="s">
        <v>2307</v>
      </c>
      <c r="E1614">
        <v>98109</v>
      </c>
      <c r="F1614" t="s">
        <v>1573</v>
      </c>
      <c r="G1614" t="s">
        <v>1986</v>
      </c>
      <c r="H1614" t="s">
        <v>4248</v>
      </c>
      <c r="I1614">
        <v>47.618684000000002</v>
      </c>
      <c r="J1614">
        <v>-122.34880699999999</v>
      </c>
      <c r="K1614" t="s">
        <v>3936</v>
      </c>
      <c r="L1614" t="s">
        <v>3946</v>
      </c>
      <c r="M1614" t="s">
        <v>5575</v>
      </c>
      <c r="P1614" t="s">
        <v>6084</v>
      </c>
    </row>
    <row r="1615" spans="1:16" x14ac:dyDescent="0.2">
      <c r="A1615" t="s">
        <v>2013</v>
      </c>
      <c r="B1615" t="s">
        <v>2315</v>
      </c>
      <c r="C1615" t="s">
        <v>66</v>
      </c>
      <c r="D1615" t="s">
        <v>2307</v>
      </c>
      <c r="E1615">
        <v>98109</v>
      </c>
      <c r="F1615" t="s">
        <v>1716</v>
      </c>
      <c r="G1615" t="s">
        <v>2000</v>
      </c>
      <c r="H1615" t="s">
        <v>4249</v>
      </c>
      <c r="I1615">
        <v>47.623677000000001</v>
      </c>
      <c r="J1615">
        <v>-122.35692299999999</v>
      </c>
      <c r="K1615" t="s">
        <v>3936</v>
      </c>
      <c r="L1615" t="s">
        <v>3946</v>
      </c>
      <c r="M1615" t="s">
        <v>5575</v>
      </c>
      <c r="P1615" t="s">
        <v>2315</v>
      </c>
    </row>
    <row r="1616" spans="1:16" x14ac:dyDescent="0.2">
      <c r="A1616" t="s">
        <v>2011</v>
      </c>
      <c r="B1616" t="s">
        <v>2316</v>
      </c>
      <c r="C1616" t="s">
        <v>66</v>
      </c>
      <c r="D1616" t="s">
        <v>2307</v>
      </c>
      <c r="E1616">
        <v>98102</v>
      </c>
      <c r="F1616" t="s">
        <v>1573</v>
      </c>
      <c r="G1616" t="s">
        <v>1986</v>
      </c>
      <c r="H1616" t="s">
        <v>4250</v>
      </c>
      <c r="I1616">
        <v>47.638880999999998</v>
      </c>
      <c r="J1616">
        <v>-122.325712</v>
      </c>
      <c r="K1616" t="s">
        <v>3936</v>
      </c>
      <c r="L1616" t="s">
        <v>3946</v>
      </c>
      <c r="M1616" t="s">
        <v>5575</v>
      </c>
      <c r="P1616" t="s">
        <v>2316</v>
      </c>
    </row>
    <row r="1617" spans="1:16" x14ac:dyDescent="0.2">
      <c r="A1617" t="s">
        <v>2011</v>
      </c>
      <c r="B1617" t="s">
        <v>2317</v>
      </c>
      <c r="C1617" t="s">
        <v>66</v>
      </c>
      <c r="D1617" t="s">
        <v>2307</v>
      </c>
      <c r="E1617">
        <v>98101</v>
      </c>
      <c r="F1617" t="s">
        <v>1573</v>
      </c>
      <c r="G1617" t="s">
        <v>1986</v>
      </c>
      <c r="H1617" t="s">
        <v>4251</v>
      </c>
      <c r="I1617">
        <v>47.617100000000001</v>
      </c>
      <c r="J1617">
        <v>-122.33050900000001</v>
      </c>
      <c r="K1617" t="s">
        <v>3936</v>
      </c>
      <c r="L1617" t="s">
        <v>3946</v>
      </c>
      <c r="M1617" t="s">
        <v>5575</v>
      </c>
      <c r="P1617" t="s">
        <v>2317</v>
      </c>
    </row>
    <row r="1618" spans="1:16" x14ac:dyDescent="0.2">
      <c r="A1618" t="s">
        <v>2012</v>
      </c>
      <c r="B1618" t="s">
        <v>2318</v>
      </c>
      <c r="C1618" t="s">
        <v>66</v>
      </c>
      <c r="D1618" t="s">
        <v>2307</v>
      </c>
      <c r="E1618">
        <v>98109</v>
      </c>
      <c r="F1618" t="s">
        <v>1600</v>
      </c>
      <c r="G1618" t="s">
        <v>2005</v>
      </c>
      <c r="H1618" t="s">
        <v>4252</v>
      </c>
      <c r="I1618">
        <v>47.638542000000001</v>
      </c>
      <c r="J1618">
        <v>-122.35712700000001</v>
      </c>
      <c r="K1618" t="s">
        <v>3936</v>
      </c>
      <c r="L1618" t="s">
        <v>3946</v>
      </c>
      <c r="M1618" t="s">
        <v>5575</v>
      </c>
      <c r="P1618" t="s">
        <v>2318</v>
      </c>
    </row>
    <row r="1619" spans="1:16" x14ac:dyDescent="0.2">
      <c r="A1619" t="s">
        <v>3952</v>
      </c>
      <c r="B1619" t="s">
        <v>2319</v>
      </c>
      <c r="C1619" t="s">
        <v>66</v>
      </c>
      <c r="D1619" t="s">
        <v>2307</v>
      </c>
      <c r="E1619">
        <v>98109</v>
      </c>
      <c r="F1619" t="s">
        <v>1573</v>
      </c>
      <c r="G1619" t="s">
        <v>2014</v>
      </c>
      <c r="H1619" t="s">
        <v>4253</v>
      </c>
      <c r="I1619">
        <v>47.638795000000002</v>
      </c>
      <c r="J1619">
        <v>-122.357125</v>
      </c>
      <c r="K1619" t="s">
        <v>3936</v>
      </c>
      <c r="L1619" t="s">
        <v>3946</v>
      </c>
      <c r="M1619" t="s">
        <v>5575</v>
      </c>
      <c r="P1619" t="s">
        <v>2319</v>
      </c>
    </row>
    <row r="1620" spans="1:16" x14ac:dyDescent="0.2">
      <c r="A1620" t="s">
        <v>2015</v>
      </c>
      <c r="B1620" t="s">
        <v>2320</v>
      </c>
      <c r="C1620" t="s">
        <v>66</v>
      </c>
      <c r="D1620" t="s">
        <v>2307</v>
      </c>
      <c r="E1620">
        <v>98102</v>
      </c>
      <c r="F1620" t="s">
        <v>1573</v>
      </c>
      <c r="G1620" t="s">
        <v>2016</v>
      </c>
      <c r="H1620" t="s">
        <v>5240</v>
      </c>
      <c r="I1620">
        <v>47.622362000000003</v>
      </c>
      <c r="J1620">
        <v>-122.32072599999999</v>
      </c>
      <c r="K1620" t="s">
        <v>3936</v>
      </c>
      <c r="L1620" t="s">
        <v>3946</v>
      </c>
      <c r="M1620" t="s">
        <v>5575</v>
      </c>
      <c r="P1620" t="s">
        <v>2320</v>
      </c>
    </row>
    <row r="1621" spans="1:16" x14ac:dyDescent="0.2">
      <c r="A1621" t="s">
        <v>2017</v>
      </c>
      <c r="B1621" t="s">
        <v>2321</v>
      </c>
      <c r="C1621" t="s">
        <v>66</v>
      </c>
      <c r="D1621" t="s">
        <v>2307</v>
      </c>
      <c r="E1621">
        <v>98102</v>
      </c>
      <c r="F1621" t="s">
        <v>1716</v>
      </c>
      <c r="G1621" t="s">
        <v>2005</v>
      </c>
      <c r="H1621" t="s">
        <v>4254</v>
      </c>
      <c r="I1621">
        <v>47.622100000000003</v>
      </c>
      <c r="J1621">
        <v>-122.321061</v>
      </c>
      <c r="K1621" t="s">
        <v>3936</v>
      </c>
      <c r="L1621" t="s">
        <v>3946</v>
      </c>
      <c r="M1621" t="s">
        <v>5575</v>
      </c>
      <c r="P1621" t="s">
        <v>2321</v>
      </c>
    </row>
    <row r="1622" spans="1:16" x14ac:dyDescent="0.2">
      <c r="A1622" t="s">
        <v>2018</v>
      </c>
      <c r="B1622" t="s">
        <v>2322</v>
      </c>
      <c r="C1622" t="s">
        <v>66</v>
      </c>
      <c r="D1622" t="s">
        <v>2307</v>
      </c>
      <c r="E1622">
        <v>98119</v>
      </c>
      <c r="F1622" t="s">
        <v>2019</v>
      </c>
      <c r="G1622" t="s">
        <v>1991</v>
      </c>
      <c r="H1622" t="s">
        <v>4964</v>
      </c>
      <c r="I1622">
        <v>47.622255000000003</v>
      </c>
      <c r="J1622">
        <v>-122.358715</v>
      </c>
      <c r="K1622" t="s">
        <v>3936</v>
      </c>
      <c r="L1622" t="s">
        <v>3946</v>
      </c>
      <c r="M1622" t="s">
        <v>5575</v>
      </c>
      <c r="P1622" t="s">
        <v>2322</v>
      </c>
    </row>
    <row r="1623" spans="1:16" x14ac:dyDescent="0.2">
      <c r="A1623" t="s">
        <v>2011</v>
      </c>
      <c r="B1623" t="s">
        <v>2323</v>
      </c>
      <c r="C1623" t="s">
        <v>66</v>
      </c>
      <c r="D1623" t="s">
        <v>2307</v>
      </c>
      <c r="E1623">
        <v>98121</v>
      </c>
      <c r="F1623" t="s">
        <v>1573</v>
      </c>
      <c r="G1623" t="s">
        <v>1986</v>
      </c>
      <c r="H1623" t="s">
        <v>4255</v>
      </c>
      <c r="I1623">
        <v>47.618468999999997</v>
      </c>
      <c r="J1623">
        <v>-122.355603</v>
      </c>
      <c r="K1623" t="s">
        <v>3936</v>
      </c>
      <c r="L1623" t="s">
        <v>3946</v>
      </c>
      <c r="M1623" t="s">
        <v>5575</v>
      </c>
      <c r="P1623" t="s">
        <v>2323</v>
      </c>
    </row>
    <row r="1624" spans="1:16" x14ac:dyDescent="0.2">
      <c r="A1624" t="s">
        <v>2011</v>
      </c>
      <c r="B1624" t="s">
        <v>2324</v>
      </c>
      <c r="C1624" t="s">
        <v>66</v>
      </c>
      <c r="D1624" t="s">
        <v>2307</v>
      </c>
      <c r="E1624">
        <v>98121</v>
      </c>
      <c r="F1624" t="s">
        <v>1573</v>
      </c>
      <c r="G1624" t="s">
        <v>1986</v>
      </c>
      <c r="H1624" t="s">
        <v>4256</v>
      </c>
      <c r="I1624">
        <v>47.614863</v>
      </c>
      <c r="J1624">
        <v>-122.347357</v>
      </c>
      <c r="K1624" t="s">
        <v>3936</v>
      </c>
      <c r="L1624" t="s">
        <v>3946</v>
      </c>
      <c r="M1624" t="s">
        <v>5575</v>
      </c>
      <c r="P1624" t="s">
        <v>2324</v>
      </c>
    </row>
    <row r="1625" spans="1:16" x14ac:dyDescent="0.2">
      <c r="A1625" t="s">
        <v>2011</v>
      </c>
      <c r="B1625" t="s">
        <v>6284</v>
      </c>
      <c r="C1625" t="s">
        <v>66</v>
      </c>
      <c r="D1625" t="s">
        <v>2307</v>
      </c>
      <c r="E1625">
        <v>98102</v>
      </c>
      <c r="F1625" t="s">
        <v>1573</v>
      </c>
      <c r="G1625" t="s">
        <v>1986</v>
      </c>
      <c r="H1625" t="s">
        <v>4257</v>
      </c>
      <c r="I1625">
        <v>47.620083000000001</v>
      </c>
      <c r="J1625">
        <v>-122.320764</v>
      </c>
      <c r="K1625" t="s">
        <v>3936</v>
      </c>
      <c r="L1625" t="s">
        <v>3946</v>
      </c>
      <c r="M1625" t="s">
        <v>5575</v>
      </c>
      <c r="P1625" t="s">
        <v>6085</v>
      </c>
    </row>
    <row r="1626" spans="1:16" x14ac:dyDescent="0.2">
      <c r="A1626" t="s">
        <v>2011</v>
      </c>
      <c r="B1626" t="s">
        <v>2325</v>
      </c>
      <c r="C1626" t="s">
        <v>66</v>
      </c>
      <c r="D1626" t="s">
        <v>2307</v>
      </c>
      <c r="E1626">
        <v>98101</v>
      </c>
      <c r="F1626" t="s">
        <v>1573</v>
      </c>
      <c r="G1626" t="s">
        <v>1986</v>
      </c>
      <c r="H1626" t="s">
        <v>4258</v>
      </c>
      <c r="I1626">
        <v>47.614229999999999</v>
      </c>
      <c r="J1626">
        <v>-122.334024</v>
      </c>
      <c r="K1626" t="s">
        <v>3936</v>
      </c>
      <c r="L1626" t="s">
        <v>3946</v>
      </c>
      <c r="M1626" t="s">
        <v>5575</v>
      </c>
      <c r="P1626" t="s">
        <v>2325</v>
      </c>
    </row>
    <row r="1627" spans="1:16" x14ac:dyDescent="0.2">
      <c r="A1627" t="s">
        <v>2011</v>
      </c>
      <c r="B1627" t="s">
        <v>2326</v>
      </c>
      <c r="C1627" t="s">
        <v>66</v>
      </c>
      <c r="D1627" t="s">
        <v>2307</v>
      </c>
      <c r="E1627">
        <v>98121</v>
      </c>
      <c r="F1627" t="s">
        <v>1573</v>
      </c>
      <c r="G1627" t="s">
        <v>1986</v>
      </c>
      <c r="H1627" t="s">
        <v>4259</v>
      </c>
      <c r="I1627">
        <v>47.615958999999997</v>
      </c>
      <c r="J1627">
        <v>-122.352552</v>
      </c>
      <c r="K1627" t="s">
        <v>3936</v>
      </c>
      <c r="L1627" t="s">
        <v>3946</v>
      </c>
      <c r="M1627" t="s">
        <v>5575</v>
      </c>
      <c r="P1627" t="s">
        <v>2326</v>
      </c>
    </row>
    <row r="1628" spans="1:16" x14ac:dyDescent="0.2">
      <c r="A1628" t="s">
        <v>2011</v>
      </c>
      <c r="B1628" t="s">
        <v>2327</v>
      </c>
      <c r="C1628" t="s">
        <v>66</v>
      </c>
      <c r="D1628" t="s">
        <v>2307</v>
      </c>
      <c r="E1628">
        <v>98121</v>
      </c>
      <c r="F1628" t="s">
        <v>1573</v>
      </c>
      <c r="G1628" t="s">
        <v>1986</v>
      </c>
      <c r="H1628" t="s">
        <v>4260</v>
      </c>
      <c r="I1628">
        <v>47.613194</v>
      </c>
      <c r="J1628">
        <v>-122.34197500000001</v>
      </c>
      <c r="K1628" t="s">
        <v>3936</v>
      </c>
      <c r="L1628" t="s">
        <v>3946</v>
      </c>
      <c r="M1628" t="s">
        <v>5575</v>
      </c>
      <c r="P1628" t="s">
        <v>2327</v>
      </c>
    </row>
    <row r="1629" spans="1:16" x14ac:dyDescent="0.2">
      <c r="A1629" t="s">
        <v>2012</v>
      </c>
      <c r="B1629" t="s">
        <v>2329</v>
      </c>
      <c r="C1629" t="s">
        <v>66</v>
      </c>
      <c r="D1629" t="s">
        <v>2307</v>
      </c>
      <c r="E1629">
        <v>98101</v>
      </c>
      <c r="F1629" t="s">
        <v>1600</v>
      </c>
      <c r="G1629" t="s">
        <v>2005</v>
      </c>
      <c r="H1629" t="s">
        <v>4262</v>
      </c>
      <c r="I1629">
        <v>47.613055000000003</v>
      </c>
      <c r="J1629">
        <v>-122.33295</v>
      </c>
      <c r="K1629" t="s">
        <v>3936</v>
      </c>
      <c r="L1629" t="s">
        <v>3946</v>
      </c>
      <c r="M1629" t="s">
        <v>5575</v>
      </c>
      <c r="P1629" t="s">
        <v>2329</v>
      </c>
    </row>
    <row r="1630" spans="1:16" x14ac:dyDescent="0.2">
      <c r="A1630" t="s">
        <v>2021</v>
      </c>
      <c r="B1630" t="s">
        <v>2330</v>
      </c>
      <c r="C1630" t="s">
        <v>66</v>
      </c>
      <c r="D1630" t="s">
        <v>2307</v>
      </c>
      <c r="E1630">
        <v>98101</v>
      </c>
      <c r="F1630" t="s">
        <v>1591</v>
      </c>
      <c r="G1630" t="s">
        <v>1969</v>
      </c>
      <c r="H1630" t="s">
        <v>5353</v>
      </c>
      <c r="I1630">
        <v>47.612130999999998</v>
      </c>
      <c r="J1630">
        <v>-122.335374</v>
      </c>
      <c r="K1630" t="s">
        <v>3936</v>
      </c>
      <c r="L1630" t="s">
        <v>3946</v>
      </c>
      <c r="M1630" t="s">
        <v>5575</v>
      </c>
      <c r="P1630" t="s">
        <v>2330</v>
      </c>
    </row>
    <row r="1631" spans="1:16" x14ac:dyDescent="0.2">
      <c r="A1631" t="s">
        <v>2018</v>
      </c>
      <c r="B1631" t="s">
        <v>2331</v>
      </c>
      <c r="C1631" t="s">
        <v>66</v>
      </c>
      <c r="D1631" t="s">
        <v>2307</v>
      </c>
      <c r="E1631">
        <v>98101</v>
      </c>
      <c r="F1631" t="s">
        <v>1600</v>
      </c>
      <c r="G1631" t="s">
        <v>2027</v>
      </c>
      <c r="H1631" t="s">
        <v>5154</v>
      </c>
      <c r="I1631">
        <v>47.611674999999998</v>
      </c>
      <c r="J1631">
        <v>-122.33660999999999</v>
      </c>
      <c r="K1631" t="s">
        <v>3936</v>
      </c>
      <c r="L1631" t="s">
        <v>3946</v>
      </c>
      <c r="M1631" t="s">
        <v>5575</v>
      </c>
      <c r="P1631" t="s">
        <v>2331</v>
      </c>
    </row>
    <row r="1632" spans="1:16" x14ac:dyDescent="0.2">
      <c r="A1632" t="s">
        <v>2011</v>
      </c>
      <c r="B1632" t="s">
        <v>6285</v>
      </c>
      <c r="C1632" t="s">
        <v>66</v>
      </c>
      <c r="D1632" t="s">
        <v>2307</v>
      </c>
      <c r="E1632">
        <v>98104</v>
      </c>
      <c r="F1632" t="s">
        <v>1573</v>
      </c>
      <c r="G1632" t="s">
        <v>1986</v>
      </c>
      <c r="H1632" t="s">
        <v>4263</v>
      </c>
      <c r="I1632">
        <v>47.611314</v>
      </c>
      <c r="J1632">
        <v>-122.33763399999999</v>
      </c>
      <c r="K1632" t="s">
        <v>3936</v>
      </c>
      <c r="L1632" t="s">
        <v>3946</v>
      </c>
      <c r="M1632" t="s">
        <v>5575</v>
      </c>
      <c r="P1632" t="s">
        <v>6086</v>
      </c>
    </row>
    <row r="1633" spans="1:16" x14ac:dyDescent="0.2">
      <c r="A1633" t="s">
        <v>2025</v>
      </c>
      <c r="B1633" t="s">
        <v>2334</v>
      </c>
      <c r="C1633" t="s">
        <v>66</v>
      </c>
      <c r="D1633" t="s">
        <v>2307</v>
      </c>
      <c r="E1633">
        <v>98101</v>
      </c>
      <c r="F1633" t="s">
        <v>1573</v>
      </c>
      <c r="G1633" t="s">
        <v>2026</v>
      </c>
      <c r="H1633" t="s">
        <v>4264</v>
      </c>
      <c r="I1633">
        <v>47.611232999999999</v>
      </c>
      <c r="J1633">
        <v>-122.33763</v>
      </c>
      <c r="K1633" t="s">
        <v>3936</v>
      </c>
      <c r="L1633" t="s">
        <v>3946</v>
      </c>
      <c r="M1633" t="s">
        <v>5575</v>
      </c>
      <c r="P1633" t="s">
        <v>5761</v>
      </c>
    </row>
    <row r="1634" spans="1:16" x14ac:dyDescent="0.2">
      <c r="A1634" t="s">
        <v>2015</v>
      </c>
      <c r="B1634" t="s">
        <v>2333</v>
      </c>
      <c r="C1634" t="s">
        <v>66</v>
      </c>
      <c r="D1634" t="s">
        <v>2307</v>
      </c>
      <c r="E1634">
        <v>98101</v>
      </c>
      <c r="F1634" t="s">
        <v>1573</v>
      </c>
      <c r="G1634" t="s">
        <v>1999</v>
      </c>
      <c r="H1634" t="s">
        <v>5830</v>
      </c>
      <c r="I1634">
        <v>47.611232999999999</v>
      </c>
      <c r="J1634">
        <v>-122.33763</v>
      </c>
      <c r="K1634" t="s">
        <v>3936</v>
      </c>
      <c r="L1634" t="s">
        <v>3946</v>
      </c>
      <c r="M1634" t="s">
        <v>5575</v>
      </c>
      <c r="P1634" t="s">
        <v>5762</v>
      </c>
    </row>
    <row r="1635" spans="1:16" x14ac:dyDescent="0.2">
      <c r="A1635" t="s">
        <v>2022</v>
      </c>
      <c r="B1635" t="s">
        <v>2332</v>
      </c>
      <c r="C1635" t="s">
        <v>66</v>
      </c>
      <c r="D1635" t="s">
        <v>2307</v>
      </c>
      <c r="E1635">
        <v>98101</v>
      </c>
      <c r="F1635" t="s">
        <v>1573</v>
      </c>
      <c r="G1635" t="s">
        <v>2187</v>
      </c>
      <c r="H1635" t="s">
        <v>5241</v>
      </c>
      <c r="I1635">
        <v>47.611232999999999</v>
      </c>
      <c r="J1635">
        <v>-122.33763</v>
      </c>
      <c r="K1635" t="s">
        <v>3936</v>
      </c>
      <c r="L1635" t="s">
        <v>3946</v>
      </c>
      <c r="M1635" t="s">
        <v>5575</v>
      </c>
      <c r="P1635" t="s">
        <v>5763</v>
      </c>
    </row>
    <row r="1636" spans="1:16" x14ac:dyDescent="0.2">
      <c r="A1636" t="s">
        <v>2011</v>
      </c>
      <c r="B1636" t="s">
        <v>2335</v>
      </c>
      <c r="C1636" t="s">
        <v>66</v>
      </c>
      <c r="D1636" t="s">
        <v>2307</v>
      </c>
      <c r="E1636">
        <v>98101</v>
      </c>
      <c r="F1636" t="s">
        <v>1573</v>
      </c>
      <c r="G1636" t="s">
        <v>1986</v>
      </c>
      <c r="H1636" t="s">
        <v>4266</v>
      </c>
      <c r="I1636">
        <v>47.611575999999999</v>
      </c>
      <c r="J1636">
        <v>-122.332977</v>
      </c>
      <c r="K1636" t="s">
        <v>3936</v>
      </c>
      <c r="L1636" t="s">
        <v>3946</v>
      </c>
      <c r="M1636" t="s">
        <v>5575</v>
      </c>
      <c r="P1636" t="s">
        <v>2335</v>
      </c>
    </row>
    <row r="1637" spans="1:16" x14ac:dyDescent="0.2">
      <c r="A1637" t="s">
        <v>2011</v>
      </c>
      <c r="B1637" t="s">
        <v>6286</v>
      </c>
      <c r="C1637" t="s">
        <v>66</v>
      </c>
      <c r="D1637" t="s">
        <v>2307</v>
      </c>
      <c r="E1637">
        <v>98101</v>
      </c>
      <c r="F1637" t="s">
        <v>1573</v>
      </c>
      <c r="G1637" t="s">
        <v>1986</v>
      </c>
      <c r="H1637" t="s">
        <v>4265</v>
      </c>
      <c r="I1637">
        <v>47.606769999999997</v>
      </c>
      <c r="J1637">
        <v>-122.333549</v>
      </c>
      <c r="K1637" t="s">
        <v>3936</v>
      </c>
      <c r="L1637" t="s">
        <v>3946</v>
      </c>
      <c r="M1637" t="s">
        <v>5575</v>
      </c>
      <c r="P1637" t="s">
        <v>6087</v>
      </c>
    </row>
    <row r="1638" spans="1:16" x14ac:dyDescent="0.2">
      <c r="A1638" t="s">
        <v>2018</v>
      </c>
      <c r="B1638" t="s">
        <v>2336</v>
      </c>
      <c r="C1638" t="s">
        <v>66</v>
      </c>
      <c r="D1638" t="s">
        <v>2307</v>
      </c>
      <c r="E1638">
        <v>98121</v>
      </c>
      <c r="F1638" t="s">
        <v>2019</v>
      </c>
      <c r="G1638" t="s">
        <v>1991</v>
      </c>
      <c r="H1638" t="s">
        <v>5447</v>
      </c>
      <c r="I1638">
        <v>47.611184999999999</v>
      </c>
      <c r="J1638">
        <v>-122.34267800000001</v>
      </c>
      <c r="K1638" t="s">
        <v>3936</v>
      </c>
      <c r="L1638" t="s">
        <v>3946</v>
      </c>
      <c r="M1638" t="s">
        <v>5575</v>
      </c>
      <c r="P1638" t="s">
        <v>2336</v>
      </c>
    </row>
    <row r="1639" spans="1:16" x14ac:dyDescent="0.2">
      <c r="A1639" t="s">
        <v>2011</v>
      </c>
      <c r="B1639" t="s">
        <v>2337</v>
      </c>
      <c r="C1639" t="s">
        <v>66</v>
      </c>
      <c r="D1639" t="s">
        <v>2307</v>
      </c>
      <c r="E1639">
        <v>98103</v>
      </c>
      <c r="F1639" t="s">
        <v>1573</v>
      </c>
      <c r="G1639" t="s">
        <v>1986</v>
      </c>
      <c r="H1639" t="s">
        <v>4267</v>
      </c>
      <c r="I1639">
        <v>47.648555999999999</v>
      </c>
      <c r="J1639">
        <v>-122.34274600000001</v>
      </c>
      <c r="K1639" t="s">
        <v>3936</v>
      </c>
      <c r="L1639" t="s">
        <v>3946</v>
      </c>
      <c r="M1639" t="s">
        <v>5575</v>
      </c>
      <c r="P1639" t="s">
        <v>2337</v>
      </c>
    </row>
    <row r="1640" spans="1:16" x14ac:dyDescent="0.2">
      <c r="A1640" t="s">
        <v>2018</v>
      </c>
      <c r="B1640" t="s">
        <v>2338</v>
      </c>
      <c r="C1640" t="s">
        <v>66</v>
      </c>
      <c r="D1640" t="s">
        <v>2307</v>
      </c>
      <c r="E1640">
        <v>98101</v>
      </c>
      <c r="F1640" t="s">
        <v>2019</v>
      </c>
      <c r="G1640" t="s">
        <v>1991</v>
      </c>
      <c r="H1640" t="s">
        <v>5448</v>
      </c>
      <c r="I1640">
        <v>47.611407999999997</v>
      </c>
      <c r="J1640">
        <v>-122.331474</v>
      </c>
      <c r="K1640" t="s">
        <v>3936</v>
      </c>
      <c r="L1640" t="s">
        <v>3946</v>
      </c>
      <c r="M1640" t="s">
        <v>5575</v>
      </c>
      <c r="P1640" t="s">
        <v>2338</v>
      </c>
    </row>
    <row r="1641" spans="1:16" x14ac:dyDescent="0.2">
      <c r="A1641" t="s">
        <v>2018</v>
      </c>
      <c r="B1641" t="s">
        <v>2339</v>
      </c>
      <c r="C1641" t="s">
        <v>66</v>
      </c>
      <c r="D1641" t="s">
        <v>2307</v>
      </c>
      <c r="E1641">
        <v>98121</v>
      </c>
      <c r="F1641" t="s">
        <v>2019</v>
      </c>
      <c r="G1641" t="s">
        <v>1991</v>
      </c>
      <c r="H1641" t="s">
        <v>5155</v>
      </c>
      <c r="I1641">
        <v>47.610379000000002</v>
      </c>
      <c r="J1641">
        <v>-122.343796</v>
      </c>
      <c r="K1641" t="s">
        <v>3936</v>
      </c>
      <c r="L1641" t="s">
        <v>3946</v>
      </c>
      <c r="M1641" t="s">
        <v>5575</v>
      </c>
      <c r="P1641" t="s">
        <v>2339</v>
      </c>
    </row>
    <row r="1642" spans="1:16" x14ac:dyDescent="0.2">
      <c r="A1642" t="s">
        <v>2012</v>
      </c>
      <c r="B1642" t="s">
        <v>2340</v>
      </c>
      <c r="C1642" t="s">
        <v>66</v>
      </c>
      <c r="D1642" t="s">
        <v>2307</v>
      </c>
      <c r="E1642">
        <v>98112</v>
      </c>
      <c r="F1642" t="s">
        <v>1600</v>
      </c>
      <c r="G1642" t="s">
        <v>2005</v>
      </c>
      <c r="H1642" t="s">
        <v>4268</v>
      </c>
      <c r="I1642">
        <v>47.622480000000003</v>
      </c>
      <c r="J1642">
        <v>-122.312764</v>
      </c>
      <c r="K1642" t="s">
        <v>3936</v>
      </c>
      <c r="L1642" t="s">
        <v>3946</v>
      </c>
      <c r="M1642" t="s">
        <v>5575</v>
      </c>
      <c r="P1642" t="s">
        <v>5704</v>
      </c>
    </row>
    <row r="1643" spans="1:16" x14ac:dyDescent="0.2">
      <c r="A1643" t="s">
        <v>2011</v>
      </c>
      <c r="B1643" t="s">
        <v>2341</v>
      </c>
      <c r="C1643" t="s">
        <v>66</v>
      </c>
      <c r="D1643" t="s">
        <v>2307</v>
      </c>
      <c r="E1643">
        <v>98122</v>
      </c>
      <c r="F1643" t="s">
        <v>1573</v>
      </c>
      <c r="G1643" t="s">
        <v>1986</v>
      </c>
      <c r="H1643" t="s">
        <v>4269</v>
      </c>
      <c r="I1643">
        <v>47.613947000000003</v>
      </c>
      <c r="J1643">
        <v>-122.321859</v>
      </c>
      <c r="K1643" t="s">
        <v>3936</v>
      </c>
      <c r="L1643" t="s">
        <v>3946</v>
      </c>
      <c r="M1643" t="s">
        <v>5575</v>
      </c>
      <c r="P1643" t="s">
        <v>2341</v>
      </c>
    </row>
    <row r="1644" spans="1:16" x14ac:dyDescent="0.2">
      <c r="A1644" t="s">
        <v>2018</v>
      </c>
      <c r="B1644" t="s">
        <v>2342</v>
      </c>
      <c r="C1644" t="s">
        <v>66</v>
      </c>
      <c r="D1644" t="s">
        <v>2307</v>
      </c>
      <c r="E1644">
        <v>98122</v>
      </c>
      <c r="F1644" t="s">
        <v>1600</v>
      </c>
      <c r="G1644" t="s">
        <v>2027</v>
      </c>
      <c r="H1644" t="s">
        <v>5449</v>
      </c>
      <c r="I1644">
        <v>47.614212000000002</v>
      </c>
      <c r="J1644">
        <v>-122.32171</v>
      </c>
      <c r="K1644" t="s">
        <v>3936</v>
      </c>
      <c r="L1644" t="s">
        <v>3946</v>
      </c>
      <c r="M1644" t="s">
        <v>5575</v>
      </c>
      <c r="P1644" t="s">
        <v>2342</v>
      </c>
    </row>
    <row r="1645" spans="1:16" x14ac:dyDescent="0.2">
      <c r="A1645" t="s">
        <v>2018</v>
      </c>
      <c r="B1645" t="s">
        <v>2343</v>
      </c>
      <c r="C1645" t="s">
        <v>66</v>
      </c>
      <c r="D1645" t="s">
        <v>2307</v>
      </c>
      <c r="E1645">
        <v>98101</v>
      </c>
      <c r="F1645" t="s">
        <v>2019</v>
      </c>
      <c r="G1645" t="s">
        <v>1991</v>
      </c>
      <c r="H1645" t="s">
        <v>5450</v>
      </c>
      <c r="I1645">
        <v>47.610115</v>
      </c>
      <c r="J1645">
        <v>-122.333417</v>
      </c>
      <c r="K1645" t="s">
        <v>3936</v>
      </c>
      <c r="L1645" t="s">
        <v>3946</v>
      </c>
      <c r="M1645" t="s">
        <v>5575</v>
      </c>
      <c r="P1645" t="s">
        <v>2343</v>
      </c>
    </row>
    <row r="1646" spans="1:16" x14ac:dyDescent="0.2">
      <c r="A1646" t="s">
        <v>2011</v>
      </c>
      <c r="B1646" t="s">
        <v>6287</v>
      </c>
      <c r="C1646" t="s">
        <v>66</v>
      </c>
      <c r="D1646" t="s">
        <v>2307</v>
      </c>
      <c r="E1646">
        <v>98112</v>
      </c>
      <c r="F1646" t="s">
        <v>1573</v>
      </c>
      <c r="G1646" t="s">
        <v>1986</v>
      </c>
      <c r="H1646" t="s">
        <v>4270</v>
      </c>
      <c r="I1646">
        <v>47.621442999999999</v>
      </c>
      <c r="J1646">
        <v>-122.31286299999999</v>
      </c>
      <c r="K1646" t="s">
        <v>3936</v>
      </c>
      <c r="L1646" t="s">
        <v>3946</v>
      </c>
      <c r="M1646" t="s">
        <v>5575</v>
      </c>
      <c r="P1646" t="s">
        <v>6088</v>
      </c>
    </row>
    <row r="1647" spans="1:16" x14ac:dyDescent="0.2">
      <c r="A1647" t="s">
        <v>2028</v>
      </c>
      <c r="B1647" t="s">
        <v>2344</v>
      </c>
      <c r="C1647" t="s">
        <v>66</v>
      </c>
      <c r="D1647" t="s">
        <v>2307</v>
      </c>
      <c r="E1647">
        <v>98112</v>
      </c>
      <c r="F1647" t="s">
        <v>1602</v>
      </c>
      <c r="G1647" t="s">
        <v>1995</v>
      </c>
      <c r="H1647" t="s">
        <v>4271</v>
      </c>
      <c r="I1647">
        <v>47.621403000000001</v>
      </c>
      <c r="J1647">
        <v>-122.312466</v>
      </c>
      <c r="K1647" t="s">
        <v>3936</v>
      </c>
      <c r="L1647" t="s">
        <v>3946</v>
      </c>
      <c r="M1647" t="s">
        <v>5575</v>
      </c>
      <c r="P1647" t="s">
        <v>2344</v>
      </c>
    </row>
    <row r="1648" spans="1:16" x14ac:dyDescent="0.2">
      <c r="A1648" t="s">
        <v>2029</v>
      </c>
      <c r="B1648" t="s">
        <v>2345</v>
      </c>
      <c r="C1648" t="s">
        <v>66</v>
      </c>
      <c r="D1648" t="s">
        <v>2307</v>
      </c>
      <c r="E1648">
        <v>98101</v>
      </c>
      <c r="F1648" t="s">
        <v>1602</v>
      </c>
      <c r="G1648" t="s">
        <v>2005</v>
      </c>
      <c r="H1648" t="s">
        <v>4272</v>
      </c>
      <c r="I1648">
        <v>47.609279999999998</v>
      </c>
      <c r="J1648">
        <v>-122.341066</v>
      </c>
      <c r="K1648" t="s">
        <v>3936</v>
      </c>
      <c r="L1648" t="s">
        <v>3946</v>
      </c>
      <c r="M1648" t="s">
        <v>5575</v>
      </c>
      <c r="P1648" t="s">
        <v>2345</v>
      </c>
    </row>
    <row r="1649" spans="1:16" x14ac:dyDescent="0.2">
      <c r="A1649" t="s">
        <v>2021</v>
      </c>
      <c r="B1649" t="s">
        <v>2345</v>
      </c>
      <c r="C1649" t="s">
        <v>66</v>
      </c>
      <c r="D1649" t="s">
        <v>2307</v>
      </c>
      <c r="E1649">
        <v>98101</v>
      </c>
      <c r="F1649" t="s">
        <v>1573</v>
      </c>
      <c r="G1649" t="s">
        <v>1981</v>
      </c>
      <c r="H1649" t="s">
        <v>5355</v>
      </c>
      <c r="I1649">
        <v>47.609279999999998</v>
      </c>
      <c r="J1649">
        <v>-122.341066</v>
      </c>
      <c r="K1649" t="s">
        <v>3936</v>
      </c>
      <c r="L1649" t="s">
        <v>3946</v>
      </c>
      <c r="M1649" t="s">
        <v>5575</v>
      </c>
      <c r="P1649" t="s">
        <v>2345</v>
      </c>
    </row>
    <row r="1650" spans="1:16" x14ac:dyDescent="0.2">
      <c r="A1650" t="s">
        <v>2007</v>
      </c>
      <c r="B1650" t="s">
        <v>2346</v>
      </c>
      <c r="C1650" t="s">
        <v>66</v>
      </c>
      <c r="D1650" t="s">
        <v>2307</v>
      </c>
      <c r="E1650">
        <v>98122</v>
      </c>
      <c r="F1650" t="s">
        <v>1658</v>
      </c>
      <c r="G1650" t="s">
        <v>2008</v>
      </c>
      <c r="H1650" t="s">
        <v>5831</v>
      </c>
      <c r="I1650">
        <v>47.613323999999999</v>
      </c>
      <c r="J1650">
        <v>-122.32100199999999</v>
      </c>
      <c r="K1650" t="s">
        <v>3936</v>
      </c>
      <c r="L1650" t="s">
        <v>3946</v>
      </c>
      <c r="M1650" t="s">
        <v>5575</v>
      </c>
      <c r="P1650" t="s">
        <v>2346</v>
      </c>
    </row>
    <row r="1651" spans="1:16" x14ac:dyDescent="0.2">
      <c r="A1651" t="s">
        <v>2018</v>
      </c>
      <c r="B1651" t="s">
        <v>2347</v>
      </c>
      <c r="C1651" t="s">
        <v>66</v>
      </c>
      <c r="D1651" t="s">
        <v>2307</v>
      </c>
      <c r="E1651">
        <v>98101</v>
      </c>
      <c r="F1651" t="s">
        <v>2019</v>
      </c>
      <c r="G1651" t="s">
        <v>1991</v>
      </c>
      <c r="H1651" t="s">
        <v>5451</v>
      </c>
      <c r="I1651">
        <v>47.609208000000002</v>
      </c>
      <c r="J1651">
        <v>-122.335883</v>
      </c>
      <c r="K1651" t="s">
        <v>3936</v>
      </c>
      <c r="L1651" t="s">
        <v>3946</v>
      </c>
      <c r="M1651" t="s">
        <v>5575</v>
      </c>
      <c r="P1651" t="s">
        <v>2347</v>
      </c>
    </row>
    <row r="1652" spans="1:16" x14ac:dyDescent="0.2">
      <c r="A1652" t="s">
        <v>2011</v>
      </c>
      <c r="B1652" t="s">
        <v>2348</v>
      </c>
      <c r="C1652" t="s">
        <v>66</v>
      </c>
      <c r="D1652" t="s">
        <v>2307</v>
      </c>
      <c r="E1652">
        <v>98101</v>
      </c>
      <c r="F1652" t="s">
        <v>1573</v>
      </c>
      <c r="G1652" t="s">
        <v>1986</v>
      </c>
      <c r="H1652" t="s">
        <v>4273</v>
      </c>
      <c r="I1652">
        <v>47.608904000000003</v>
      </c>
      <c r="J1652">
        <v>-122.339949</v>
      </c>
      <c r="K1652" t="s">
        <v>3936</v>
      </c>
      <c r="L1652" t="s">
        <v>3946</v>
      </c>
      <c r="M1652" t="s">
        <v>5575</v>
      </c>
      <c r="P1652" t="s">
        <v>2348</v>
      </c>
    </row>
    <row r="1653" spans="1:16" x14ac:dyDescent="0.2">
      <c r="A1653" t="s">
        <v>2030</v>
      </c>
      <c r="B1653" t="s">
        <v>2349</v>
      </c>
      <c r="C1653" t="s">
        <v>66</v>
      </c>
      <c r="D1653" t="s">
        <v>2307</v>
      </c>
      <c r="E1653">
        <v>98101</v>
      </c>
      <c r="F1653" t="s">
        <v>1583</v>
      </c>
      <c r="G1653" t="s">
        <v>1980</v>
      </c>
      <c r="H1653" t="s">
        <v>5799</v>
      </c>
      <c r="I1653">
        <v>47.608781999999998</v>
      </c>
      <c r="J1653">
        <v>-122.340091</v>
      </c>
      <c r="K1653" t="s">
        <v>3936</v>
      </c>
      <c r="L1653" t="s">
        <v>3946</v>
      </c>
      <c r="M1653" t="s">
        <v>5575</v>
      </c>
      <c r="P1653" t="s">
        <v>5744</v>
      </c>
    </row>
    <row r="1654" spans="1:16" x14ac:dyDescent="0.2">
      <c r="A1654" t="s">
        <v>2031</v>
      </c>
      <c r="B1654" t="s">
        <v>2350</v>
      </c>
      <c r="C1654" t="s">
        <v>66</v>
      </c>
      <c r="D1654" t="s">
        <v>2307</v>
      </c>
      <c r="E1654">
        <v>98101</v>
      </c>
      <c r="F1654" t="s">
        <v>2019</v>
      </c>
      <c r="G1654" t="s">
        <v>2005</v>
      </c>
      <c r="H1654" t="s">
        <v>4274</v>
      </c>
      <c r="I1654">
        <v>47.608784</v>
      </c>
      <c r="J1654">
        <v>-122.34057199999999</v>
      </c>
      <c r="K1654" t="s">
        <v>3936</v>
      </c>
      <c r="L1654" t="s">
        <v>3946</v>
      </c>
      <c r="M1654" t="s">
        <v>5575</v>
      </c>
      <c r="P1654" t="s">
        <v>5670</v>
      </c>
    </row>
    <row r="1655" spans="1:16" x14ac:dyDescent="0.2">
      <c r="A1655" t="s">
        <v>2011</v>
      </c>
      <c r="B1655" t="s">
        <v>2351</v>
      </c>
      <c r="C1655" t="s">
        <v>66</v>
      </c>
      <c r="D1655" t="s">
        <v>2307</v>
      </c>
      <c r="E1655">
        <v>98101</v>
      </c>
      <c r="F1655" t="s">
        <v>1573</v>
      </c>
      <c r="G1655" t="s">
        <v>1986</v>
      </c>
      <c r="H1655" t="s">
        <v>4275</v>
      </c>
      <c r="I1655">
        <v>47.609011000000002</v>
      </c>
      <c r="J1655">
        <v>-122.336932</v>
      </c>
      <c r="K1655" t="s">
        <v>3936</v>
      </c>
      <c r="L1655" t="s">
        <v>3946</v>
      </c>
      <c r="M1655" t="s">
        <v>5575</v>
      </c>
      <c r="P1655" t="s">
        <v>2351</v>
      </c>
    </row>
    <row r="1656" spans="1:16" x14ac:dyDescent="0.2">
      <c r="A1656" t="s">
        <v>2018</v>
      </c>
      <c r="B1656" t="s">
        <v>2352</v>
      </c>
      <c r="C1656" t="s">
        <v>66</v>
      </c>
      <c r="D1656" t="s">
        <v>2307</v>
      </c>
      <c r="E1656">
        <v>98101</v>
      </c>
      <c r="F1656" t="s">
        <v>1600</v>
      </c>
      <c r="G1656" t="s">
        <v>2027</v>
      </c>
      <c r="H1656" t="s">
        <v>5452</v>
      </c>
      <c r="I1656">
        <v>47.609844000000002</v>
      </c>
      <c r="J1656">
        <v>-122.328228</v>
      </c>
      <c r="K1656" t="s">
        <v>3936</v>
      </c>
      <c r="L1656" t="s">
        <v>3946</v>
      </c>
      <c r="M1656" t="s">
        <v>5575</v>
      </c>
      <c r="P1656" t="s">
        <v>2352</v>
      </c>
    </row>
    <row r="1657" spans="1:16" x14ac:dyDescent="0.2">
      <c r="A1657" t="s">
        <v>5576</v>
      </c>
      <c r="B1657" t="s">
        <v>5577</v>
      </c>
      <c r="C1657" t="s">
        <v>66</v>
      </c>
      <c r="D1657" t="s">
        <v>2307</v>
      </c>
      <c r="E1657">
        <v>98103</v>
      </c>
      <c r="F1657" t="s">
        <v>1573</v>
      </c>
      <c r="G1657" t="s">
        <v>5578</v>
      </c>
      <c r="H1657" t="s">
        <v>5832</v>
      </c>
      <c r="I1657">
        <v>47.649864999999998</v>
      </c>
      <c r="J1657">
        <v>-122.350796</v>
      </c>
      <c r="K1657" t="s">
        <v>3936</v>
      </c>
      <c r="L1657" t="s">
        <v>3946</v>
      </c>
      <c r="M1657" t="s">
        <v>5575</v>
      </c>
      <c r="P1657" t="s">
        <v>5577</v>
      </c>
    </row>
    <row r="1658" spans="1:16" x14ac:dyDescent="0.2">
      <c r="A1658" t="s">
        <v>2032</v>
      </c>
      <c r="B1658" t="s">
        <v>2353</v>
      </c>
      <c r="C1658" t="s">
        <v>66</v>
      </c>
      <c r="D1658" t="s">
        <v>2307</v>
      </c>
      <c r="E1658">
        <v>98122</v>
      </c>
      <c r="F1658" t="s">
        <v>1658</v>
      </c>
      <c r="G1658" t="s">
        <v>2033</v>
      </c>
      <c r="H1658" t="s">
        <v>5356</v>
      </c>
      <c r="I1658">
        <v>47.613962000000001</v>
      </c>
      <c r="J1658">
        <v>-122.31788</v>
      </c>
      <c r="K1658" t="s">
        <v>3936</v>
      </c>
      <c r="L1658" t="s">
        <v>3946</v>
      </c>
      <c r="M1658" t="s">
        <v>5575</v>
      </c>
      <c r="P1658" t="s">
        <v>2353</v>
      </c>
    </row>
    <row r="1659" spans="1:16" x14ac:dyDescent="0.2">
      <c r="A1659" t="s">
        <v>2012</v>
      </c>
      <c r="B1659" t="s">
        <v>2354</v>
      </c>
      <c r="C1659" t="s">
        <v>66</v>
      </c>
      <c r="D1659" t="s">
        <v>2307</v>
      </c>
      <c r="E1659">
        <v>98101</v>
      </c>
      <c r="F1659" t="s">
        <v>1600</v>
      </c>
      <c r="G1659" t="s">
        <v>2005</v>
      </c>
      <c r="H1659" t="s">
        <v>4276</v>
      </c>
      <c r="I1659">
        <v>47.607868000000003</v>
      </c>
      <c r="J1659">
        <v>-122.339094</v>
      </c>
      <c r="K1659" t="s">
        <v>3936</v>
      </c>
      <c r="L1659" t="s">
        <v>3946</v>
      </c>
      <c r="M1659" t="s">
        <v>5575</v>
      </c>
      <c r="P1659" t="s">
        <v>2354</v>
      </c>
    </row>
    <row r="1660" spans="1:16" x14ac:dyDescent="0.2">
      <c r="A1660" t="s">
        <v>2018</v>
      </c>
      <c r="B1660" t="s">
        <v>2355</v>
      </c>
      <c r="C1660" t="s">
        <v>66</v>
      </c>
      <c r="D1660" t="s">
        <v>2307</v>
      </c>
      <c r="E1660">
        <v>98109</v>
      </c>
      <c r="F1660" t="s">
        <v>2019</v>
      </c>
      <c r="G1660" t="s">
        <v>1991</v>
      </c>
      <c r="H1660" t="s">
        <v>5453</v>
      </c>
      <c r="I1660">
        <v>47.648178999999999</v>
      </c>
      <c r="J1660">
        <v>-122.35443100000001</v>
      </c>
      <c r="K1660" t="s">
        <v>3936</v>
      </c>
      <c r="L1660" t="s">
        <v>3946</v>
      </c>
      <c r="M1660" t="s">
        <v>5575</v>
      </c>
      <c r="P1660" t="s">
        <v>2355</v>
      </c>
    </row>
    <row r="1661" spans="1:16" x14ac:dyDescent="0.2">
      <c r="A1661" t="s">
        <v>2018</v>
      </c>
      <c r="B1661" t="s">
        <v>2356</v>
      </c>
      <c r="C1661" t="s">
        <v>66</v>
      </c>
      <c r="D1661" t="s">
        <v>2307</v>
      </c>
      <c r="E1661">
        <v>98112</v>
      </c>
      <c r="F1661" t="s">
        <v>2019</v>
      </c>
      <c r="G1661" t="s">
        <v>1991</v>
      </c>
      <c r="H1661" t="s">
        <v>5454</v>
      </c>
      <c r="I1661">
        <v>47.626004999999999</v>
      </c>
      <c r="J1661">
        <v>-122.307115</v>
      </c>
      <c r="K1661" t="s">
        <v>3936</v>
      </c>
      <c r="L1661" t="s">
        <v>3946</v>
      </c>
      <c r="M1661" t="s">
        <v>5575</v>
      </c>
      <c r="P1661" t="s">
        <v>2356</v>
      </c>
    </row>
    <row r="1662" spans="1:16" x14ac:dyDescent="0.2">
      <c r="A1662" t="s">
        <v>2011</v>
      </c>
      <c r="B1662" t="s">
        <v>2357</v>
      </c>
      <c r="C1662" t="s">
        <v>66</v>
      </c>
      <c r="D1662" t="s">
        <v>2307</v>
      </c>
      <c r="E1662">
        <v>98101</v>
      </c>
      <c r="F1662" t="s">
        <v>1573</v>
      </c>
      <c r="G1662" t="s">
        <v>1986</v>
      </c>
      <c r="H1662" t="s">
        <v>4277</v>
      </c>
      <c r="I1662">
        <v>47.607970000000002</v>
      </c>
      <c r="J1662">
        <v>-122.33301</v>
      </c>
      <c r="K1662" t="s">
        <v>3936</v>
      </c>
      <c r="L1662" t="s">
        <v>3946</v>
      </c>
      <c r="M1662" t="s">
        <v>5575</v>
      </c>
      <c r="P1662" t="s">
        <v>2357</v>
      </c>
    </row>
    <row r="1663" spans="1:16" x14ac:dyDescent="0.2">
      <c r="A1663" t="s">
        <v>2009</v>
      </c>
      <c r="B1663" t="s">
        <v>2358</v>
      </c>
      <c r="C1663" t="s">
        <v>66</v>
      </c>
      <c r="D1663" t="s">
        <v>2307</v>
      </c>
      <c r="E1663">
        <v>98103</v>
      </c>
      <c r="F1663" t="s">
        <v>1600</v>
      </c>
      <c r="G1663" t="s">
        <v>2005</v>
      </c>
      <c r="H1663" t="s">
        <v>4278</v>
      </c>
      <c r="I1663">
        <v>47.650365000000001</v>
      </c>
      <c r="J1663">
        <v>-122.353499</v>
      </c>
      <c r="K1663" t="s">
        <v>3936</v>
      </c>
      <c r="L1663" t="s">
        <v>3946</v>
      </c>
      <c r="M1663" t="s">
        <v>5575</v>
      </c>
      <c r="P1663" t="s">
        <v>2358</v>
      </c>
    </row>
    <row r="1664" spans="1:16" x14ac:dyDescent="0.2">
      <c r="A1664" t="s">
        <v>2011</v>
      </c>
      <c r="B1664" t="s">
        <v>6288</v>
      </c>
      <c r="C1664" t="s">
        <v>66</v>
      </c>
      <c r="D1664" t="s">
        <v>2307</v>
      </c>
      <c r="E1664">
        <v>98104</v>
      </c>
      <c r="F1664" t="s">
        <v>1573</v>
      </c>
      <c r="G1664" t="s">
        <v>1986</v>
      </c>
      <c r="H1664" t="s">
        <v>4279</v>
      </c>
      <c r="I1664">
        <v>47.609324000000001</v>
      </c>
      <c r="J1664">
        <v>-122.324873</v>
      </c>
      <c r="K1664" t="s">
        <v>3936</v>
      </c>
      <c r="L1664" t="s">
        <v>3946</v>
      </c>
      <c r="M1664" t="s">
        <v>5575</v>
      </c>
      <c r="P1664" t="s">
        <v>6089</v>
      </c>
    </row>
    <row r="1665" spans="1:16" x14ac:dyDescent="0.2">
      <c r="A1665" t="s">
        <v>2018</v>
      </c>
      <c r="B1665" t="s">
        <v>2359</v>
      </c>
      <c r="C1665" t="s">
        <v>66</v>
      </c>
      <c r="D1665" t="s">
        <v>2307</v>
      </c>
      <c r="E1665">
        <v>98101</v>
      </c>
      <c r="F1665" t="s">
        <v>1600</v>
      </c>
      <c r="G1665" t="s">
        <v>2027</v>
      </c>
      <c r="H1665" t="s">
        <v>5455</v>
      </c>
      <c r="I1665">
        <v>47.607619</v>
      </c>
      <c r="J1665">
        <v>-122.339663</v>
      </c>
      <c r="K1665" t="s">
        <v>3936</v>
      </c>
      <c r="L1665" t="s">
        <v>3946</v>
      </c>
      <c r="M1665" t="s">
        <v>5575</v>
      </c>
      <c r="P1665" t="s">
        <v>2359</v>
      </c>
    </row>
    <row r="1666" spans="1:16" x14ac:dyDescent="0.2">
      <c r="A1666" t="s">
        <v>2034</v>
      </c>
      <c r="B1666" t="s">
        <v>2360</v>
      </c>
      <c r="C1666" t="s">
        <v>66</v>
      </c>
      <c r="D1666" t="s">
        <v>2307</v>
      </c>
      <c r="E1666">
        <v>98104</v>
      </c>
      <c r="F1666" t="s">
        <v>2035</v>
      </c>
      <c r="G1666" t="s">
        <v>2005</v>
      </c>
      <c r="H1666" t="s">
        <v>4280</v>
      </c>
      <c r="I1666">
        <v>47.606140000000003</v>
      </c>
      <c r="J1666">
        <v>-122.332863</v>
      </c>
      <c r="K1666" t="s">
        <v>3936</v>
      </c>
      <c r="L1666" t="s">
        <v>3946</v>
      </c>
      <c r="M1666" t="s">
        <v>5575</v>
      </c>
      <c r="P1666" t="s">
        <v>2360</v>
      </c>
    </row>
    <row r="1667" spans="1:16" x14ac:dyDescent="0.2">
      <c r="A1667" t="s">
        <v>2012</v>
      </c>
      <c r="B1667" t="s">
        <v>2361</v>
      </c>
      <c r="C1667" t="s">
        <v>66</v>
      </c>
      <c r="D1667" t="s">
        <v>2307</v>
      </c>
      <c r="E1667">
        <v>98103</v>
      </c>
      <c r="F1667" t="s">
        <v>1600</v>
      </c>
      <c r="G1667" t="s">
        <v>2005</v>
      </c>
      <c r="H1667" t="s">
        <v>4281</v>
      </c>
      <c r="I1667">
        <v>47.652070000000002</v>
      </c>
      <c r="J1667">
        <v>-122.353238</v>
      </c>
      <c r="K1667" t="s">
        <v>3936</v>
      </c>
      <c r="L1667" t="s">
        <v>3946</v>
      </c>
      <c r="M1667" t="s">
        <v>5575</v>
      </c>
      <c r="P1667" t="s">
        <v>2361</v>
      </c>
    </row>
    <row r="1668" spans="1:16" x14ac:dyDescent="0.2">
      <c r="A1668" t="s">
        <v>2018</v>
      </c>
      <c r="B1668" t="s">
        <v>2362</v>
      </c>
      <c r="C1668" t="s">
        <v>66</v>
      </c>
      <c r="D1668" t="s">
        <v>2307</v>
      </c>
      <c r="E1668">
        <v>98104</v>
      </c>
      <c r="F1668" t="s">
        <v>2019</v>
      </c>
      <c r="G1668" t="s">
        <v>1991</v>
      </c>
      <c r="H1668" t="s">
        <v>5456</v>
      </c>
      <c r="I1668">
        <v>47.605666999999997</v>
      </c>
      <c r="J1668">
        <v>-122.334254</v>
      </c>
      <c r="K1668" t="s">
        <v>3936</v>
      </c>
      <c r="L1668" t="s">
        <v>3946</v>
      </c>
      <c r="M1668" t="s">
        <v>5575</v>
      </c>
      <c r="P1668" t="s">
        <v>2362</v>
      </c>
    </row>
    <row r="1669" spans="1:16" x14ac:dyDescent="0.2">
      <c r="A1669" t="s">
        <v>2036</v>
      </c>
      <c r="B1669" t="s">
        <v>2364</v>
      </c>
      <c r="C1669" t="s">
        <v>66</v>
      </c>
      <c r="D1669" t="s">
        <v>2307</v>
      </c>
      <c r="E1669">
        <v>98103</v>
      </c>
      <c r="F1669" t="s">
        <v>1583</v>
      </c>
      <c r="G1669" t="s">
        <v>1980</v>
      </c>
      <c r="H1669" t="s">
        <v>5059</v>
      </c>
      <c r="I1669">
        <v>47.654119000000001</v>
      </c>
      <c r="J1669">
        <v>-122.34453499999999</v>
      </c>
      <c r="K1669" t="s">
        <v>3936</v>
      </c>
      <c r="L1669" t="s">
        <v>3946</v>
      </c>
      <c r="M1669" t="s">
        <v>5575</v>
      </c>
      <c r="P1669" t="s">
        <v>2364</v>
      </c>
    </row>
    <row r="1670" spans="1:16" x14ac:dyDescent="0.2">
      <c r="A1670" t="s">
        <v>2037</v>
      </c>
      <c r="B1670" t="s">
        <v>6289</v>
      </c>
      <c r="C1670" t="s">
        <v>66</v>
      </c>
      <c r="D1670" t="s">
        <v>2307</v>
      </c>
      <c r="E1670">
        <v>98101</v>
      </c>
      <c r="F1670" t="s">
        <v>2019</v>
      </c>
      <c r="G1670" t="s">
        <v>2005</v>
      </c>
      <c r="H1670" t="s">
        <v>4282</v>
      </c>
      <c r="I1670">
        <v>47.604517000000001</v>
      </c>
      <c r="J1670">
        <v>-122.339257</v>
      </c>
      <c r="K1670" t="s">
        <v>3936</v>
      </c>
      <c r="L1670" t="s">
        <v>3946</v>
      </c>
      <c r="M1670" t="s">
        <v>5575</v>
      </c>
      <c r="P1670" t="s">
        <v>6090</v>
      </c>
    </row>
    <row r="1671" spans="1:16" x14ac:dyDescent="0.2">
      <c r="A1671" t="s">
        <v>2011</v>
      </c>
      <c r="B1671" t="s">
        <v>2365</v>
      </c>
      <c r="C1671" t="s">
        <v>66</v>
      </c>
      <c r="D1671" t="s">
        <v>2307</v>
      </c>
      <c r="E1671">
        <v>98122</v>
      </c>
      <c r="F1671" t="s">
        <v>1573</v>
      </c>
      <c r="G1671" t="s">
        <v>1986</v>
      </c>
      <c r="H1671" t="s">
        <v>4283</v>
      </c>
      <c r="I1671">
        <v>47.609383000000001</v>
      </c>
      <c r="J1671">
        <v>-122.31657800000001</v>
      </c>
      <c r="K1671" t="s">
        <v>3936</v>
      </c>
      <c r="L1671" t="s">
        <v>3946</v>
      </c>
      <c r="M1671" t="s">
        <v>5575</v>
      </c>
      <c r="P1671" t="s">
        <v>2365</v>
      </c>
    </row>
    <row r="1672" spans="1:16" x14ac:dyDescent="0.2">
      <c r="A1672" t="s">
        <v>2010</v>
      </c>
      <c r="B1672" t="s">
        <v>2366</v>
      </c>
      <c r="C1672" t="s">
        <v>66</v>
      </c>
      <c r="D1672" t="s">
        <v>2307</v>
      </c>
      <c r="E1672">
        <v>98104</v>
      </c>
      <c r="F1672" t="s">
        <v>1716</v>
      </c>
      <c r="G1672" t="s">
        <v>2000</v>
      </c>
      <c r="H1672" t="s">
        <v>4284</v>
      </c>
      <c r="I1672">
        <v>47.603817999999997</v>
      </c>
      <c r="J1672">
        <v>-122.33857999999999</v>
      </c>
      <c r="K1672" t="s">
        <v>3936</v>
      </c>
      <c r="L1672" t="s">
        <v>3946</v>
      </c>
      <c r="M1672" t="s">
        <v>5575</v>
      </c>
      <c r="P1672" t="s">
        <v>2366</v>
      </c>
    </row>
    <row r="1673" spans="1:16" x14ac:dyDescent="0.2">
      <c r="A1673" t="s">
        <v>2011</v>
      </c>
      <c r="B1673" t="s">
        <v>2367</v>
      </c>
      <c r="C1673" t="s">
        <v>66</v>
      </c>
      <c r="D1673" t="s">
        <v>2307</v>
      </c>
      <c r="E1673">
        <v>98104</v>
      </c>
      <c r="F1673" t="s">
        <v>1573</v>
      </c>
      <c r="G1673" t="s">
        <v>1986</v>
      </c>
      <c r="H1673" t="s">
        <v>4285</v>
      </c>
      <c r="I1673">
        <v>47.604351999999999</v>
      </c>
      <c r="J1673">
        <v>-122.33269300000001</v>
      </c>
      <c r="K1673" t="s">
        <v>3936</v>
      </c>
      <c r="L1673" t="s">
        <v>3946</v>
      </c>
      <c r="M1673" t="s">
        <v>5575</v>
      </c>
      <c r="P1673" t="s">
        <v>2367</v>
      </c>
    </row>
    <row r="1674" spans="1:16" x14ac:dyDescent="0.2">
      <c r="A1674" t="s">
        <v>2009</v>
      </c>
      <c r="B1674" t="s">
        <v>2368</v>
      </c>
      <c r="C1674" t="s">
        <v>66</v>
      </c>
      <c r="D1674" t="s">
        <v>2307</v>
      </c>
      <c r="E1674">
        <v>98104</v>
      </c>
      <c r="F1674" t="s">
        <v>1600</v>
      </c>
      <c r="G1674" t="s">
        <v>2005</v>
      </c>
      <c r="H1674" t="s">
        <v>4286</v>
      </c>
      <c r="I1674">
        <v>47.603957999999999</v>
      </c>
      <c r="J1674">
        <v>-122.333978</v>
      </c>
      <c r="K1674" t="s">
        <v>3936</v>
      </c>
      <c r="L1674" t="s">
        <v>3946</v>
      </c>
      <c r="M1674" t="s">
        <v>5575</v>
      </c>
      <c r="P1674" t="s">
        <v>2368</v>
      </c>
    </row>
    <row r="1675" spans="1:16" x14ac:dyDescent="0.2">
      <c r="A1675" t="s">
        <v>2015</v>
      </c>
      <c r="B1675" t="s">
        <v>2369</v>
      </c>
      <c r="C1675" t="s">
        <v>66</v>
      </c>
      <c r="D1675" t="s">
        <v>2307</v>
      </c>
      <c r="E1675">
        <v>98104</v>
      </c>
      <c r="F1675" t="s">
        <v>1573</v>
      </c>
      <c r="G1675" t="s">
        <v>2024</v>
      </c>
      <c r="H1675" t="s">
        <v>5833</v>
      </c>
      <c r="I1675">
        <v>47.60445</v>
      </c>
      <c r="J1675">
        <v>-122.329921</v>
      </c>
      <c r="K1675" t="s">
        <v>3936</v>
      </c>
      <c r="L1675" t="s">
        <v>3946</v>
      </c>
      <c r="M1675" t="s">
        <v>5575</v>
      </c>
      <c r="P1675" t="s">
        <v>2369</v>
      </c>
    </row>
    <row r="1676" spans="1:16" x14ac:dyDescent="0.2">
      <c r="A1676" t="s">
        <v>2018</v>
      </c>
      <c r="B1676" t="s">
        <v>2370</v>
      </c>
      <c r="C1676" t="s">
        <v>66</v>
      </c>
      <c r="D1676" t="s">
        <v>2307</v>
      </c>
      <c r="E1676">
        <v>98104</v>
      </c>
      <c r="F1676" t="s">
        <v>2019</v>
      </c>
      <c r="G1676" t="s">
        <v>1991</v>
      </c>
      <c r="H1676" t="s">
        <v>5156</v>
      </c>
      <c r="I1676">
        <v>47.60445</v>
      </c>
      <c r="J1676">
        <v>-122.329921</v>
      </c>
      <c r="K1676" t="s">
        <v>3936</v>
      </c>
      <c r="L1676" t="s">
        <v>3946</v>
      </c>
      <c r="M1676" t="s">
        <v>5575</v>
      </c>
      <c r="P1676" t="s">
        <v>2370</v>
      </c>
    </row>
    <row r="1677" spans="1:16" x14ac:dyDescent="0.2">
      <c r="A1677" t="s">
        <v>2018</v>
      </c>
      <c r="B1677" t="s">
        <v>2371</v>
      </c>
      <c r="C1677" t="s">
        <v>66</v>
      </c>
      <c r="D1677" t="s">
        <v>2307</v>
      </c>
      <c r="E1677">
        <v>98104</v>
      </c>
      <c r="F1677" t="s">
        <v>1600</v>
      </c>
      <c r="G1677" t="s">
        <v>2027</v>
      </c>
      <c r="H1677" t="s">
        <v>5457</v>
      </c>
      <c r="I1677">
        <v>47.604036999999998</v>
      </c>
      <c r="J1677">
        <v>-122.334289</v>
      </c>
      <c r="K1677" t="s">
        <v>3936</v>
      </c>
      <c r="L1677" t="s">
        <v>3946</v>
      </c>
      <c r="M1677" t="s">
        <v>5575</v>
      </c>
      <c r="P1677" t="s">
        <v>2371</v>
      </c>
    </row>
    <row r="1678" spans="1:16" x14ac:dyDescent="0.2">
      <c r="A1678" t="s">
        <v>2011</v>
      </c>
      <c r="B1678" t="s">
        <v>6290</v>
      </c>
      <c r="C1678" t="s">
        <v>66</v>
      </c>
      <c r="D1678" t="s">
        <v>2307</v>
      </c>
      <c r="E1678">
        <v>98119</v>
      </c>
      <c r="F1678" t="s">
        <v>1573</v>
      </c>
      <c r="G1678" t="s">
        <v>1986</v>
      </c>
      <c r="H1678" t="s">
        <v>4287</v>
      </c>
      <c r="I1678">
        <v>47.650029000000004</v>
      </c>
      <c r="J1678">
        <v>-122.36471899999999</v>
      </c>
      <c r="K1678" t="s">
        <v>3936</v>
      </c>
      <c r="L1678" t="s">
        <v>3946</v>
      </c>
      <c r="M1678" t="s">
        <v>5575</v>
      </c>
      <c r="P1678" t="s">
        <v>6091</v>
      </c>
    </row>
    <row r="1679" spans="1:16" x14ac:dyDescent="0.2">
      <c r="A1679" t="s">
        <v>2038</v>
      </c>
      <c r="B1679" t="s">
        <v>2372</v>
      </c>
      <c r="C1679" t="s">
        <v>66</v>
      </c>
      <c r="D1679" t="s">
        <v>2307</v>
      </c>
      <c r="E1679">
        <v>98112</v>
      </c>
      <c r="F1679" t="s">
        <v>2039</v>
      </c>
      <c r="G1679" t="s">
        <v>1981</v>
      </c>
      <c r="H1679" t="s">
        <v>4288</v>
      </c>
      <c r="I1679">
        <v>47.619501</v>
      </c>
      <c r="J1679">
        <v>-122.302165</v>
      </c>
      <c r="K1679" t="s">
        <v>3936</v>
      </c>
      <c r="L1679" t="s">
        <v>3946</v>
      </c>
      <c r="M1679" t="s">
        <v>5575</v>
      </c>
      <c r="P1679" t="s">
        <v>2372</v>
      </c>
    </row>
    <row r="1680" spans="1:16" x14ac:dyDescent="0.2">
      <c r="A1680" t="s">
        <v>2040</v>
      </c>
      <c r="B1680" t="s">
        <v>2373</v>
      </c>
      <c r="C1680" t="s">
        <v>66</v>
      </c>
      <c r="D1680" t="s">
        <v>2307</v>
      </c>
      <c r="E1680">
        <v>98104</v>
      </c>
      <c r="F1680" t="s">
        <v>1600</v>
      </c>
      <c r="G1680" t="s">
        <v>2005</v>
      </c>
      <c r="H1680" t="s">
        <v>4289</v>
      </c>
      <c r="I1680">
        <v>47.602406000000002</v>
      </c>
      <c r="J1680">
        <v>-122.33257</v>
      </c>
      <c r="K1680" t="s">
        <v>3936</v>
      </c>
      <c r="L1680" t="s">
        <v>3946</v>
      </c>
      <c r="M1680" t="s">
        <v>5575</v>
      </c>
      <c r="P1680" t="s">
        <v>2373</v>
      </c>
    </row>
    <row r="1681" spans="1:16" x14ac:dyDescent="0.2">
      <c r="A1681" t="s">
        <v>2041</v>
      </c>
      <c r="B1681" t="s">
        <v>2374</v>
      </c>
      <c r="C1681" t="s">
        <v>66</v>
      </c>
      <c r="D1681" t="s">
        <v>2307</v>
      </c>
      <c r="E1681">
        <v>98122</v>
      </c>
      <c r="F1681" t="s">
        <v>1716</v>
      </c>
      <c r="G1681" t="s">
        <v>2005</v>
      </c>
      <c r="H1681" t="s">
        <v>5157</v>
      </c>
      <c r="I1681">
        <v>47.612997999999997</v>
      </c>
      <c r="J1681">
        <v>-122.30610799999999</v>
      </c>
      <c r="K1681" t="s">
        <v>3936</v>
      </c>
      <c r="L1681" t="s">
        <v>3946</v>
      </c>
      <c r="M1681" t="s">
        <v>5575</v>
      </c>
      <c r="P1681" t="s">
        <v>2374</v>
      </c>
    </row>
    <row r="1682" spans="1:16" x14ac:dyDescent="0.2">
      <c r="A1682" t="s">
        <v>2011</v>
      </c>
      <c r="B1682" t="s">
        <v>2375</v>
      </c>
      <c r="C1682" t="s">
        <v>66</v>
      </c>
      <c r="D1682" t="s">
        <v>2307</v>
      </c>
      <c r="E1682">
        <v>98104</v>
      </c>
      <c r="F1682" t="s">
        <v>1573</v>
      </c>
      <c r="G1682" t="s">
        <v>1986</v>
      </c>
      <c r="H1682" t="s">
        <v>4290</v>
      </c>
      <c r="I1682">
        <v>47.601652000000001</v>
      </c>
      <c r="J1682">
        <v>-122.33403199999999</v>
      </c>
      <c r="K1682" t="s">
        <v>3936</v>
      </c>
      <c r="L1682" t="s">
        <v>3946</v>
      </c>
      <c r="M1682" t="s">
        <v>5575</v>
      </c>
      <c r="P1682" t="s">
        <v>2375</v>
      </c>
    </row>
    <row r="1683" spans="1:16" x14ac:dyDescent="0.2">
      <c r="A1683" t="s">
        <v>3952</v>
      </c>
      <c r="B1683" t="s">
        <v>2376</v>
      </c>
      <c r="C1683" t="s">
        <v>66</v>
      </c>
      <c r="D1683" t="s">
        <v>2307</v>
      </c>
      <c r="E1683">
        <v>98112</v>
      </c>
      <c r="F1683" t="s">
        <v>1573</v>
      </c>
      <c r="G1683" t="s">
        <v>2014</v>
      </c>
      <c r="H1683" t="s">
        <v>4291</v>
      </c>
      <c r="I1683">
        <v>47.623362999999998</v>
      </c>
      <c r="J1683">
        <v>-122.296419</v>
      </c>
      <c r="K1683" t="s">
        <v>3936</v>
      </c>
      <c r="L1683" t="s">
        <v>3946</v>
      </c>
      <c r="M1683" t="s">
        <v>5575</v>
      </c>
      <c r="P1683" t="s">
        <v>2376</v>
      </c>
    </row>
    <row r="1684" spans="1:16" x14ac:dyDescent="0.2">
      <c r="A1684" t="s">
        <v>2042</v>
      </c>
      <c r="B1684" t="s">
        <v>2377</v>
      </c>
      <c r="C1684" t="s">
        <v>66</v>
      </c>
      <c r="D1684" t="s">
        <v>2307</v>
      </c>
      <c r="E1684">
        <v>98107</v>
      </c>
      <c r="F1684" t="s">
        <v>2035</v>
      </c>
      <c r="G1684" t="s">
        <v>2005</v>
      </c>
      <c r="H1684" t="s">
        <v>4293</v>
      </c>
      <c r="I1684">
        <v>47.656269999999999</v>
      </c>
      <c r="J1684">
        <v>-122.36245700000001</v>
      </c>
      <c r="K1684" t="s">
        <v>3936</v>
      </c>
      <c r="L1684" t="s">
        <v>3946</v>
      </c>
      <c r="M1684" t="s">
        <v>5575</v>
      </c>
      <c r="P1684" t="s">
        <v>2377</v>
      </c>
    </row>
    <row r="1685" spans="1:16" x14ac:dyDescent="0.2">
      <c r="A1685" t="s">
        <v>2018</v>
      </c>
      <c r="B1685" t="s">
        <v>2379</v>
      </c>
      <c r="C1685" t="s">
        <v>66</v>
      </c>
      <c r="D1685" t="s">
        <v>2307</v>
      </c>
      <c r="E1685">
        <v>98104</v>
      </c>
      <c r="F1685" t="s">
        <v>1600</v>
      </c>
      <c r="G1685" t="s">
        <v>2027</v>
      </c>
      <c r="H1685" t="s">
        <v>5458</v>
      </c>
      <c r="I1685">
        <v>47.599043000000002</v>
      </c>
      <c r="J1685">
        <v>-122.331389</v>
      </c>
      <c r="K1685" t="s">
        <v>3936</v>
      </c>
      <c r="L1685" t="s">
        <v>3946</v>
      </c>
      <c r="M1685" t="s">
        <v>5575</v>
      </c>
      <c r="P1685" t="s">
        <v>2379</v>
      </c>
    </row>
    <row r="1686" spans="1:16" x14ac:dyDescent="0.2">
      <c r="A1686" t="s">
        <v>2043</v>
      </c>
      <c r="B1686" t="s">
        <v>2380</v>
      </c>
      <c r="C1686" t="s">
        <v>66</v>
      </c>
      <c r="D1686" t="s">
        <v>2307</v>
      </c>
      <c r="E1686">
        <v>98119</v>
      </c>
      <c r="F1686" t="s">
        <v>2044</v>
      </c>
      <c r="G1686" t="s">
        <v>1990</v>
      </c>
      <c r="H1686" t="s">
        <v>5357</v>
      </c>
      <c r="I1686">
        <v>47.648868999999998</v>
      </c>
      <c r="J1686">
        <v>-122.376983</v>
      </c>
      <c r="K1686" t="s">
        <v>3936</v>
      </c>
      <c r="L1686" t="s">
        <v>3946</v>
      </c>
      <c r="M1686" t="s">
        <v>5575</v>
      </c>
      <c r="P1686" t="s">
        <v>2380</v>
      </c>
    </row>
    <row r="1687" spans="1:16" x14ac:dyDescent="0.2">
      <c r="A1687" t="s">
        <v>2034</v>
      </c>
      <c r="B1687" t="s">
        <v>2381</v>
      </c>
      <c r="C1687" t="s">
        <v>66</v>
      </c>
      <c r="D1687" t="s">
        <v>2307</v>
      </c>
      <c r="E1687">
        <v>98103</v>
      </c>
      <c r="F1687" t="s">
        <v>2035</v>
      </c>
      <c r="G1687" t="s">
        <v>2005</v>
      </c>
      <c r="H1687" t="s">
        <v>4294</v>
      </c>
      <c r="I1687">
        <v>47.661546000000001</v>
      </c>
      <c r="J1687">
        <v>-122.33716200000001</v>
      </c>
      <c r="K1687" t="s">
        <v>3936</v>
      </c>
      <c r="L1687" t="s">
        <v>3946</v>
      </c>
      <c r="M1687" t="s">
        <v>5575</v>
      </c>
      <c r="P1687" t="s">
        <v>2381</v>
      </c>
    </row>
    <row r="1688" spans="1:16" x14ac:dyDescent="0.2">
      <c r="A1688" t="s">
        <v>2045</v>
      </c>
      <c r="B1688" t="s">
        <v>2382</v>
      </c>
      <c r="C1688" t="s">
        <v>66</v>
      </c>
      <c r="D1688" t="s">
        <v>2307</v>
      </c>
      <c r="E1688">
        <v>98103</v>
      </c>
      <c r="F1688" t="s">
        <v>2019</v>
      </c>
      <c r="G1688" t="s">
        <v>2005</v>
      </c>
      <c r="H1688" t="s">
        <v>4295</v>
      </c>
      <c r="I1688">
        <v>47.661256000000002</v>
      </c>
      <c r="J1688">
        <v>-122.33481399999999</v>
      </c>
      <c r="K1688" t="s">
        <v>3936</v>
      </c>
      <c r="L1688" t="s">
        <v>3946</v>
      </c>
      <c r="M1688" t="s">
        <v>5575</v>
      </c>
      <c r="P1688" t="s">
        <v>2382</v>
      </c>
    </row>
    <row r="1689" spans="1:16" x14ac:dyDescent="0.2">
      <c r="A1689" t="s">
        <v>2018</v>
      </c>
      <c r="B1689" t="s">
        <v>2383</v>
      </c>
      <c r="C1689" t="s">
        <v>66</v>
      </c>
      <c r="D1689" t="s">
        <v>2307</v>
      </c>
      <c r="E1689">
        <v>98103</v>
      </c>
      <c r="F1689" t="s">
        <v>2019</v>
      </c>
      <c r="G1689" t="s">
        <v>1991</v>
      </c>
      <c r="H1689" t="s">
        <v>4965</v>
      </c>
      <c r="I1689">
        <v>47.661481999999999</v>
      </c>
      <c r="J1689">
        <v>-122.333592</v>
      </c>
      <c r="K1689" t="s">
        <v>3936</v>
      </c>
      <c r="L1689" t="s">
        <v>3946</v>
      </c>
      <c r="M1689" t="s">
        <v>5575</v>
      </c>
      <c r="P1689" t="s">
        <v>2383</v>
      </c>
    </row>
    <row r="1690" spans="1:16" x14ac:dyDescent="0.2">
      <c r="A1690" t="s">
        <v>2011</v>
      </c>
      <c r="B1690" t="s">
        <v>2384</v>
      </c>
      <c r="C1690" t="s">
        <v>66</v>
      </c>
      <c r="D1690" t="s">
        <v>2307</v>
      </c>
      <c r="E1690">
        <v>98103</v>
      </c>
      <c r="F1690" t="s">
        <v>1573</v>
      </c>
      <c r="G1690" t="s">
        <v>1986</v>
      </c>
      <c r="H1690" t="s">
        <v>4296</v>
      </c>
      <c r="I1690">
        <v>47.661257999999997</v>
      </c>
      <c r="J1690">
        <v>-122.331136</v>
      </c>
      <c r="K1690" t="s">
        <v>3936</v>
      </c>
      <c r="L1690" t="s">
        <v>3946</v>
      </c>
      <c r="M1690" t="s">
        <v>5575</v>
      </c>
      <c r="P1690" t="s">
        <v>2384</v>
      </c>
    </row>
    <row r="1691" spans="1:16" x14ac:dyDescent="0.2">
      <c r="A1691" t="s">
        <v>2046</v>
      </c>
      <c r="B1691" t="s">
        <v>2385</v>
      </c>
      <c r="C1691" t="s">
        <v>66</v>
      </c>
      <c r="D1691" t="s">
        <v>2307</v>
      </c>
      <c r="E1691">
        <v>98112</v>
      </c>
      <c r="F1691" t="s">
        <v>1716</v>
      </c>
      <c r="G1691" t="s">
        <v>1995</v>
      </c>
      <c r="H1691" t="s">
        <v>4297</v>
      </c>
      <c r="I1691">
        <v>47.626311999999999</v>
      </c>
      <c r="J1691">
        <v>-122.291901</v>
      </c>
      <c r="K1691" t="s">
        <v>3936</v>
      </c>
      <c r="L1691" t="s">
        <v>3946</v>
      </c>
      <c r="M1691" t="s">
        <v>5575</v>
      </c>
      <c r="P1691" t="s">
        <v>2385</v>
      </c>
    </row>
    <row r="1692" spans="1:16" x14ac:dyDescent="0.2">
      <c r="A1692" t="s">
        <v>2047</v>
      </c>
      <c r="B1692" t="s">
        <v>2386</v>
      </c>
      <c r="C1692" t="s">
        <v>66</v>
      </c>
      <c r="D1692" t="s">
        <v>2307</v>
      </c>
      <c r="E1692">
        <v>98199</v>
      </c>
      <c r="F1692" t="s">
        <v>1716</v>
      </c>
      <c r="G1692" t="s">
        <v>1987</v>
      </c>
      <c r="H1692" t="s">
        <v>5061</v>
      </c>
      <c r="I1692">
        <v>47.645246</v>
      </c>
      <c r="J1692">
        <v>-122.382678</v>
      </c>
      <c r="K1692" t="s">
        <v>3936</v>
      </c>
      <c r="L1692" t="s">
        <v>3946</v>
      </c>
      <c r="M1692" t="s">
        <v>5575</v>
      </c>
      <c r="P1692" t="s">
        <v>2386</v>
      </c>
    </row>
    <row r="1693" spans="1:16" x14ac:dyDescent="0.2">
      <c r="A1693" t="s">
        <v>2048</v>
      </c>
      <c r="B1693" t="s">
        <v>2387</v>
      </c>
      <c r="C1693" t="s">
        <v>66</v>
      </c>
      <c r="D1693" t="s">
        <v>2307</v>
      </c>
      <c r="E1693">
        <v>98122</v>
      </c>
      <c r="F1693" t="s">
        <v>1573</v>
      </c>
      <c r="G1693" t="s">
        <v>2014</v>
      </c>
      <c r="H1693" t="s">
        <v>4298</v>
      </c>
      <c r="I1693">
        <v>47.607754</v>
      </c>
      <c r="J1693">
        <v>-122.302904</v>
      </c>
      <c r="K1693" t="s">
        <v>3936</v>
      </c>
      <c r="L1693" t="s">
        <v>3946</v>
      </c>
      <c r="M1693" t="s">
        <v>5575</v>
      </c>
      <c r="P1693" t="s">
        <v>2387</v>
      </c>
    </row>
    <row r="1694" spans="1:16" x14ac:dyDescent="0.2">
      <c r="A1694" t="s">
        <v>2018</v>
      </c>
      <c r="B1694" t="s">
        <v>2388</v>
      </c>
      <c r="C1694" t="s">
        <v>66</v>
      </c>
      <c r="D1694" t="s">
        <v>2307</v>
      </c>
      <c r="E1694">
        <v>98104</v>
      </c>
      <c r="F1694" t="s">
        <v>2019</v>
      </c>
      <c r="G1694" t="s">
        <v>1991</v>
      </c>
      <c r="H1694" t="s">
        <v>5459</v>
      </c>
      <c r="I1694">
        <v>47.597276999999998</v>
      </c>
      <c r="J1694">
        <v>-122.327865</v>
      </c>
      <c r="K1694" t="s">
        <v>3936</v>
      </c>
      <c r="L1694" t="s">
        <v>3946</v>
      </c>
      <c r="M1694" t="s">
        <v>5575</v>
      </c>
      <c r="P1694" t="s">
        <v>2388</v>
      </c>
    </row>
    <row r="1695" spans="1:16" x14ac:dyDescent="0.2">
      <c r="A1695" t="s">
        <v>2049</v>
      </c>
      <c r="B1695" t="s">
        <v>2389</v>
      </c>
      <c r="C1695" t="s">
        <v>66</v>
      </c>
      <c r="D1695" t="s">
        <v>2307</v>
      </c>
      <c r="E1695">
        <v>98107</v>
      </c>
      <c r="F1695" t="s">
        <v>1583</v>
      </c>
      <c r="G1695" t="s">
        <v>1980</v>
      </c>
      <c r="H1695" t="s">
        <v>5358</v>
      </c>
      <c r="I1695">
        <v>47.659042999999997</v>
      </c>
      <c r="J1695">
        <v>-122.364744</v>
      </c>
      <c r="K1695" t="s">
        <v>3936</v>
      </c>
      <c r="L1695" t="s">
        <v>3946</v>
      </c>
      <c r="M1695" t="s">
        <v>5575</v>
      </c>
      <c r="P1695" t="s">
        <v>2389</v>
      </c>
    </row>
    <row r="1696" spans="1:16" x14ac:dyDescent="0.2">
      <c r="A1696" t="s">
        <v>2011</v>
      </c>
      <c r="B1696" t="s">
        <v>2390</v>
      </c>
      <c r="C1696" t="s">
        <v>66</v>
      </c>
      <c r="D1696" t="s">
        <v>2307</v>
      </c>
      <c r="E1696">
        <v>98105</v>
      </c>
      <c r="F1696" t="s">
        <v>1573</v>
      </c>
      <c r="G1696" t="s">
        <v>1986</v>
      </c>
      <c r="H1696" t="s">
        <v>4299</v>
      </c>
      <c r="I1696">
        <v>47.658651999999996</v>
      </c>
      <c r="J1696">
        <v>-122.313378</v>
      </c>
      <c r="K1696" t="s">
        <v>3936</v>
      </c>
      <c r="L1696" t="s">
        <v>3946</v>
      </c>
      <c r="M1696" t="s">
        <v>5575</v>
      </c>
      <c r="P1696" t="s">
        <v>2390</v>
      </c>
    </row>
    <row r="1697" spans="1:16" x14ac:dyDescent="0.2">
      <c r="A1697" t="s">
        <v>2011</v>
      </c>
      <c r="B1697" t="s">
        <v>2391</v>
      </c>
      <c r="C1697" t="s">
        <v>66</v>
      </c>
      <c r="D1697" t="s">
        <v>2307</v>
      </c>
      <c r="E1697">
        <v>98105</v>
      </c>
      <c r="F1697" t="s">
        <v>1573</v>
      </c>
      <c r="G1697" t="s">
        <v>1986</v>
      </c>
      <c r="H1697" t="s">
        <v>4300</v>
      </c>
      <c r="I1697">
        <v>47.660432999999998</v>
      </c>
      <c r="J1697">
        <v>-122.317556</v>
      </c>
      <c r="K1697" t="s">
        <v>3936</v>
      </c>
      <c r="L1697" t="s">
        <v>3946</v>
      </c>
      <c r="M1697" t="s">
        <v>5575</v>
      </c>
      <c r="P1697" t="s">
        <v>2391</v>
      </c>
    </row>
    <row r="1698" spans="1:16" x14ac:dyDescent="0.2">
      <c r="A1698" t="s">
        <v>2048</v>
      </c>
      <c r="B1698" t="s">
        <v>2392</v>
      </c>
      <c r="C1698" t="s">
        <v>66</v>
      </c>
      <c r="D1698" t="s">
        <v>2307</v>
      </c>
      <c r="E1698">
        <v>98199</v>
      </c>
      <c r="F1698" t="s">
        <v>1573</v>
      </c>
      <c r="G1698" t="s">
        <v>2014</v>
      </c>
      <c r="H1698" t="s">
        <v>4301</v>
      </c>
      <c r="I1698">
        <v>47.648527999999999</v>
      </c>
      <c r="J1698">
        <v>-122.382121</v>
      </c>
      <c r="K1698" t="s">
        <v>3936</v>
      </c>
      <c r="L1698" t="s">
        <v>3946</v>
      </c>
      <c r="M1698" t="s">
        <v>5575</v>
      </c>
      <c r="P1698" t="s">
        <v>2392</v>
      </c>
    </row>
    <row r="1699" spans="1:16" x14ac:dyDescent="0.2">
      <c r="A1699" t="s">
        <v>2013</v>
      </c>
      <c r="B1699" t="s">
        <v>2393</v>
      </c>
      <c r="C1699" t="s">
        <v>66</v>
      </c>
      <c r="D1699" t="s">
        <v>2307</v>
      </c>
      <c r="E1699">
        <v>98103</v>
      </c>
      <c r="F1699" t="s">
        <v>1716</v>
      </c>
      <c r="G1699" t="s">
        <v>2000</v>
      </c>
      <c r="H1699" t="s">
        <v>4302</v>
      </c>
      <c r="I1699">
        <v>47.664276999999998</v>
      </c>
      <c r="J1699">
        <v>-122.34146</v>
      </c>
      <c r="K1699" t="s">
        <v>3936</v>
      </c>
      <c r="L1699" t="s">
        <v>3946</v>
      </c>
      <c r="M1699" t="s">
        <v>5575</v>
      </c>
      <c r="P1699" t="s">
        <v>2393</v>
      </c>
    </row>
    <row r="1700" spans="1:16" x14ac:dyDescent="0.2">
      <c r="A1700" t="s">
        <v>2051</v>
      </c>
      <c r="B1700" t="s">
        <v>2394</v>
      </c>
      <c r="C1700" t="s">
        <v>66</v>
      </c>
      <c r="D1700" t="s">
        <v>2307</v>
      </c>
      <c r="E1700">
        <v>98105</v>
      </c>
      <c r="F1700" t="s">
        <v>1600</v>
      </c>
      <c r="G1700" t="s">
        <v>2052</v>
      </c>
      <c r="H1700" t="s">
        <v>4303</v>
      </c>
      <c r="I1700">
        <v>47.659945999999998</v>
      </c>
      <c r="J1700">
        <v>-122.31333100000001</v>
      </c>
      <c r="K1700" t="s">
        <v>3936</v>
      </c>
      <c r="L1700" t="s">
        <v>3946</v>
      </c>
      <c r="M1700" t="s">
        <v>5575</v>
      </c>
      <c r="P1700" t="s">
        <v>2394</v>
      </c>
    </row>
    <row r="1701" spans="1:16" x14ac:dyDescent="0.2">
      <c r="A1701" t="s">
        <v>2053</v>
      </c>
      <c r="B1701" t="s">
        <v>2395</v>
      </c>
      <c r="C1701" t="s">
        <v>66</v>
      </c>
      <c r="D1701" t="s">
        <v>2307</v>
      </c>
      <c r="E1701">
        <v>98122</v>
      </c>
      <c r="F1701" t="s">
        <v>1573</v>
      </c>
      <c r="G1701" t="s">
        <v>1969</v>
      </c>
      <c r="H1701" t="s">
        <v>4944</v>
      </c>
      <c r="I1701">
        <v>47.601823000000003</v>
      </c>
      <c r="J1701">
        <v>-122.3073</v>
      </c>
      <c r="K1701" t="s">
        <v>3936</v>
      </c>
      <c r="L1701" t="s">
        <v>3946</v>
      </c>
      <c r="M1701" t="s">
        <v>5575</v>
      </c>
      <c r="P1701" t="s">
        <v>2395</v>
      </c>
    </row>
    <row r="1702" spans="1:16" x14ac:dyDescent="0.2">
      <c r="A1702" t="s">
        <v>2040</v>
      </c>
      <c r="B1702" t="s">
        <v>2396</v>
      </c>
      <c r="C1702" t="s">
        <v>66</v>
      </c>
      <c r="D1702" t="s">
        <v>2307</v>
      </c>
      <c r="E1702">
        <v>98105</v>
      </c>
      <c r="F1702" t="s">
        <v>1600</v>
      </c>
      <c r="G1702" t="s">
        <v>2005</v>
      </c>
      <c r="H1702" t="s">
        <v>4304</v>
      </c>
      <c r="I1702">
        <v>47.661200999999998</v>
      </c>
      <c r="J1702">
        <v>-122.314072</v>
      </c>
      <c r="K1702" t="s">
        <v>3936</v>
      </c>
      <c r="L1702" t="s">
        <v>3946</v>
      </c>
      <c r="M1702" t="s">
        <v>5575</v>
      </c>
      <c r="P1702" t="s">
        <v>2396</v>
      </c>
    </row>
    <row r="1703" spans="1:16" x14ac:dyDescent="0.2">
      <c r="A1703" t="s">
        <v>2018</v>
      </c>
      <c r="B1703" t="s">
        <v>2397</v>
      </c>
      <c r="C1703" t="s">
        <v>66</v>
      </c>
      <c r="D1703" t="s">
        <v>2307</v>
      </c>
      <c r="E1703">
        <v>98105</v>
      </c>
      <c r="F1703" t="s">
        <v>1600</v>
      </c>
      <c r="G1703" t="s">
        <v>2027</v>
      </c>
      <c r="H1703" t="s">
        <v>5460</v>
      </c>
      <c r="I1703">
        <v>47.661476999999998</v>
      </c>
      <c r="J1703">
        <v>-122.314413</v>
      </c>
      <c r="K1703" t="s">
        <v>3936</v>
      </c>
      <c r="L1703" t="s">
        <v>3946</v>
      </c>
      <c r="M1703" t="s">
        <v>5575</v>
      </c>
      <c r="P1703" t="s">
        <v>2397</v>
      </c>
    </row>
    <row r="1704" spans="1:16" x14ac:dyDescent="0.2">
      <c r="A1704" t="s">
        <v>2054</v>
      </c>
      <c r="B1704" t="s">
        <v>2398</v>
      </c>
      <c r="C1704" t="s">
        <v>66</v>
      </c>
      <c r="D1704" t="s">
        <v>2307</v>
      </c>
      <c r="E1704">
        <v>98122</v>
      </c>
      <c r="F1704" t="s">
        <v>1716</v>
      </c>
      <c r="G1704" t="s">
        <v>1989</v>
      </c>
      <c r="H1704" t="s">
        <v>4305</v>
      </c>
      <c r="I1704">
        <v>47.608069999999998</v>
      </c>
      <c r="J1704">
        <v>-122.296679</v>
      </c>
      <c r="K1704" t="s">
        <v>3936</v>
      </c>
      <c r="L1704" t="s">
        <v>3946</v>
      </c>
      <c r="M1704" t="s">
        <v>5575</v>
      </c>
      <c r="P1704" t="s">
        <v>2398</v>
      </c>
    </row>
    <row r="1705" spans="1:16" x14ac:dyDescent="0.2">
      <c r="A1705" t="s">
        <v>2055</v>
      </c>
      <c r="B1705" t="s">
        <v>2399</v>
      </c>
      <c r="C1705" t="s">
        <v>66</v>
      </c>
      <c r="D1705" t="s">
        <v>2307</v>
      </c>
      <c r="E1705">
        <v>98144</v>
      </c>
      <c r="F1705" t="s">
        <v>2039</v>
      </c>
      <c r="G1705" t="s">
        <v>2056</v>
      </c>
      <c r="H1705" t="s">
        <v>4306</v>
      </c>
      <c r="I1705">
        <v>47.599376999999997</v>
      </c>
      <c r="J1705">
        <v>-122.30992000000001</v>
      </c>
      <c r="K1705" t="s">
        <v>3936</v>
      </c>
      <c r="L1705" t="s">
        <v>3946</v>
      </c>
      <c r="M1705" t="s">
        <v>5575</v>
      </c>
      <c r="P1705" t="s">
        <v>2399</v>
      </c>
    </row>
    <row r="1706" spans="1:16" x14ac:dyDescent="0.2">
      <c r="A1706" t="s">
        <v>2057</v>
      </c>
      <c r="B1706" t="s">
        <v>2400</v>
      </c>
      <c r="C1706" t="s">
        <v>66</v>
      </c>
      <c r="D1706" t="s">
        <v>2307</v>
      </c>
      <c r="E1706">
        <v>98105</v>
      </c>
      <c r="F1706" t="s">
        <v>2044</v>
      </c>
      <c r="G1706" t="s">
        <v>1990</v>
      </c>
      <c r="H1706" t="s">
        <v>5322</v>
      </c>
      <c r="I1706">
        <v>47.661752</v>
      </c>
      <c r="J1706">
        <v>-122.31290199999999</v>
      </c>
      <c r="K1706" t="s">
        <v>3936</v>
      </c>
      <c r="L1706" t="s">
        <v>3946</v>
      </c>
      <c r="M1706" t="s">
        <v>5575</v>
      </c>
      <c r="P1706" t="s">
        <v>2400</v>
      </c>
    </row>
    <row r="1707" spans="1:16" x14ac:dyDescent="0.2">
      <c r="A1707" t="s">
        <v>2058</v>
      </c>
      <c r="B1707" t="s">
        <v>2401</v>
      </c>
      <c r="C1707" t="s">
        <v>66</v>
      </c>
      <c r="D1707" t="s">
        <v>2307</v>
      </c>
      <c r="E1707">
        <v>98105</v>
      </c>
      <c r="F1707" t="s">
        <v>1716</v>
      </c>
      <c r="G1707" t="s">
        <v>1995</v>
      </c>
      <c r="H1707" t="s">
        <v>4307</v>
      </c>
      <c r="I1707">
        <v>47.663637999999999</v>
      </c>
      <c r="J1707">
        <v>-122.313276</v>
      </c>
      <c r="K1707" t="s">
        <v>3936</v>
      </c>
      <c r="L1707" t="s">
        <v>3946</v>
      </c>
      <c r="M1707" t="s">
        <v>5575</v>
      </c>
      <c r="P1707" t="s">
        <v>2401</v>
      </c>
    </row>
    <row r="1708" spans="1:16" x14ac:dyDescent="0.2">
      <c r="A1708" t="s">
        <v>2018</v>
      </c>
      <c r="B1708" t="s">
        <v>2402</v>
      </c>
      <c r="C1708" t="s">
        <v>66</v>
      </c>
      <c r="D1708" t="s">
        <v>2307</v>
      </c>
      <c r="E1708">
        <v>98105</v>
      </c>
      <c r="F1708" t="s">
        <v>2019</v>
      </c>
      <c r="G1708" t="s">
        <v>1991</v>
      </c>
      <c r="H1708" t="s">
        <v>5461</v>
      </c>
      <c r="I1708">
        <v>47.663293000000003</v>
      </c>
      <c r="J1708">
        <v>-122.312878</v>
      </c>
      <c r="K1708" t="s">
        <v>3936</v>
      </c>
      <c r="L1708" t="s">
        <v>3946</v>
      </c>
      <c r="M1708" t="s">
        <v>5575</v>
      </c>
      <c r="P1708" t="s">
        <v>2402</v>
      </c>
    </row>
    <row r="1709" spans="1:16" x14ac:dyDescent="0.2">
      <c r="A1709" t="s">
        <v>2032</v>
      </c>
      <c r="B1709" t="s">
        <v>2403</v>
      </c>
      <c r="C1709" t="s">
        <v>66</v>
      </c>
      <c r="D1709" t="s">
        <v>2307</v>
      </c>
      <c r="E1709">
        <v>98122</v>
      </c>
      <c r="F1709" t="s">
        <v>1658</v>
      </c>
      <c r="G1709" t="s">
        <v>2033</v>
      </c>
      <c r="H1709" t="s">
        <v>5062</v>
      </c>
      <c r="I1709">
        <v>47.611761000000001</v>
      </c>
      <c r="J1709">
        <v>-122.28948200000001</v>
      </c>
      <c r="K1709" t="s">
        <v>3936</v>
      </c>
      <c r="L1709" t="s">
        <v>3946</v>
      </c>
      <c r="M1709" t="s">
        <v>5575</v>
      </c>
      <c r="P1709" t="s">
        <v>2403</v>
      </c>
    </row>
    <row r="1710" spans="1:16" x14ac:dyDescent="0.2">
      <c r="A1710" t="s">
        <v>2059</v>
      </c>
      <c r="B1710" t="s">
        <v>2404</v>
      </c>
      <c r="C1710" t="s">
        <v>66</v>
      </c>
      <c r="D1710" t="s">
        <v>2307</v>
      </c>
      <c r="E1710">
        <v>98105</v>
      </c>
      <c r="F1710" t="s">
        <v>1600</v>
      </c>
      <c r="G1710" t="s">
        <v>2135</v>
      </c>
      <c r="H1710" t="s">
        <v>5834</v>
      </c>
      <c r="I1710">
        <v>47.663981</v>
      </c>
      <c r="J1710">
        <v>-122.31327400000001</v>
      </c>
      <c r="K1710" t="s">
        <v>3936</v>
      </c>
      <c r="L1710" t="s">
        <v>3946</v>
      </c>
      <c r="M1710" t="s">
        <v>5575</v>
      </c>
      <c r="P1710" t="s">
        <v>2404</v>
      </c>
    </row>
    <row r="1711" spans="1:16" x14ac:dyDescent="0.2">
      <c r="A1711" t="s">
        <v>2061</v>
      </c>
      <c r="B1711" t="s">
        <v>2405</v>
      </c>
      <c r="C1711" t="s">
        <v>66</v>
      </c>
      <c r="D1711" t="s">
        <v>2307</v>
      </c>
      <c r="E1711">
        <v>98105</v>
      </c>
      <c r="F1711" t="s">
        <v>1716</v>
      </c>
      <c r="G1711" t="s">
        <v>1981</v>
      </c>
      <c r="H1711" t="s">
        <v>4945</v>
      </c>
      <c r="I1711">
        <v>47.665615000000003</v>
      </c>
      <c r="J1711">
        <v>-122.31723</v>
      </c>
      <c r="K1711" t="s">
        <v>3936</v>
      </c>
      <c r="L1711" t="s">
        <v>3946</v>
      </c>
      <c r="M1711" t="s">
        <v>5575</v>
      </c>
      <c r="P1711" t="s">
        <v>2405</v>
      </c>
    </row>
    <row r="1712" spans="1:16" x14ac:dyDescent="0.2">
      <c r="A1712" t="s">
        <v>2062</v>
      </c>
      <c r="B1712" t="s">
        <v>2406</v>
      </c>
      <c r="C1712" t="s">
        <v>66</v>
      </c>
      <c r="D1712" t="s">
        <v>2307</v>
      </c>
      <c r="E1712">
        <v>98105</v>
      </c>
      <c r="F1712" t="s">
        <v>1602</v>
      </c>
      <c r="G1712" t="s">
        <v>1995</v>
      </c>
      <c r="H1712" t="s">
        <v>4308</v>
      </c>
      <c r="I1712">
        <v>47.664802999999999</v>
      </c>
      <c r="J1712">
        <v>-122.312911</v>
      </c>
      <c r="K1712" t="s">
        <v>3936</v>
      </c>
      <c r="L1712" t="s">
        <v>3946</v>
      </c>
      <c r="M1712" t="s">
        <v>5575</v>
      </c>
      <c r="P1712" t="s">
        <v>2406</v>
      </c>
    </row>
    <row r="1713" spans="1:16" x14ac:dyDescent="0.2">
      <c r="A1713" t="s">
        <v>2059</v>
      </c>
      <c r="B1713" t="s">
        <v>2407</v>
      </c>
      <c r="C1713" t="s">
        <v>66</v>
      </c>
      <c r="D1713" t="s">
        <v>2307</v>
      </c>
      <c r="E1713">
        <v>98107</v>
      </c>
      <c r="F1713" t="s">
        <v>1600</v>
      </c>
      <c r="G1713" t="s">
        <v>2063</v>
      </c>
      <c r="H1713" t="s">
        <v>5835</v>
      </c>
      <c r="I1713">
        <v>47.663589000000002</v>
      </c>
      <c r="J1713">
        <v>-122.370654</v>
      </c>
      <c r="K1713" t="s">
        <v>3936</v>
      </c>
      <c r="L1713" t="s">
        <v>3946</v>
      </c>
      <c r="M1713" t="s">
        <v>5575</v>
      </c>
      <c r="P1713" t="s">
        <v>2407</v>
      </c>
    </row>
    <row r="1714" spans="1:16" x14ac:dyDescent="0.2">
      <c r="A1714" t="s">
        <v>2030</v>
      </c>
      <c r="B1714" t="s">
        <v>2408</v>
      </c>
      <c r="C1714" t="s">
        <v>66</v>
      </c>
      <c r="D1714" t="s">
        <v>2307</v>
      </c>
      <c r="E1714">
        <v>98105</v>
      </c>
      <c r="F1714" t="s">
        <v>1600</v>
      </c>
      <c r="G1714" t="s">
        <v>1984</v>
      </c>
      <c r="H1714" t="s">
        <v>5361</v>
      </c>
      <c r="I1714">
        <v>47.666521000000003</v>
      </c>
      <c r="J1714">
        <v>-122.317331</v>
      </c>
      <c r="K1714" t="s">
        <v>3936</v>
      </c>
      <c r="L1714" t="s">
        <v>3946</v>
      </c>
      <c r="M1714" t="s">
        <v>5575</v>
      </c>
      <c r="P1714" t="s">
        <v>2408</v>
      </c>
    </row>
    <row r="1715" spans="1:16" x14ac:dyDescent="0.2">
      <c r="A1715" t="s">
        <v>2011</v>
      </c>
      <c r="B1715" t="s">
        <v>2409</v>
      </c>
      <c r="C1715" t="s">
        <v>66</v>
      </c>
      <c r="D1715" t="s">
        <v>2307</v>
      </c>
      <c r="E1715">
        <v>98144</v>
      </c>
      <c r="F1715" t="s">
        <v>1573</v>
      </c>
      <c r="G1715" t="s">
        <v>1986</v>
      </c>
      <c r="H1715" t="s">
        <v>4309</v>
      </c>
      <c r="I1715">
        <v>47.599218</v>
      </c>
      <c r="J1715">
        <v>-122.302172</v>
      </c>
      <c r="K1715" t="s">
        <v>3936</v>
      </c>
      <c r="L1715" t="s">
        <v>3946</v>
      </c>
      <c r="M1715" t="s">
        <v>5575</v>
      </c>
      <c r="P1715" t="s">
        <v>5725</v>
      </c>
    </row>
    <row r="1716" spans="1:16" x14ac:dyDescent="0.2">
      <c r="A1716" t="s">
        <v>2116</v>
      </c>
      <c r="B1716" t="s">
        <v>5063</v>
      </c>
      <c r="C1716" t="s">
        <v>66</v>
      </c>
      <c r="D1716" t="s">
        <v>2307</v>
      </c>
      <c r="E1716">
        <v>98134</v>
      </c>
      <c r="F1716" t="s">
        <v>1716</v>
      </c>
      <c r="G1716" t="s">
        <v>2000</v>
      </c>
      <c r="H1716" t="s">
        <v>5064</v>
      </c>
      <c r="I1716">
        <v>47.591178999999997</v>
      </c>
      <c r="J1716">
        <v>-122.331017</v>
      </c>
      <c r="K1716" t="s">
        <v>3936</v>
      </c>
      <c r="L1716" t="s">
        <v>3946</v>
      </c>
      <c r="M1716" t="s">
        <v>5575</v>
      </c>
      <c r="P1716" t="s">
        <v>5063</v>
      </c>
    </row>
    <row r="1717" spans="1:16" x14ac:dyDescent="0.2">
      <c r="A1717" t="s">
        <v>2064</v>
      </c>
      <c r="B1717" t="s">
        <v>2410</v>
      </c>
      <c r="C1717" t="s">
        <v>66</v>
      </c>
      <c r="D1717" t="s">
        <v>2307</v>
      </c>
      <c r="E1717">
        <v>98199</v>
      </c>
      <c r="F1717" t="s">
        <v>1716</v>
      </c>
      <c r="G1717" t="s">
        <v>1990</v>
      </c>
      <c r="H1717" t="s">
        <v>5065</v>
      </c>
      <c r="I1717">
        <v>47.639411000000003</v>
      </c>
      <c r="J1717">
        <v>-122.39724699999999</v>
      </c>
      <c r="K1717" t="s">
        <v>3936</v>
      </c>
      <c r="L1717" t="s">
        <v>3946</v>
      </c>
      <c r="M1717" t="s">
        <v>5575</v>
      </c>
      <c r="P1717" t="s">
        <v>2410</v>
      </c>
    </row>
    <row r="1718" spans="1:16" x14ac:dyDescent="0.2">
      <c r="A1718" t="s">
        <v>2018</v>
      </c>
      <c r="B1718" t="s">
        <v>2411</v>
      </c>
      <c r="C1718" t="s">
        <v>66</v>
      </c>
      <c r="D1718" t="s">
        <v>2307</v>
      </c>
      <c r="E1718">
        <v>98112</v>
      </c>
      <c r="F1718" t="s">
        <v>2019</v>
      </c>
      <c r="G1718" t="s">
        <v>1991</v>
      </c>
      <c r="H1718" t="s">
        <v>5158</v>
      </c>
      <c r="I1718">
        <v>47.633983000000001</v>
      </c>
      <c r="J1718">
        <v>-122.280924</v>
      </c>
      <c r="K1718" t="s">
        <v>3936</v>
      </c>
      <c r="L1718" t="s">
        <v>3946</v>
      </c>
      <c r="M1718" t="s">
        <v>5575</v>
      </c>
      <c r="P1718" t="s">
        <v>2411</v>
      </c>
    </row>
    <row r="1719" spans="1:16" x14ac:dyDescent="0.2">
      <c r="A1719" t="s">
        <v>2018</v>
      </c>
      <c r="B1719" t="s">
        <v>2412</v>
      </c>
      <c r="C1719" t="s">
        <v>66</v>
      </c>
      <c r="D1719" t="s">
        <v>2307</v>
      </c>
      <c r="E1719">
        <v>98199</v>
      </c>
      <c r="F1719" t="s">
        <v>2019</v>
      </c>
      <c r="G1719" t="s">
        <v>1991</v>
      </c>
      <c r="H1719" t="s">
        <v>5159</v>
      </c>
      <c r="I1719">
        <v>47.63937</v>
      </c>
      <c r="J1719">
        <v>-122.398735</v>
      </c>
      <c r="K1719" t="s">
        <v>3936</v>
      </c>
      <c r="L1719" t="s">
        <v>3946</v>
      </c>
      <c r="M1719" t="s">
        <v>5575</v>
      </c>
      <c r="P1719" t="s">
        <v>2412</v>
      </c>
    </row>
    <row r="1720" spans="1:16" x14ac:dyDescent="0.2">
      <c r="A1720" t="s">
        <v>2011</v>
      </c>
      <c r="B1720" t="s">
        <v>2413</v>
      </c>
      <c r="C1720" t="s">
        <v>66</v>
      </c>
      <c r="D1720" t="s">
        <v>2307</v>
      </c>
      <c r="E1720">
        <v>98199</v>
      </c>
      <c r="F1720" t="s">
        <v>1573</v>
      </c>
      <c r="G1720" t="s">
        <v>1986</v>
      </c>
      <c r="H1720" t="s">
        <v>4310</v>
      </c>
      <c r="I1720">
        <v>47.639702</v>
      </c>
      <c r="J1720">
        <v>-122.40003400000001</v>
      </c>
      <c r="K1720" t="s">
        <v>3936</v>
      </c>
      <c r="L1720" t="s">
        <v>3946</v>
      </c>
      <c r="M1720" t="s">
        <v>5575</v>
      </c>
      <c r="P1720" t="s">
        <v>2413</v>
      </c>
    </row>
    <row r="1721" spans="1:16" x14ac:dyDescent="0.2">
      <c r="A1721" t="s">
        <v>2065</v>
      </c>
      <c r="B1721" t="s">
        <v>2414</v>
      </c>
      <c r="C1721" t="s">
        <v>66</v>
      </c>
      <c r="D1721" t="s">
        <v>2307</v>
      </c>
      <c r="E1721">
        <v>98105</v>
      </c>
      <c r="F1721" t="s">
        <v>1583</v>
      </c>
      <c r="G1721" t="s">
        <v>1980</v>
      </c>
      <c r="H1721" t="s">
        <v>5362</v>
      </c>
      <c r="I1721">
        <v>47.667625000000001</v>
      </c>
      <c r="J1721">
        <v>-122.313242</v>
      </c>
      <c r="K1721" t="s">
        <v>3936</v>
      </c>
      <c r="L1721" t="s">
        <v>3946</v>
      </c>
      <c r="M1721" t="s">
        <v>5575</v>
      </c>
      <c r="P1721" t="s">
        <v>2414</v>
      </c>
    </row>
    <row r="1722" spans="1:16" x14ac:dyDescent="0.2">
      <c r="A1722" t="s">
        <v>2007</v>
      </c>
      <c r="B1722" t="s">
        <v>2415</v>
      </c>
      <c r="C1722" t="s">
        <v>66</v>
      </c>
      <c r="D1722" t="s">
        <v>2307</v>
      </c>
      <c r="E1722">
        <v>98105</v>
      </c>
      <c r="F1722" t="s">
        <v>1658</v>
      </c>
      <c r="G1722" t="s">
        <v>2066</v>
      </c>
      <c r="H1722" t="s">
        <v>5836</v>
      </c>
      <c r="I1722">
        <v>47.661409999999997</v>
      </c>
      <c r="J1722">
        <v>-122.295642</v>
      </c>
      <c r="K1722" t="s">
        <v>3936</v>
      </c>
      <c r="L1722" t="s">
        <v>3946</v>
      </c>
      <c r="M1722" t="s">
        <v>5575</v>
      </c>
      <c r="P1722" t="s">
        <v>2415</v>
      </c>
    </row>
    <row r="1723" spans="1:16" x14ac:dyDescent="0.2">
      <c r="A1723" t="s">
        <v>2015</v>
      </c>
      <c r="B1723" t="s">
        <v>2416</v>
      </c>
      <c r="C1723" t="s">
        <v>66</v>
      </c>
      <c r="D1723" t="s">
        <v>2307</v>
      </c>
      <c r="E1723">
        <v>98105</v>
      </c>
      <c r="F1723" t="s">
        <v>1573</v>
      </c>
      <c r="G1723" t="s">
        <v>1999</v>
      </c>
      <c r="H1723" t="s">
        <v>5242</v>
      </c>
      <c r="I1723">
        <v>47.664990000000003</v>
      </c>
      <c r="J1723">
        <v>-122.30103800000001</v>
      </c>
      <c r="K1723" t="s">
        <v>3936</v>
      </c>
      <c r="L1723" t="s">
        <v>3946</v>
      </c>
      <c r="M1723" t="s">
        <v>5575</v>
      </c>
      <c r="P1723" t="s">
        <v>6093</v>
      </c>
    </row>
    <row r="1724" spans="1:16" x14ac:dyDescent="0.2">
      <c r="A1724" t="s">
        <v>2059</v>
      </c>
      <c r="B1724" t="s">
        <v>2417</v>
      </c>
      <c r="C1724" t="s">
        <v>66</v>
      </c>
      <c r="D1724" t="s">
        <v>2307</v>
      </c>
      <c r="E1724">
        <v>98134</v>
      </c>
      <c r="F1724" t="s">
        <v>1573</v>
      </c>
      <c r="G1724" t="s">
        <v>2067</v>
      </c>
      <c r="H1724" t="s">
        <v>5243</v>
      </c>
      <c r="I1724">
        <v>47.586067999999997</v>
      </c>
      <c r="J1724">
        <v>-122.329207</v>
      </c>
      <c r="K1724" t="s">
        <v>3936</v>
      </c>
      <c r="L1724" t="s">
        <v>3946</v>
      </c>
      <c r="M1724" t="s">
        <v>5575</v>
      </c>
      <c r="P1724" t="s">
        <v>2417</v>
      </c>
    </row>
    <row r="1725" spans="1:16" x14ac:dyDescent="0.2">
      <c r="A1725" t="s">
        <v>2018</v>
      </c>
      <c r="B1725" t="s">
        <v>2418</v>
      </c>
      <c r="C1725" t="s">
        <v>66</v>
      </c>
      <c r="D1725" t="s">
        <v>2307</v>
      </c>
      <c r="E1725">
        <v>98105</v>
      </c>
      <c r="F1725" t="s">
        <v>2019</v>
      </c>
      <c r="G1725" t="s">
        <v>1991</v>
      </c>
      <c r="H1725" t="s">
        <v>4966</v>
      </c>
      <c r="I1725">
        <v>47.661409999999997</v>
      </c>
      <c r="J1725">
        <v>-122.293308</v>
      </c>
      <c r="K1725" t="s">
        <v>3936</v>
      </c>
      <c r="L1725" t="s">
        <v>3946</v>
      </c>
      <c r="M1725" t="s">
        <v>5575</v>
      </c>
      <c r="P1725" t="s">
        <v>2418</v>
      </c>
    </row>
    <row r="1726" spans="1:16" x14ac:dyDescent="0.2">
      <c r="A1726" t="s">
        <v>2011</v>
      </c>
      <c r="B1726" t="s">
        <v>6291</v>
      </c>
      <c r="C1726" t="s">
        <v>66</v>
      </c>
      <c r="D1726" t="s">
        <v>2307</v>
      </c>
      <c r="E1726">
        <v>98107</v>
      </c>
      <c r="F1726" t="s">
        <v>1573</v>
      </c>
      <c r="G1726" t="s">
        <v>1986</v>
      </c>
      <c r="H1726" t="s">
        <v>4311</v>
      </c>
      <c r="I1726">
        <v>47.667248000000001</v>
      </c>
      <c r="J1726">
        <v>-122.376193</v>
      </c>
      <c r="K1726" t="s">
        <v>3936</v>
      </c>
      <c r="L1726" t="s">
        <v>3946</v>
      </c>
      <c r="M1726" t="s">
        <v>5575</v>
      </c>
      <c r="P1726" t="s">
        <v>6094</v>
      </c>
    </row>
    <row r="1727" spans="1:16" x14ac:dyDescent="0.2">
      <c r="A1727" t="s">
        <v>2068</v>
      </c>
      <c r="B1727" t="s">
        <v>2419</v>
      </c>
      <c r="C1727" t="s">
        <v>66</v>
      </c>
      <c r="D1727" t="s">
        <v>2307</v>
      </c>
      <c r="E1727">
        <v>98107</v>
      </c>
      <c r="F1727" t="s">
        <v>1716</v>
      </c>
      <c r="G1727" t="s">
        <v>1974</v>
      </c>
      <c r="H1727" t="s">
        <v>5066</v>
      </c>
      <c r="I1727">
        <v>47.667271999999997</v>
      </c>
      <c r="J1727">
        <v>-122.376304</v>
      </c>
      <c r="K1727" t="s">
        <v>3936</v>
      </c>
      <c r="L1727" t="s">
        <v>3946</v>
      </c>
      <c r="M1727" t="s">
        <v>5575</v>
      </c>
      <c r="P1727" t="s">
        <v>2419</v>
      </c>
    </row>
    <row r="1728" spans="1:16" x14ac:dyDescent="0.2">
      <c r="A1728" t="s">
        <v>2048</v>
      </c>
      <c r="B1728" t="s">
        <v>2420</v>
      </c>
      <c r="C1728" t="s">
        <v>66</v>
      </c>
      <c r="D1728" t="s">
        <v>2307</v>
      </c>
      <c r="E1728">
        <v>98134</v>
      </c>
      <c r="F1728" t="s">
        <v>1573</v>
      </c>
      <c r="G1728" t="s">
        <v>2014</v>
      </c>
      <c r="H1728" t="s">
        <v>4312</v>
      </c>
      <c r="I1728">
        <v>47.583817000000003</v>
      </c>
      <c r="J1728">
        <v>-122.32887100000001</v>
      </c>
      <c r="K1728" t="s">
        <v>3936</v>
      </c>
      <c r="L1728" t="s">
        <v>3946</v>
      </c>
      <c r="M1728" t="s">
        <v>5575</v>
      </c>
      <c r="P1728" t="s">
        <v>2420</v>
      </c>
    </row>
    <row r="1729" spans="1:16" x14ac:dyDescent="0.2">
      <c r="A1729" t="s">
        <v>2069</v>
      </c>
      <c r="B1729" t="s">
        <v>2421</v>
      </c>
      <c r="C1729" t="s">
        <v>66</v>
      </c>
      <c r="D1729" t="s">
        <v>2307</v>
      </c>
      <c r="E1729">
        <v>98115</v>
      </c>
      <c r="F1729" t="s">
        <v>2044</v>
      </c>
      <c r="G1729" t="s">
        <v>1990</v>
      </c>
      <c r="H1729" t="s">
        <v>4313</v>
      </c>
      <c r="I1729">
        <v>47.675314999999998</v>
      </c>
      <c r="J1729">
        <v>-122.325632</v>
      </c>
      <c r="K1729" t="s">
        <v>3936</v>
      </c>
      <c r="L1729" t="s">
        <v>3946</v>
      </c>
      <c r="M1729" t="s">
        <v>5575</v>
      </c>
      <c r="P1729" t="s">
        <v>2421</v>
      </c>
    </row>
    <row r="1730" spans="1:16" x14ac:dyDescent="0.2">
      <c r="A1730" t="s">
        <v>2011</v>
      </c>
      <c r="B1730" t="s">
        <v>6292</v>
      </c>
      <c r="C1730" t="s">
        <v>66</v>
      </c>
      <c r="D1730" t="s">
        <v>2307</v>
      </c>
      <c r="E1730">
        <v>98105</v>
      </c>
      <c r="F1730" t="s">
        <v>1573</v>
      </c>
      <c r="G1730" t="s">
        <v>1986</v>
      </c>
      <c r="H1730" t="s">
        <v>4314</v>
      </c>
      <c r="I1730">
        <v>47.668258999999999</v>
      </c>
      <c r="J1730">
        <v>-122.30083399999999</v>
      </c>
      <c r="K1730" t="s">
        <v>3936</v>
      </c>
      <c r="L1730" t="s">
        <v>3946</v>
      </c>
      <c r="M1730" t="s">
        <v>5575</v>
      </c>
      <c r="P1730" t="s">
        <v>6095</v>
      </c>
    </row>
    <row r="1731" spans="1:16" x14ac:dyDescent="0.2">
      <c r="A1731" t="s">
        <v>2070</v>
      </c>
      <c r="B1731" t="s">
        <v>2422</v>
      </c>
      <c r="C1731" t="s">
        <v>66</v>
      </c>
      <c r="D1731" t="s">
        <v>2307</v>
      </c>
      <c r="E1731">
        <v>98144</v>
      </c>
      <c r="F1731" t="s">
        <v>2197</v>
      </c>
      <c r="G1731" t="s">
        <v>1969</v>
      </c>
      <c r="H1731" t="s">
        <v>4946</v>
      </c>
      <c r="I1731">
        <v>47.592095</v>
      </c>
      <c r="J1731">
        <v>-122.29858</v>
      </c>
      <c r="K1731" t="s">
        <v>3936</v>
      </c>
      <c r="L1731" t="s">
        <v>3946</v>
      </c>
      <c r="M1731" t="s">
        <v>5575</v>
      </c>
      <c r="P1731" t="s">
        <v>2422</v>
      </c>
    </row>
    <row r="1732" spans="1:16" x14ac:dyDescent="0.2">
      <c r="A1732" t="s">
        <v>2013</v>
      </c>
      <c r="B1732" t="s">
        <v>2423</v>
      </c>
      <c r="C1732" t="s">
        <v>66</v>
      </c>
      <c r="D1732" t="s">
        <v>2307</v>
      </c>
      <c r="E1732">
        <v>98105</v>
      </c>
      <c r="F1732" t="s">
        <v>1716</v>
      </c>
      <c r="G1732" t="s">
        <v>2000</v>
      </c>
      <c r="H1732" t="s">
        <v>4315</v>
      </c>
      <c r="I1732">
        <v>47.668711000000002</v>
      </c>
      <c r="J1732">
        <v>-122.300494</v>
      </c>
      <c r="K1732" t="s">
        <v>3936</v>
      </c>
      <c r="L1732" t="s">
        <v>3946</v>
      </c>
      <c r="M1732" t="s">
        <v>5575</v>
      </c>
      <c r="P1732" t="s">
        <v>2423</v>
      </c>
    </row>
    <row r="1733" spans="1:16" x14ac:dyDescent="0.2">
      <c r="A1733" t="s">
        <v>2015</v>
      </c>
      <c r="B1733" t="s">
        <v>2424</v>
      </c>
      <c r="C1733" t="s">
        <v>66</v>
      </c>
      <c r="D1733" t="s">
        <v>2307</v>
      </c>
      <c r="E1733">
        <v>98107</v>
      </c>
      <c r="F1733" t="s">
        <v>1573</v>
      </c>
      <c r="G1733" t="s">
        <v>2071</v>
      </c>
      <c r="H1733" t="s">
        <v>5837</v>
      </c>
      <c r="I1733">
        <v>47.667171000000003</v>
      </c>
      <c r="J1733">
        <v>-122.382514</v>
      </c>
      <c r="K1733" t="s">
        <v>3936</v>
      </c>
      <c r="L1733" t="s">
        <v>3946</v>
      </c>
      <c r="M1733" t="s">
        <v>5575</v>
      </c>
      <c r="P1733" t="s">
        <v>2424</v>
      </c>
    </row>
    <row r="1734" spans="1:16" x14ac:dyDescent="0.2">
      <c r="A1734" t="s">
        <v>2072</v>
      </c>
      <c r="B1734" t="s">
        <v>2425</v>
      </c>
      <c r="C1734" t="s">
        <v>66</v>
      </c>
      <c r="D1734" t="s">
        <v>2307</v>
      </c>
      <c r="E1734">
        <v>98144</v>
      </c>
      <c r="F1734" t="s">
        <v>1716</v>
      </c>
      <c r="G1734" t="s">
        <v>2000</v>
      </c>
      <c r="H1734" t="s">
        <v>5364</v>
      </c>
      <c r="I1734">
        <v>47.588121000000001</v>
      </c>
      <c r="J1734">
        <v>-122.305863</v>
      </c>
      <c r="K1734" t="s">
        <v>3936</v>
      </c>
      <c r="L1734" t="s">
        <v>3946</v>
      </c>
      <c r="M1734" t="s">
        <v>5575</v>
      </c>
      <c r="P1734" t="s">
        <v>2425</v>
      </c>
    </row>
    <row r="1735" spans="1:16" x14ac:dyDescent="0.2">
      <c r="A1735" t="s">
        <v>5067</v>
      </c>
      <c r="B1735" t="s">
        <v>5068</v>
      </c>
      <c r="C1735" t="s">
        <v>66</v>
      </c>
      <c r="D1735" t="s">
        <v>2307</v>
      </c>
      <c r="E1735">
        <v>98105</v>
      </c>
      <c r="F1735" t="s">
        <v>2044</v>
      </c>
      <c r="G1735" t="s">
        <v>2005</v>
      </c>
      <c r="H1735" t="s">
        <v>5069</v>
      </c>
      <c r="I1735">
        <v>47.676006000000001</v>
      </c>
      <c r="J1735">
        <v>-122.319844</v>
      </c>
      <c r="K1735" t="s">
        <v>3936</v>
      </c>
      <c r="L1735" t="s">
        <v>3946</v>
      </c>
      <c r="M1735" t="s">
        <v>5575</v>
      </c>
      <c r="P1735" t="s">
        <v>5068</v>
      </c>
    </row>
    <row r="1736" spans="1:16" x14ac:dyDescent="0.2">
      <c r="A1736" t="s">
        <v>2011</v>
      </c>
      <c r="B1736" t="s">
        <v>2426</v>
      </c>
      <c r="C1736" t="s">
        <v>66</v>
      </c>
      <c r="D1736" t="s">
        <v>2307</v>
      </c>
      <c r="E1736">
        <v>98115</v>
      </c>
      <c r="F1736" t="s">
        <v>1573</v>
      </c>
      <c r="G1736" t="s">
        <v>1986</v>
      </c>
      <c r="H1736" t="s">
        <v>4316</v>
      </c>
      <c r="I1736">
        <v>47.675688999999998</v>
      </c>
      <c r="J1736">
        <v>-122.31711300000001</v>
      </c>
      <c r="K1736" t="s">
        <v>3936</v>
      </c>
      <c r="L1736" t="s">
        <v>3946</v>
      </c>
      <c r="M1736" t="s">
        <v>5575</v>
      </c>
      <c r="P1736" t="s">
        <v>2426</v>
      </c>
    </row>
    <row r="1737" spans="1:16" x14ac:dyDescent="0.2">
      <c r="A1737" t="s">
        <v>5070</v>
      </c>
      <c r="B1737" t="s">
        <v>6220</v>
      </c>
      <c r="C1737" t="s">
        <v>66</v>
      </c>
      <c r="D1737" t="s">
        <v>2307</v>
      </c>
      <c r="E1737">
        <v>98115</v>
      </c>
      <c r="F1737" t="s">
        <v>1573</v>
      </c>
      <c r="G1737" t="s">
        <v>5071</v>
      </c>
      <c r="H1737" t="s">
        <v>5072</v>
      </c>
      <c r="I1737">
        <v>47.675958000000001</v>
      </c>
      <c r="J1737">
        <v>-122.3171</v>
      </c>
      <c r="K1737" t="s">
        <v>3936</v>
      </c>
      <c r="L1737" t="s">
        <v>3946</v>
      </c>
      <c r="M1737" t="s">
        <v>5575</v>
      </c>
      <c r="P1737" t="s">
        <v>6022</v>
      </c>
    </row>
    <row r="1738" spans="1:16" x14ac:dyDescent="0.2">
      <c r="A1738" t="s">
        <v>2032</v>
      </c>
      <c r="B1738" t="s">
        <v>2427</v>
      </c>
      <c r="C1738" t="s">
        <v>66</v>
      </c>
      <c r="D1738" t="s">
        <v>2307</v>
      </c>
      <c r="E1738">
        <v>98107</v>
      </c>
      <c r="F1738" t="s">
        <v>1658</v>
      </c>
      <c r="G1738" t="s">
        <v>2033</v>
      </c>
      <c r="H1738" t="s">
        <v>5073</v>
      </c>
      <c r="I1738">
        <v>47.668829000000002</v>
      </c>
      <c r="J1738">
        <v>-122.383572</v>
      </c>
      <c r="K1738" t="s">
        <v>3936</v>
      </c>
      <c r="L1738" t="s">
        <v>3946</v>
      </c>
      <c r="M1738" t="s">
        <v>5575</v>
      </c>
      <c r="P1738" t="s">
        <v>2427</v>
      </c>
    </row>
    <row r="1739" spans="1:16" x14ac:dyDescent="0.2">
      <c r="A1739" t="s">
        <v>2018</v>
      </c>
      <c r="B1739" t="s">
        <v>2428</v>
      </c>
      <c r="C1739" t="s">
        <v>66</v>
      </c>
      <c r="D1739" t="s">
        <v>2307</v>
      </c>
      <c r="E1739">
        <v>98107</v>
      </c>
      <c r="F1739" t="s">
        <v>1600</v>
      </c>
      <c r="G1739" t="s">
        <v>2027</v>
      </c>
      <c r="H1739" t="s">
        <v>5160</v>
      </c>
      <c r="I1739">
        <v>47.66883</v>
      </c>
      <c r="J1739">
        <v>-122.383679</v>
      </c>
      <c r="K1739" t="s">
        <v>3936</v>
      </c>
      <c r="L1739" t="s">
        <v>3946</v>
      </c>
      <c r="M1739" t="s">
        <v>5575</v>
      </c>
      <c r="P1739" t="s">
        <v>2428</v>
      </c>
    </row>
    <row r="1740" spans="1:16" x14ac:dyDescent="0.2">
      <c r="A1740" t="s">
        <v>2011</v>
      </c>
      <c r="B1740" t="s">
        <v>6293</v>
      </c>
      <c r="C1740" t="s">
        <v>66</v>
      </c>
      <c r="D1740" t="s">
        <v>2307</v>
      </c>
      <c r="E1740">
        <v>98115</v>
      </c>
      <c r="F1740" t="s">
        <v>1573</v>
      </c>
      <c r="G1740" t="s">
        <v>1986</v>
      </c>
      <c r="H1740" t="s">
        <v>4318</v>
      </c>
      <c r="I1740">
        <v>47.678334</v>
      </c>
      <c r="J1740">
        <v>-122.327057</v>
      </c>
      <c r="K1740" t="s">
        <v>3936</v>
      </c>
      <c r="L1740" t="s">
        <v>3946</v>
      </c>
      <c r="M1740" t="s">
        <v>5575</v>
      </c>
      <c r="P1740" t="s">
        <v>6097</v>
      </c>
    </row>
    <row r="1741" spans="1:16" x14ac:dyDescent="0.2">
      <c r="A1741" t="s">
        <v>2073</v>
      </c>
      <c r="B1741" t="s">
        <v>2429</v>
      </c>
      <c r="C1741" t="s">
        <v>66</v>
      </c>
      <c r="D1741" t="s">
        <v>2307</v>
      </c>
      <c r="E1741">
        <v>98107</v>
      </c>
      <c r="F1741" t="s">
        <v>1658</v>
      </c>
      <c r="G1741" t="s">
        <v>2074</v>
      </c>
      <c r="H1741" t="s">
        <v>5365</v>
      </c>
      <c r="I1741">
        <v>47.668889999999998</v>
      </c>
      <c r="J1741">
        <v>-122.385124</v>
      </c>
      <c r="K1741" t="s">
        <v>3936</v>
      </c>
      <c r="L1741" t="s">
        <v>3946</v>
      </c>
      <c r="M1741" t="s">
        <v>5575</v>
      </c>
      <c r="P1741" t="s">
        <v>2429</v>
      </c>
    </row>
    <row r="1742" spans="1:16" x14ac:dyDescent="0.2">
      <c r="A1742" t="s">
        <v>2075</v>
      </c>
      <c r="B1742" t="s">
        <v>2430</v>
      </c>
      <c r="C1742" t="s">
        <v>66</v>
      </c>
      <c r="D1742" t="s">
        <v>2307</v>
      </c>
      <c r="E1742">
        <v>98107</v>
      </c>
      <c r="F1742" t="s">
        <v>2039</v>
      </c>
      <c r="G1742" t="s">
        <v>1973</v>
      </c>
      <c r="H1742" t="s">
        <v>4319</v>
      </c>
      <c r="I1742">
        <v>47.668889999999998</v>
      </c>
      <c r="J1742">
        <v>-122.385411</v>
      </c>
      <c r="K1742" t="s">
        <v>3936</v>
      </c>
      <c r="L1742" t="s">
        <v>3946</v>
      </c>
      <c r="M1742" t="s">
        <v>5575</v>
      </c>
      <c r="P1742" t="s">
        <v>2430</v>
      </c>
    </row>
    <row r="1743" spans="1:16" x14ac:dyDescent="0.2">
      <c r="A1743" t="s">
        <v>3952</v>
      </c>
      <c r="B1743" t="s">
        <v>2431</v>
      </c>
      <c r="C1743" t="s">
        <v>66</v>
      </c>
      <c r="D1743" t="s">
        <v>2307</v>
      </c>
      <c r="E1743">
        <v>98115</v>
      </c>
      <c r="F1743" t="s">
        <v>1573</v>
      </c>
      <c r="G1743" t="s">
        <v>2014</v>
      </c>
      <c r="H1743" t="s">
        <v>4320</v>
      </c>
      <c r="I1743">
        <v>47.675680999999997</v>
      </c>
      <c r="J1743">
        <v>-122.31178800000001</v>
      </c>
      <c r="K1743" t="s">
        <v>3936</v>
      </c>
      <c r="L1743" t="s">
        <v>3946</v>
      </c>
      <c r="M1743" t="s">
        <v>5575</v>
      </c>
      <c r="P1743" t="s">
        <v>2431</v>
      </c>
    </row>
    <row r="1744" spans="1:16" x14ac:dyDescent="0.2">
      <c r="A1744" t="s">
        <v>2011</v>
      </c>
      <c r="B1744" t="s">
        <v>6294</v>
      </c>
      <c r="C1744" t="s">
        <v>66</v>
      </c>
      <c r="D1744" t="s">
        <v>2307</v>
      </c>
      <c r="E1744">
        <v>98134</v>
      </c>
      <c r="F1744" t="s">
        <v>1573</v>
      </c>
      <c r="G1744" t="s">
        <v>1986</v>
      </c>
      <c r="H1744" t="s">
        <v>4321</v>
      </c>
      <c r="I1744">
        <v>47.579366999999998</v>
      </c>
      <c r="J1744">
        <v>-122.329204</v>
      </c>
      <c r="K1744" t="s">
        <v>3936</v>
      </c>
      <c r="L1744" t="s">
        <v>3946</v>
      </c>
      <c r="M1744" t="s">
        <v>5575</v>
      </c>
      <c r="P1744" t="s">
        <v>6098</v>
      </c>
    </row>
    <row r="1745" spans="1:16" x14ac:dyDescent="0.2">
      <c r="A1745" t="s">
        <v>2076</v>
      </c>
      <c r="B1745" t="s">
        <v>2432</v>
      </c>
      <c r="C1745" t="s">
        <v>66</v>
      </c>
      <c r="D1745" t="s">
        <v>2307</v>
      </c>
      <c r="E1745">
        <v>98144</v>
      </c>
      <c r="F1745" t="s">
        <v>2050</v>
      </c>
      <c r="G1745" t="s">
        <v>1981</v>
      </c>
      <c r="H1745" t="s">
        <v>5074</v>
      </c>
      <c r="I1745">
        <v>47.581470000000003</v>
      </c>
      <c r="J1745">
        <v>-122.314189</v>
      </c>
      <c r="K1745" t="s">
        <v>3936</v>
      </c>
      <c r="L1745" t="s">
        <v>3946</v>
      </c>
      <c r="M1745" t="s">
        <v>5575</v>
      </c>
      <c r="P1745" t="s">
        <v>2432</v>
      </c>
    </row>
    <row r="1746" spans="1:16" x14ac:dyDescent="0.2">
      <c r="A1746" t="s">
        <v>2018</v>
      </c>
      <c r="B1746" t="s">
        <v>2433</v>
      </c>
      <c r="C1746" t="s">
        <v>66</v>
      </c>
      <c r="D1746" t="s">
        <v>2307</v>
      </c>
      <c r="E1746">
        <v>98105</v>
      </c>
      <c r="F1746" t="s">
        <v>1600</v>
      </c>
      <c r="G1746" t="s">
        <v>2027</v>
      </c>
      <c r="H1746" t="s">
        <v>5462</v>
      </c>
      <c r="I1746">
        <v>47.664214000000001</v>
      </c>
      <c r="J1746">
        <v>-122.283288</v>
      </c>
      <c r="K1746" t="s">
        <v>3936</v>
      </c>
      <c r="L1746" t="s">
        <v>3946</v>
      </c>
      <c r="M1746" t="s">
        <v>5575</v>
      </c>
      <c r="P1746" t="s">
        <v>2433</v>
      </c>
    </row>
    <row r="1747" spans="1:16" x14ac:dyDescent="0.2">
      <c r="A1747" t="s">
        <v>2077</v>
      </c>
      <c r="B1747" t="s">
        <v>2434</v>
      </c>
      <c r="C1747" t="s">
        <v>66</v>
      </c>
      <c r="D1747" t="s">
        <v>2307</v>
      </c>
      <c r="E1747">
        <v>98107</v>
      </c>
      <c r="F1747" t="s">
        <v>2050</v>
      </c>
      <c r="G1747" t="s">
        <v>1987</v>
      </c>
      <c r="H1747" t="s">
        <v>4322</v>
      </c>
      <c r="I1747">
        <v>47.675348</v>
      </c>
      <c r="J1747">
        <v>-122.37629200000001</v>
      </c>
      <c r="K1747" t="s">
        <v>3936</v>
      </c>
      <c r="L1747" t="s">
        <v>3946</v>
      </c>
      <c r="M1747" t="s">
        <v>5575</v>
      </c>
      <c r="P1747" t="s">
        <v>2434</v>
      </c>
    </row>
    <row r="1748" spans="1:16" x14ac:dyDescent="0.2">
      <c r="A1748" t="s">
        <v>2078</v>
      </c>
      <c r="B1748" t="s">
        <v>2435</v>
      </c>
      <c r="C1748" t="s">
        <v>66</v>
      </c>
      <c r="D1748" t="s">
        <v>2307</v>
      </c>
      <c r="E1748">
        <v>98115</v>
      </c>
      <c r="F1748" t="s">
        <v>1716</v>
      </c>
      <c r="G1748" t="s">
        <v>1990</v>
      </c>
      <c r="H1748" t="s">
        <v>4323</v>
      </c>
      <c r="I1748">
        <v>47.680740999999998</v>
      </c>
      <c r="J1748">
        <v>-122.324636</v>
      </c>
      <c r="K1748" t="s">
        <v>3936</v>
      </c>
      <c r="L1748" t="s">
        <v>3946</v>
      </c>
      <c r="M1748" t="s">
        <v>5575</v>
      </c>
      <c r="P1748" t="s">
        <v>2435</v>
      </c>
    </row>
    <row r="1749" spans="1:16" x14ac:dyDescent="0.2">
      <c r="A1749" t="s">
        <v>2079</v>
      </c>
      <c r="B1749" t="s">
        <v>2436</v>
      </c>
      <c r="C1749" t="s">
        <v>66</v>
      </c>
      <c r="D1749" t="s">
        <v>2307</v>
      </c>
      <c r="E1749">
        <v>98115</v>
      </c>
      <c r="F1749" t="s">
        <v>1716</v>
      </c>
      <c r="G1749" t="s">
        <v>1973</v>
      </c>
      <c r="H1749" t="s">
        <v>4324</v>
      </c>
      <c r="I1749">
        <v>47.675916000000001</v>
      </c>
      <c r="J1749">
        <v>-122.30319299999999</v>
      </c>
      <c r="K1749" t="s">
        <v>3936</v>
      </c>
      <c r="L1749" t="s">
        <v>3946</v>
      </c>
      <c r="M1749" t="s">
        <v>5575</v>
      </c>
      <c r="P1749" t="s">
        <v>2436</v>
      </c>
    </row>
    <row r="1750" spans="1:16" x14ac:dyDescent="0.2">
      <c r="A1750" t="s">
        <v>2080</v>
      </c>
      <c r="B1750" t="s">
        <v>2437</v>
      </c>
      <c r="C1750" t="s">
        <v>66</v>
      </c>
      <c r="D1750" t="s">
        <v>2307</v>
      </c>
      <c r="E1750">
        <v>98107</v>
      </c>
      <c r="F1750" t="s">
        <v>1716</v>
      </c>
      <c r="G1750" t="s">
        <v>1981</v>
      </c>
      <c r="H1750" t="s">
        <v>5366</v>
      </c>
      <c r="I1750">
        <v>47.671019000000001</v>
      </c>
      <c r="J1750">
        <v>-122.387508</v>
      </c>
      <c r="K1750" t="s">
        <v>3936</v>
      </c>
      <c r="L1750" t="s">
        <v>3946</v>
      </c>
      <c r="M1750" t="s">
        <v>5575</v>
      </c>
      <c r="P1750" t="s">
        <v>2437</v>
      </c>
    </row>
    <row r="1751" spans="1:16" x14ac:dyDescent="0.2">
      <c r="A1751" t="s">
        <v>2081</v>
      </c>
      <c r="B1751" t="s">
        <v>2438</v>
      </c>
      <c r="C1751" t="s">
        <v>66</v>
      </c>
      <c r="D1751" t="s">
        <v>2307</v>
      </c>
      <c r="E1751">
        <v>98115</v>
      </c>
      <c r="F1751" t="s">
        <v>1600</v>
      </c>
      <c r="G1751" t="s">
        <v>1968</v>
      </c>
      <c r="H1751" t="s">
        <v>4325</v>
      </c>
      <c r="I1751">
        <v>47.675820000000002</v>
      </c>
      <c r="J1751">
        <v>-122.30162900000001</v>
      </c>
      <c r="K1751" t="s">
        <v>3936</v>
      </c>
      <c r="L1751" t="s">
        <v>3946</v>
      </c>
      <c r="M1751" t="s">
        <v>5575</v>
      </c>
      <c r="P1751" t="s">
        <v>2438</v>
      </c>
    </row>
    <row r="1752" spans="1:16" x14ac:dyDescent="0.2">
      <c r="A1752" t="s">
        <v>2082</v>
      </c>
      <c r="B1752" t="s">
        <v>2439</v>
      </c>
      <c r="C1752" t="s">
        <v>66</v>
      </c>
      <c r="D1752" t="s">
        <v>2307</v>
      </c>
      <c r="E1752">
        <v>98107</v>
      </c>
      <c r="F1752" t="s">
        <v>1716</v>
      </c>
      <c r="G1752" t="s">
        <v>1981</v>
      </c>
      <c r="H1752" t="s">
        <v>4326</v>
      </c>
      <c r="I1752">
        <v>47.667755999999997</v>
      </c>
      <c r="J1752">
        <v>-122.39748899999999</v>
      </c>
      <c r="K1752" t="s">
        <v>3936</v>
      </c>
      <c r="L1752" t="s">
        <v>3946</v>
      </c>
      <c r="M1752" t="s">
        <v>5575</v>
      </c>
      <c r="P1752" t="s">
        <v>2439</v>
      </c>
    </row>
    <row r="1753" spans="1:16" x14ac:dyDescent="0.2">
      <c r="A1753" t="s">
        <v>2011</v>
      </c>
      <c r="B1753" t="s">
        <v>6295</v>
      </c>
      <c r="C1753" t="s">
        <v>66</v>
      </c>
      <c r="D1753" t="s">
        <v>2307</v>
      </c>
      <c r="E1753">
        <v>98144</v>
      </c>
      <c r="F1753" t="s">
        <v>1573</v>
      </c>
      <c r="G1753" t="s">
        <v>1986</v>
      </c>
      <c r="H1753" t="s">
        <v>4327</v>
      </c>
      <c r="I1753">
        <v>47.582118000000001</v>
      </c>
      <c r="J1753">
        <v>-122.300827</v>
      </c>
      <c r="K1753" t="s">
        <v>3936</v>
      </c>
      <c r="L1753" t="s">
        <v>3946</v>
      </c>
      <c r="M1753" t="s">
        <v>5575</v>
      </c>
      <c r="P1753" t="s">
        <v>6099</v>
      </c>
    </row>
    <row r="1754" spans="1:16" x14ac:dyDescent="0.2">
      <c r="A1754" t="s">
        <v>2018</v>
      </c>
      <c r="B1754" t="s">
        <v>2440</v>
      </c>
      <c r="C1754" t="s">
        <v>66</v>
      </c>
      <c r="D1754" t="s">
        <v>2307</v>
      </c>
      <c r="E1754">
        <v>98134</v>
      </c>
      <c r="F1754" t="s">
        <v>2019</v>
      </c>
      <c r="G1754" t="s">
        <v>1991</v>
      </c>
      <c r="H1754" t="s">
        <v>5463</v>
      </c>
      <c r="I1754">
        <v>47.576224000000003</v>
      </c>
      <c r="J1754">
        <v>-122.3212</v>
      </c>
      <c r="K1754" t="s">
        <v>3936</v>
      </c>
      <c r="L1754" t="s">
        <v>3946</v>
      </c>
      <c r="M1754" t="s">
        <v>5575</v>
      </c>
      <c r="P1754" t="s">
        <v>2440</v>
      </c>
    </row>
    <row r="1755" spans="1:16" x14ac:dyDescent="0.2">
      <c r="A1755" t="s">
        <v>2034</v>
      </c>
      <c r="B1755" t="s">
        <v>2441</v>
      </c>
      <c r="C1755" t="s">
        <v>66</v>
      </c>
      <c r="D1755" t="s">
        <v>2307</v>
      </c>
      <c r="E1755">
        <v>98103</v>
      </c>
      <c r="F1755" t="s">
        <v>2035</v>
      </c>
      <c r="G1755" t="s">
        <v>2005</v>
      </c>
      <c r="H1755" t="s">
        <v>4328</v>
      </c>
      <c r="I1755">
        <v>47.684916999999999</v>
      </c>
      <c r="J1755">
        <v>-122.344409</v>
      </c>
      <c r="K1755" t="s">
        <v>3936</v>
      </c>
      <c r="L1755" t="s">
        <v>3946</v>
      </c>
      <c r="M1755" t="s">
        <v>5575</v>
      </c>
      <c r="P1755" t="s">
        <v>2441</v>
      </c>
    </row>
    <row r="1756" spans="1:16" x14ac:dyDescent="0.2">
      <c r="A1756" t="s">
        <v>2034</v>
      </c>
      <c r="B1756" t="s">
        <v>2442</v>
      </c>
      <c r="C1756" t="s">
        <v>66</v>
      </c>
      <c r="D1756" t="s">
        <v>2307</v>
      </c>
      <c r="E1756">
        <v>98103</v>
      </c>
      <c r="F1756" t="s">
        <v>2035</v>
      </c>
      <c r="G1756" t="s">
        <v>2005</v>
      </c>
      <c r="H1756" t="s">
        <v>4329</v>
      </c>
      <c r="I1756">
        <v>47.685408000000002</v>
      </c>
      <c r="J1756">
        <v>-122.336039</v>
      </c>
      <c r="K1756" t="s">
        <v>3936</v>
      </c>
      <c r="L1756" t="s">
        <v>3946</v>
      </c>
      <c r="M1756" t="s">
        <v>5575</v>
      </c>
      <c r="P1756" t="s">
        <v>2442</v>
      </c>
    </row>
    <row r="1757" spans="1:16" x14ac:dyDescent="0.2">
      <c r="A1757" t="s">
        <v>2073</v>
      </c>
      <c r="B1757" t="s">
        <v>2443</v>
      </c>
      <c r="C1757" t="s">
        <v>66</v>
      </c>
      <c r="D1757" t="s">
        <v>2307</v>
      </c>
      <c r="E1757">
        <v>98105</v>
      </c>
      <c r="F1757" t="s">
        <v>1658</v>
      </c>
      <c r="G1757" t="s">
        <v>2074</v>
      </c>
      <c r="H1757" t="s">
        <v>5367</v>
      </c>
      <c r="I1757">
        <v>47.668218000000003</v>
      </c>
      <c r="J1757">
        <v>-122.276912</v>
      </c>
      <c r="K1757" t="s">
        <v>3936</v>
      </c>
      <c r="L1757" t="s">
        <v>3946</v>
      </c>
      <c r="M1757" t="s">
        <v>5575</v>
      </c>
      <c r="P1757" t="s">
        <v>2443</v>
      </c>
    </row>
    <row r="1758" spans="1:16" x14ac:dyDescent="0.2">
      <c r="A1758" t="s">
        <v>2059</v>
      </c>
      <c r="B1758" t="s">
        <v>2444</v>
      </c>
      <c r="C1758" t="s">
        <v>66</v>
      </c>
      <c r="D1758" t="s">
        <v>2307</v>
      </c>
      <c r="E1758">
        <v>98116</v>
      </c>
      <c r="F1758" t="s">
        <v>1600</v>
      </c>
      <c r="G1758" t="s">
        <v>2063</v>
      </c>
      <c r="H1758" t="s">
        <v>5244</v>
      </c>
      <c r="I1758">
        <v>47.581128999999997</v>
      </c>
      <c r="J1758">
        <v>-122.385305</v>
      </c>
      <c r="K1758" t="s">
        <v>3936</v>
      </c>
      <c r="L1758" t="s">
        <v>3946</v>
      </c>
      <c r="M1758" t="s">
        <v>5575</v>
      </c>
      <c r="P1758" t="s">
        <v>2444</v>
      </c>
    </row>
    <row r="1759" spans="1:16" x14ac:dyDescent="0.2">
      <c r="A1759" t="s">
        <v>2007</v>
      </c>
      <c r="B1759" t="s">
        <v>2445</v>
      </c>
      <c r="C1759" t="s">
        <v>66</v>
      </c>
      <c r="D1759" t="s">
        <v>2307</v>
      </c>
      <c r="E1759">
        <v>98144</v>
      </c>
      <c r="F1759" t="s">
        <v>1658</v>
      </c>
      <c r="G1759" t="s">
        <v>2110</v>
      </c>
      <c r="H1759" t="s">
        <v>5838</v>
      </c>
      <c r="I1759">
        <v>47.578308</v>
      </c>
      <c r="J1759">
        <v>-122.29919700000001</v>
      </c>
      <c r="K1759" t="s">
        <v>3936</v>
      </c>
      <c r="L1759" t="s">
        <v>3946</v>
      </c>
      <c r="M1759" t="s">
        <v>5575</v>
      </c>
      <c r="P1759" t="s">
        <v>2445</v>
      </c>
    </row>
    <row r="1760" spans="1:16" x14ac:dyDescent="0.2">
      <c r="A1760" t="s">
        <v>2011</v>
      </c>
      <c r="B1760" t="s">
        <v>2446</v>
      </c>
      <c r="C1760" t="s">
        <v>66</v>
      </c>
      <c r="D1760" t="s">
        <v>2307</v>
      </c>
      <c r="E1760">
        <v>98115</v>
      </c>
      <c r="F1760" t="s">
        <v>1573</v>
      </c>
      <c r="G1760" t="s">
        <v>1986</v>
      </c>
      <c r="H1760" t="s">
        <v>4330</v>
      </c>
      <c r="I1760">
        <v>47.686788</v>
      </c>
      <c r="J1760">
        <v>-122.31228299999999</v>
      </c>
      <c r="K1760" t="s">
        <v>3936</v>
      </c>
      <c r="L1760" t="s">
        <v>3946</v>
      </c>
      <c r="M1760" t="s">
        <v>5575</v>
      </c>
      <c r="P1760" t="s">
        <v>2446</v>
      </c>
    </row>
    <row r="1761" spans="1:16" x14ac:dyDescent="0.2">
      <c r="A1761" t="s">
        <v>2034</v>
      </c>
      <c r="B1761" t="s">
        <v>2447</v>
      </c>
      <c r="C1761" t="s">
        <v>66</v>
      </c>
      <c r="D1761" t="s">
        <v>2307</v>
      </c>
      <c r="E1761">
        <v>98103</v>
      </c>
      <c r="F1761" t="s">
        <v>2035</v>
      </c>
      <c r="G1761" t="s">
        <v>2005</v>
      </c>
      <c r="H1761" t="s">
        <v>4331</v>
      </c>
      <c r="I1761">
        <v>47.689314000000003</v>
      </c>
      <c r="J1761">
        <v>-122.35545399999999</v>
      </c>
      <c r="K1761" t="s">
        <v>3936</v>
      </c>
      <c r="L1761" t="s">
        <v>3946</v>
      </c>
      <c r="M1761" t="s">
        <v>5575</v>
      </c>
      <c r="P1761" t="s">
        <v>2447</v>
      </c>
    </row>
    <row r="1762" spans="1:16" x14ac:dyDescent="0.2">
      <c r="A1762" t="s">
        <v>2083</v>
      </c>
      <c r="B1762" t="s">
        <v>2448</v>
      </c>
      <c r="C1762" t="s">
        <v>66</v>
      </c>
      <c r="D1762" t="s">
        <v>2307</v>
      </c>
      <c r="E1762">
        <v>98103</v>
      </c>
      <c r="F1762" t="s">
        <v>1583</v>
      </c>
      <c r="G1762" t="s">
        <v>1980</v>
      </c>
      <c r="H1762" t="s">
        <v>5368</v>
      </c>
      <c r="I1762">
        <v>47.689267000000001</v>
      </c>
      <c r="J1762">
        <v>-122.355209</v>
      </c>
      <c r="K1762" t="s">
        <v>3936</v>
      </c>
      <c r="L1762" t="s">
        <v>3946</v>
      </c>
      <c r="M1762" t="s">
        <v>5575</v>
      </c>
      <c r="P1762" t="s">
        <v>2448</v>
      </c>
    </row>
    <row r="1763" spans="1:16" x14ac:dyDescent="0.2">
      <c r="A1763" t="s">
        <v>2084</v>
      </c>
      <c r="B1763" t="s">
        <v>2449</v>
      </c>
      <c r="C1763" t="s">
        <v>66</v>
      </c>
      <c r="D1763" t="s">
        <v>2307</v>
      </c>
      <c r="E1763">
        <v>98115</v>
      </c>
      <c r="F1763" t="s">
        <v>1716</v>
      </c>
      <c r="G1763" t="s">
        <v>2085</v>
      </c>
      <c r="H1763" t="s">
        <v>5369</v>
      </c>
      <c r="I1763">
        <v>47.687586000000003</v>
      </c>
      <c r="J1763">
        <v>-122.311808</v>
      </c>
      <c r="K1763" t="s">
        <v>3936</v>
      </c>
      <c r="L1763" t="s">
        <v>3946</v>
      </c>
      <c r="M1763" t="s">
        <v>5575</v>
      </c>
      <c r="P1763" t="s">
        <v>2449</v>
      </c>
    </row>
    <row r="1764" spans="1:16" x14ac:dyDescent="0.2">
      <c r="A1764" t="s">
        <v>4948</v>
      </c>
      <c r="B1764" t="s">
        <v>4949</v>
      </c>
      <c r="C1764" t="s">
        <v>66</v>
      </c>
      <c r="D1764" t="s">
        <v>2307</v>
      </c>
      <c r="E1764">
        <v>98144</v>
      </c>
      <c r="F1764" t="s">
        <v>1716</v>
      </c>
      <c r="G1764" t="s">
        <v>1981</v>
      </c>
      <c r="H1764" t="s">
        <v>5076</v>
      </c>
      <c r="I1764">
        <v>47.576228999999998</v>
      </c>
      <c r="J1764">
        <v>-122.29676499999999</v>
      </c>
      <c r="K1764" t="s">
        <v>3936</v>
      </c>
      <c r="L1764" t="s">
        <v>3946</v>
      </c>
      <c r="M1764" t="s">
        <v>5575</v>
      </c>
      <c r="P1764" t="s">
        <v>4949</v>
      </c>
    </row>
    <row r="1765" spans="1:16" x14ac:dyDescent="0.2">
      <c r="A1765" t="s">
        <v>2059</v>
      </c>
      <c r="B1765" t="s">
        <v>2450</v>
      </c>
      <c r="C1765" t="s">
        <v>66</v>
      </c>
      <c r="D1765" t="s">
        <v>2307</v>
      </c>
      <c r="E1765">
        <v>98103</v>
      </c>
      <c r="F1765" t="s">
        <v>1573</v>
      </c>
      <c r="G1765" t="s">
        <v>2067</v>
      </c>
      <c r="H1765" t="s">
        <v>5007</v>
      </c>
      <c r="I1765">
        <v>47.690655</v>
      </c>
      <c r="J1765">
        <v>-122.34442799999999</v>
      </c>
      <c r="K1765" t="s">
        <v>3936</v>
      </c>
      <c r="L1765" t="s">
        <v>3946</v>
      </c>
      <c r="M1765" t="s">
        <v>5575</v>
      </c>
      <c r="P1765" t="s">
        <v>2450</v>
      </c>
    </row>
    <row r="1766" spans="1:16" x14ac:dyDescent="0.2">
      <c r="A1766" t="s">
        <v>2048</v>
      </c>
      <c r="B1766" t="s">
        <v>2451</v>
      </c>
      <c r="C1766" t="s">
        <v>66</v>
      </c>
      <c r="D1766" t="s">
        <v>2307</v>
      </c>
      <c r="E1766">
        <v>98103</v>
      </c>
      <c r="F1766" t="s">
        <v>1573</v>
      </c>
      <c r="G1766" t="s">
        <v>2014</v>
      </c>
      <c r="H1766" t="s">
        <v>4332</v>
      </c>
      <c r="I1766">
        <v>47.690700999999997</v>
      </c>
      <c r="J1766">
        <v>-122.34507000000001</v>
      </c>
      <c r="K1766" t="s">
        <v>3936</v>
      </c>
      <c r="L1766" t="s">
        <v>3946</v>
      </c>
      <c r="M1766" t="s">
        <v>5575</v>
      </c>
      <c r="P1766" t="s">
        <v>2451</v>
      </c>
    </row>
    <row r="1767" spans="1:16" x14ac:dyDescent="0.2">
      <c r="A1767" t="s">
        <v>2086</v>
      </c>
      <c r="B1767" t="s">
        <v>2452</v>
      </c>
      <c r="C1767" t="s">
        <v>66</v>
      </c>
      <c r="D1767" t="s">
        <v>2307</v>
      </c>
      <c r="E1767">
        <v>98103</v>
      </c>
      <c r="F1767" t="s">
        <v>1716</v>
      </c>
      <c r="G1767" t="s">
        <v>1990</v>
      </c>
      <c r="H1767" t="s">
        <v>4333</v>
      </c>
      <c r="I1767">
        <v>47.689965000000001</v>
      </c>
      <c r="J1767">
        <v>-122.355435</v>
      </c>
      <c r="K1767" t="s">
        <v>3936</v>
      </c>
      <c r="L1767" t="s">
        <v>3946</v>
      </c>
      <c r="M1767" t="s">
        <v>5575</v>
      </c>
      <c r="P1767" t="s">
        <v>2452</v>
      </c>
    </row>
    <row r="1768" spans="1:16" x14ac:dyDescent="0.2">
      <c r="A1768" t="s">
        <v>2087</v>
      </c>
      <c r="B1768" t="s">
        <v>2453</v>
      </c>
      <c r="C1768" t="s">
        <v>66</v>
      </c>
      <c r="D1768" t="s">
        <v>2307</v>
      </c>
      <c r="E1768">
        <v>98103</v>
      </c>
      <c r="F1768" t="s">
        <v>2050</v>
      </c>
      <c r="G1768" t="s">
        <v>1990</v>
      </c>
      <c r="H1768" t="s">
        <v>5370</v>
      </c>
      <c r="I1768">
        <v>47.690016</v>
      </c>
      <c r="J1768">
        <v>-122.355119</v>
      </c>
      <c r="K1768" t="s">
        <v>3936</v>
      </c>
      <c r="L1768" t="s">
        <v>3946</v>
      </c>
      <c r="M1768" t="s">
        <v>5575</v>
      </c>
      <c r="P1768" t="s">
        <v>2453</v>
      </c>
    </row>
    <row r="1769" spans="1:16" x14ac:dyDescent="0.2">
      <c r="A1769" t="s">
        <v>2011</v>
      </c>
      <c r="B1769" t="s">
        <v>2454</v>
      </c>
      <c r="C1769" t="s">
        <v>66</v>
      </c>
      <c r="D1769" t="s">
        <v>2307</v>
      </c>
      <c r="E1769">
        <v>98115</v>
      </c>
      <c r="F1769" t="s">
        <v>1573</v>
      </c>
      <c r="G1769" t="s">
        <v>1986</v>
      </c>
      <c r="H1769" t="s">
        <v>4334</v>
      </c>
      <c r="I1769">
        <v>47.682093000000002</v>
      </c>
      <c r="J1769">
        <v>-122.29065300000001</v>
      </c>
      <c r="K1769" t="s">
        <v>3936</v>
      </c>
      <c r="L1769" t="s">
        <v>3946</v>
      </c>
      <c r="M1769" t="s">
        <v>5575</v>
      </c>
      <c r="P1769" t="s">
        <v>5764</v>
      </c>
    </row>
    <row r="1770" spans="1:16" x14ac:dyDescent="0.2">
      <c r="A1770" t="s">
        <v>2011</v>
      </c>
      <c r="B1770" t="s">
        <v>2455</v>
      </c>
      <c r="C1770" t="s">
        <v>66</v>
      </c>
      <c r="D1770" t="s">
        <v>2307</v>
      </c>
      <c r="E1770">
        <v>98134</v>
      </c>
      <c r="F1770" t="s">
        <v>1573</v>
      </c>
      <c r="G1770" t="s">
        <v>1986</v>
      </c>
      <c r="H1770" t="s">
        <v>4335</v>
      </c>
      <c r="I1770">
        <v>47.569659000000001</v>
      </c>
      <c r="J1770">
        <v>-122.36263099999999</v>
      </c>
      <c r="K1770" t="s">
        <v>3936</v>
      </c>
      <c r="L1770" t="s">
        <v>3946</v>
      </c>
      <c r="M1770" t="s">
        <v>5575</v>
      </c>
      <c r="P1770" t="s">
        <v>5726</v>
      </c>
    </row>
    <row r="1771" spans="1:16" x14ac:dyDescent="0.2">
      <c r="A1771" t="s">
        <v>2088</v>
      </c>
      <c r="B1771" t="s">
        <v>2456</v>
      </c>
      <c r="C1771" t="s">
        <v>66</v>
      </c>
      <c r="D1771" t="s">
        <v>2307</v>
      </c>
      <c r="E1771">
        <v>98117</v>
      </c>
      <c r="F1771" t="s">
        <v>1591</v>
      </c>
      <c r="G1771" t="s">
        <v>1969</v>
      </c>
      <c r="H1771" t="s">
        <v>5511</v>
      </c>
      <c r="I1771">
        <v>47.690469999999998</v>
      </c>
      <c r="J1771">
        <v>-122.361026</v>
      </c>
      <c r="K1771" t="s">
        <v>3936</v>
      </c>
      <c r="L1771" t="s">
        <v>3946</v>
      </c>
      <c r="M1771" t="s">
        <v>5575</v>
      </c>
      <c r="P1771" t="s">
        <v>2456</v>
      </c>
    </row>
    <row r="1772" spans="1:16" x14ac:dyDescent="0.2">
      <c r="A1772" t="s">
        <v>2091</v>
      </c>
      <c r="B1772" t="s">
        <v>2457</v>
      </c>
      <c r="C1772" t="s">
        <v>66</v>
      </c>
      <c r="D1772" t="s">
        <v>2307</v>
      </c>
      <c r="E1772">
        <v>98117</v>
      </c>
      <c r="F1772" t="s">
        <v>2044</v>
      </c>
      <c r="G1772" t="s">
        <v>1990</v>
      </c>
      <c r="H1772" t="s">
        <v>4336</v>
      </c>
      <c r="I1772">
        <v>47.690475999999997</v>
      </c>
      <c r="J1772">
        <v>-122.36162400000001</v>
      </c>
      <c r="K1772" t="s">
        <v>3936</v>
      </c>
      <c r="L1772" t="s">
        <v>3946</v>
      </c>
      <c r="M1772" t="s">
        <v>5575</v>
      </c>
      <c r="P1772" t="s">
        <v>2457</v>
      </c>
    </row>
    <row r="1773" spans="1:16" x14ac:dyDescent="0.2">
      <c r="A1773" t="s">
        <v>2089</v>
      </c>
      <c r="B1773" t="s">
        <v>2457</v>
      </c>
      <c r="C1773" t="s">
        <v>66</v>
      </c>
      <c r="D1773" t="s">
        <v>2307</v>
      </c>
      <c r="E1773">
        <v>98133</v>
      </c>
      <c r="F1773" t="s">
        <v>2090</v>
      </c>
      <c r="G1773" t="s">
        <v>1969</v>
      </c>
      <c r="H1773" t="s">
        <v>5371</v>
      </c>
      <c r="I1773">
        <v>47.690475999999997</v>
      </c>
      <c r="J1773">
        <v>-122.36162400000001</v>
      </c>
      <c r="K1773" t="s">
        <v>3936</v>
      </c>
      <c r="L1773" t="s">
        <v>3946</v>
      </c>
      <c r="M1773" t="s">
        <v>5575</v>
      </c>
      <c r="P1773" t="s">
        <v>2457</v>
      </c>
    </row>
    <row r="1774" spans="1:16" x14ac:dyDescent="0.2">
      <c r="A1774" t="s">
        <v>2092</v>
      </c>
      <c r="B1774" t="s">
        <v>2458</v>
      </c>
      <c r="C1774" t="s">
        <v>66</v>
      </c>
      <c r="D1774" t="s">
        <v>2307</v>
      </c>
      <c r="E1774">
        <v>98134</v>
      </c>
      <c r="F1774" t="s">
        <v>1600</v>
      </c>
      <c r="G1774" t="s">
        <v>2107</v>
      </c>
      <c r="H1774" t="s">
        <v>5077</v>
      </c>
      <c r="I1774">
        <v>47.566819000000002</v>
      </c>
      <c r="J1774">
        <v>-122.329554</v>
      </c>
      <c r="K1774" t="s">
        <v>3936</v>
      </c>
      <c r="L1774" t="s">
        <v>3946</v>
      </c>
      <c r="M1774" t="s">
        <v>5575</v>
      </c>
      <c r="P1774" t="s">
        <v>2458</v>
      </c>
    </row>
    <row r="1775" spans="1:16" x14ac:dyDescent="0.2">
      <c r="A1775" t="s">
        <v>2093</v>
      </c>
      <c r="B1775" t="s">
        <v>2459</v>
      </c>
      <c r="C1775" t="s">
        <v>66</v>
      </c>
      <c r="D1775" t="s">
        <v>2307</v>
      </c>
      <c r="E1775">
        <v>98177</v>
      </c>
      <c r="F1775" t="s">
        <v>1583</v>
      </c>
      <c r="G1775" t="s">
        <v>1980</v>
      </c>
      <c r="H1775" t="s">
        <v>4980</v>
      </c>
      <c r="I1775">
        <v>47.690776</v>
      </c>
      <c r="J1775">
        <v>-122.364829</v>
      </c>
      <c r="K1775" t="s">
        <v>3936</v>
      </c>
      <c r="L1775" t="s">
        <v>3946</v>
      </c>
      <c r="M1775" t="s">
        <v>5575</v>
      </c>
      <c r="P1775" t="s">
        <v>2459</v>
      </c>
    </row>
    <row r="1776" spans="1:16" x14ac:dyDescent="0.2">
      <c r="A1776" t="s">
        <v>2015</v>
      </c>
      <c r="B1776" t="s">
        <v>2460</v>
      </c>
      <c r="C1776" t="s">
        <v>66</v>
      </c>
      <c r="D1776" t="s">
        <v>2307</v>
      </c>
      <c r="E1776">
        <v>98101</v>
      </c>
      <c r="F1776" t="s">
        <v>1573</v>
      </c>
      <c r="G1776" t="s">
        <v>2024</v>
      </c>
      <c r="H1776" t="s">
        <v>5008</v>
      </c>
      <c r="I1776">
        <v>47.568182</v>
      </c>
      <c r="J1776">
        <v>-122.366294</v>
      </c>
      <c r="K1776" t="s">
        <v>3936</v>
      </c>
      <c r="L1776" t="s">
        <v>3946</v>
      </c>
      <c r="M1776" t="s">
        <v>5575</v>
      </c>
      <c r="P1776" t="s">
        <v>2460</v>
      </c>
    </row>
    <row r="1777" spans="1:16" x14ac:dyDescent="0.2">
      <c r="A1777" t="s">
        <v>3952</v>
      </c>
      <c r="B1777" t="s">
        <v>2461</v>
      </c>
      <c r="C1777" t="s">
        <v>66</v>
      </c>
      <c r="D1777" t="s">
        <v>2307</v>
      </c>
      <c r="E1777">
        <v>98117</v>
      </c>
      <c r="F1777" t="s">
        <v>1573</v>
      </c>
      <c r="G1777" t="s">
        <v>2014</v>
      </c>
      <c r="H1777" t="s">
        <v>4337</v>
      </c>
      <c r="I1777">
        <v>47.691018999999997</v>
      </c>
      <c r="J1777">
        <v>-122.37683800000001</v>
      </c>
      <c r="K1777" t="s">
        <v>3936</v>
      </c>
      <c r="L1777" t="s">
        <v>3946</v>
      </c>
      <c r="M1777" t="s">
        <v>5575</v>
      </c>
      <c r="P1777" t="s">
        <v>2461</v>
      </c>
    </row>
    <row r="1778" spans="1:16" x14ac:dyDescent="0.2">
      <c r="A1778" t="s">
        <v>5052</v>
      </c>
      <c r="B1778" t="s">
        <v>5053</v>
      </c>
      <c r="C1778" t="s">
        <v>66</v>
      </c>
      <c r="D1778" t="s">
        <v>2307</v>
      </c>
      <c r="E1778">
        <v>98144</v>
      </c>
      <c r="F1778" t="s">
        <v>1716</v>
      </c>
      <c r="G1778" t="s">
        <v>1990</v>
      </c>
      <c r="H1778" t="s">
        <v>5054</v>
      </c>
      <c r="I1778">
        <v>47.571117999999998</v>
      </c>
      <c r="J1778">
        <v>-122.291144</v>
      </c>
      <c r="K1778" t="s">
        <v>3936</v>
      </c>
      <c r="L1778" t="s">
        <v>3946</v>
      </c>
      <c r="M1778" t="s">
        <v>5575</v>
      </c>
      <c r="P1778" t="s">
        <v>5053</v>
      </c>
    </row>
    <row r="1779" spans="1:16" x14ac:dyDescent="0.2">
      <c r="A1779" t="s">
        <v>5151</v>
      </c>
      <c r="B1779" t="s">
        <v>6238</v>
      </c>
      <c r="C1779" t="s">
        <v>66</v>
      </c>
      <c r="D1779" t="s">
        <v>2307</v>
      </c>
      <c r="E1779">
        <v>98144</v>
      </c>
      <c r="F1779" t="s">
        <v>1716</v>
      </c>
      <c r="G1779" t="s">
        <v>1990</v>
      </c>
      <c r="H1779" t="s">
        <v>5152</v>
      </c>
      <c r="I1779">
        <v>47.571117999999998</v>
      </c>
      <c r="J1779">
        <v>-122.291144</v>
      </c>
      <c r="K1779" t="s">
        <v>3936</v>
      </c>
      <c r="L1779" t="s">
        <v>3946</v>
      </c>
      <c r="M1779" t="s">
        <v>5575</v>
      </c>
      <c r="P1779" t="s">
        <v>6049</v>
      </c>
    </row>
    <row r="1780" spans="1:16" x14ac:dyDescent="0.2">
      <c r="A1780" t="s">
        <v>3952</v>
      </c>
      <c r="B1780" t="s">
        <v>2462</v>
      </c>
      <c r="C1780" t="s">
        <v>66</v>
      </c>
      <c r="D1780" t="s">
        <v>2307</v>
      </c>
      <c r="E1780">
        <v>98144</v>
      </c>
      <c r="F1780" t="s">
        <v>1573</v>
      </c>
      <c r="G1780" t="s">
        <v>2014</v>
      </c>
      <c r="H1780" t="s">
        <v>4338</v>
      </c>
      <c r="I1780">
        <v>47.570827000000001</v>
      </c>
      <c r="J1780">
        <v>-122.290874</v>
      </c>
      <c r="K1780" t="s">
        <v>3936</v>
      </c>
      <c r="L1780" t="s">
        <v>3946</v>
      </c>
      <c r="M1780" t="s">
        <v>5575</v>
      </c>
      <c r="P1780" t="s">
        <v>2462</v>
      </c>
    </row>
    <row r="1781" spans="1:16" x14ac:dyDescent="0.2">
      <c r="A1781" t="s">
        <v>2011</v>
      </c>
      <c r="B1781" t="s">
        <v>6296</v>
      </c>
      <c r="C1781" t="s">
        <v>66</v>
      </c>
      <c r="D1781" t="s">
        <v>2307</v>
      </c>
      <c r="E1781">
        <v>98117</v>
      </c>
      <c r="F1781" t="s">
        <v>1573</v>
      </c>
      <c r="G1781" t="s">
        <v>1986</v>
      </c>
      <c r="H1781" t="s">
        <v>4339</v>
      </c>
      <c r="I1781">
        <v>47.693435999999998</v>
      </c>
      <c r="J1781">
        <v>-122.376665</v>
      </c>
      <c r="K1781" t="s">
        <v>3936</v>
      </c>
      <c r="L1781" t="s">
        <v>3946</v>
      </c>
      <c r="M1781" t="s">
        <v>5575</v>
      </c>
      <c r="P1781" t="s">
        <v>6100</v>
      </c>
    </row>
    <row r="1782" spans="1:16" x14ac:dyDescent="0.2">
      <c r="A1782" t="s">
        <v>2095</v>
      </c>
      <c r="B1782" t="s">
        <v>2463</v>
      </c>
      <c r="C1782" t="s">
        <v>66</v>
      </c>
      <c r="D1782" t="s">
        <v>2307</v>
      </c>
      <c r="E1782">
        <v>98144</v>
      </c>
      <c r="F1782" t="s">
        <v>1583</v>
      </c>
      <c r="G1782" t="s">
        <v>1980</v>
      </c>
      <c r="H1782" t="s">
        <v>5798</v>
      </c>
      <c r="I1782">
        <v>47.569904999999999</v>
      </c>
      <c r="J1782">
        <v>-122.290909</v>
      </c>
      <c r="K1782" t="s">
        <v>3936</v>
      </c>
      <c r="L1782" t="s">
        <v>3946</v>
      </c>
      <c r="M1782" t="s">
        <v>5575</v>
      </c>
      <c r="P1782" t="s">
        <v>5668</v>
      </c>
    </row>
    <row r="1783" spans="1:16" x14ac:dyDescent="0.2">
      <c r="A1783" t="s">
        <v>2018</v>
      </c>
      <c r="B1783" t="s">
        <v>2464</v>
      </c>
      <c r="C1783" t="s">
        <v>66</v>
      </c>
      <c r="D1783" t="s">
        <v>2307</v>
      </c>
      <c r="E1783">
        <v>98116</v>
      </c>
      <c r="F1783" t="s">
        <v>2019</v>
      </c>
      <c r="G1783" t="s">
        <v>1991</v>
      </c>
      <c r="H1783" t="s">
        <v>5464</v>
      </c>
      <c r="I1783">
        <v>47.579523000000002</v>
      </c>
      <c r="J1783">
        <v>-122.40880900000001</v>
      </c>
      <c r="K1783" t="s">
        <v>3936</v>
      </c>
      <c r="L1783" t="s">
        <v>3946</v>
      </c>
      <c r="M1783" t="s">
        <v>5575</v>
      </c>
      <c r="P1783" t="s">
        <v>2464</v>
      </c>
    </row>
    <row r="1784" spans="1:16" x14ac:dyDescent="0.2">
      <c r="A1784" t="s">
        <v>2096</v>
      </c>
      <c r="B1784" t="s">
        <v>2465</v>
      </c>
      <c r="C1784" t="s">
        <v>66</v>
      </c>
      <c r="D1784" t="s">
        <v>2307</v>
      </c>
      <c r="E1784">
        <v>98133</v>
      </c>
      <c r="F1784" t="s">
        <v>1716</v>
      </c>
      <c r="G1784" t="s">
        <v>2005</v>
      </c>
      <c r="H1784" t="s">
        <v>5373</v>
      </c>
      <c r="I1784">
        <v>47.701549999999997</v>
      </c>
      <c r="J1784">
        <v>-122.355518</v>
      </c>
      <c r="K1784" t="s">
        <v>3936</v>
      </c>
      <c r="L1784" t="s">
        <v>3946</v>
      </c>
      <c r="M1784" t="s">
        <v>5575</v>
      </c>
      <c r="P1784" t="s">
        <v>2465</v>
      </c>
    </row>
    <row r="1785" spans="1:16" x14ac:dyDescent="0.2">
      <c r="A1785" t="s">
        <v>2097</v>
      </c>
      <c r="B1785" t="s">
        <v>2466</v>
      </c>
      <c r="C1785" t="s">
        <v>66</v>
      </c>
      <c r="D1785" t="s">
        <v>2307</v>
      </c>
      <c r="E1785">
        <v>98116</v>
      </c>
      <c r="F1785" t="s">
        <v>1591</v>
      </c>
      <c r="G1785" t="s">
        <v>1969</v>
      </c>
      <c r="H1785" t="s">
        <v>5465</v>
      </c>
      <c r="I1785">
        <v>47.564366999999997</v>
      </c>
      <c r="J1785">
        <v>-122.38658100000001</v>
      </c>
      <c r="K1785" t="s">
        <v>3936</v>
      </c>
      <c r="L1785" t="s">
        <v>3946</v>
      </c>
      <c r="M1785" t="s">
        <v>5575</v>
      </c>
      <c r="P1785" t="s">
        <v>2466</v>
      </c>
    </row>
    <row r="1786" spans="1:16" x14ac:dyDescent="0.2">
      <c r="A1786" t="s">
        <v>2098</v>
      </c>
      <c r="B1786" t="s">
        <v>2467</v>
      </c>
      <c r="C1786" t="s">
        <v>66</v>
      </c>
      <c r="D1786" t="s">
        <v>2307</v>
      </c>
      <c r="E1786">
        <v>98133</v>
      </c>
      <c r="F1786" t="s">
        <v>1583</v>
      </c>
      <c r="G1786" t="s">
        <v>1980</v>
      </c>
      <c r="H1786" t="s">
        <v>5189</v>
      </c>
      <c r="I1786">
        <v>47.703854999999997</v>
      </c>
      <c r="J1786">
        <v>-122.344503</v>
      </c>
      <c r="K1786" t="s">
        <v>3936</v>
      </c>
      <c r="L1786" t="s">
        <v>3946</v>
      </c>
      <c r="M1786" t="s">
        <v>5575</v>
      </c>
      <c r="P1786" t="s">
        <v>2467</v>
      </c>
    </row>
    <row r="1787" spans="1:16" x14ac:dyDescent="0.2">
      <c r="A1787" t="s">
        <v>2018</v>
      </c>
      <c r="B1787" t="s">
        <v>2468</v>
      </c>
      <c r="C1787" t="s">
        <v>66</v>
      </c>
      <c r="D1787" t="s">
        <v>2307</v>
      </c>
      <c r="E1787">
        <v>98118</v>
      </c>
      <c r="F1787" t="s">
        <v>2019</v>
      </c>
      <c r="G1787" t="s">
        <v>1991</v>
      </c>
      <c r="H1787" t="s">
        <v>5466</v>
      </c>
      <c r="I1787">
        <v>47.563993000000004</v>
      </c>
      <c r="J1787">
        <v>-122.288006</v>
      </c>
      <c r="K1787" t="s">
        <v>3936</v>
      </c>
      <c r="L1787" t="s">
        <v>3946</v>
      </c>
      <c r="M1787" t="s">
        <v>5575</v>
      </c>
      <c r="P1787" t="s">
        <v>2468</v>
      </c>
    </row>
    <row r="1788" spans="1:16" x14ac:dyDescent="0.2">
      <c r="A1788" t="s">
        <v>2032</v>
      </c>
      <c r="B1788" t="s">
        <v>2469</v>
      </c>
      <c r="C1788" t="s">
        <v>66</v>
      </c>
      <c r="D1788" t="s">
        <v>2307</v>
      </c>
      <c r="E1788">
        <v>98116</v>
      </c>
      <c r="F1788" t="s">
        <v>1658</v>
      </c>
      <c r="G1788" t="s">
        <v>2033</v>
      </c>
      <c r="H1788" t="s">
        <v>5081</v>
      </c>
      <c r="I1788">
        <v>47.562333000000002</v>
      </c>
      <c r="J1788">
        <v>-122.38665399999999</v>
      </c>
      <c r="K1788" t="s">
        <v>3936</v>
      </c>
      <c r="L1788" t="s">
        <v>3946</v>
      </c>
      <c r="M1788" t="s">
        <v>5575</v>
      </c>
      <c r="P1788" t="s">
        <v>2469</v>
      </c>
    </row>
    <row r="1789" spans="1:16" x14ac:dyDescent="0.2">
      <c r="A1789" t="s">
        <v>2011</v>
      </c>
      <c r="B1789" t="s">
        <v>6297</v>
      </c>
      <c r="C1789" t="s">
        <v>66</v>
      </c>
      <c r="D1789" t="s">
        <v>2307</v>
      </c>
      <c r="E1789">
        <v>98133</v>
      </c>
      <c r="F1789" t="s">
        <v>1573</v>
      </c>
      <c r="G1789" t="s">
        <v>1986</v>
      </c>
      <c r="H1789" t="s">
        <v>4340</v>
      </c>
      <c r="I1789">
        <v>47.704436000000001</v>
      </c>
      <c r="J1789">
        <v>-122.355388</v>
      </c>
      <c r="K1789" t="s">
        <v>3936</v>
      </c>
      <c r="L1789" t="s">
        <v>3946</v>
      </c>
      <c r="M1789" t="s">
        <v>5575</v>
      </c>
      <c r="P1789" t="s">
        <v>6101</v>
      </c>
    </row>
    <row r="1790" spans="1:16" x14ac:dyDescent="0.2">
      <c r="A1790" t="s">
        <v>2048</v>
      </c>
      <c r="B1790" t="s">
        <v>2470</v>
      </c>
      <c r="C1790" t="s">
        <v>66</v>
      </c>
      <c r="D1790" t="s">
        <v>2307</v>
      </c>
      <c r="E1790">
        <v>98133</v>
      </c>
      <c r="F1790" t="s">
        <v>1573</v>
      </c>
      <c r="G1790" t="s">
        <v>2014</v>
      </c>
      <c r="H1790" t="s">
        <v>4341</v>
      </c>
      <c r="I1790">
        <v>47.705233</v>
      </c>
      <c r="J1790">
        <v>-122.344522</v>
      </c>
      <c r="K1790" t="s">
        <v>3936</v>
      </c>
      <c r="L1790" t="s">
        <v>3946</v>
      </c>
      <c r="M1790" t="s">
        <v>5575</v>
      </c>
      <c r="P1790" t="s">
        <v>2470</v>
      </c>
    </row>
    <row r="1791" spans="1:16" x14ac:dyDescent="0.2">
      <c r="A1791" t="s">
        <v>2011</v>
      </c>
      <c r="B1791" t="s">
        <v>6298</v>
      </c>
      <c r="C1791" t="s">
        <v>66</v>
      </c>
      <c r="D1791" t="s">
        <v>2307</v>
      </c>
      <c r="E1791">
        <v>98116</v>
      </c>
      <c r="F1791" t="s">
        <v>1573</v>
      </c>
      <c r="G1791" t="s">
        <v>1986</v>
      </c>
      <c r="H1791" t="s">
        <v>4342</v>
      </c>
      <c r="I1791">
        <v>47.560710999999998</v>
      </c>
      <c r="J1791">
        <v>-122.385288</v>
      </c>
      <c r="K1791" t="s">
        <v>3936</v>
      </c>
      <c r="L1791" t="s">
        <v>3946</v>
      </c>
      <c r="M1791" t="s">
        <v>5575</v>
      </c>
      <c r="P1791" t="s">
        <v>6102</v>
      </c>
    </row>
    <row r="1792" spans="1:16" x14ac:dyDescent="0.2">
      <c r="A1792" t="s">
        <v>2099</v>
      </c>
      <c r="B1792" t="s">
        <v>2471</v>
      </c>
      <c r="C1792" t="s">
        <v>66</v>
      </c>
      <c r="D1792" t="s">
        <v>2307</v>
      </c>
      <c r="E1792">
        <v>98126</v>
      </c>
      <c r="F1792" t="s">
        <v>2044</v>
      </c>
      <c r="G1792" t="s">
        <v>2005</v>
      </c>
      <c r="H1792" t="s">
        <v>5082</v>
      </c>
      <c r="I1792">
        <v>47.558366999999997</v>
      </c>
      <c r="J1792">
        <v>-122.376397</v>
      </c>
      <c r="K1792" t="s">
        <v>3936</v>
      </c>
      <c r="L1792" t="s">
        <v>3946</v>
      </c>
      <c r="M1792" t="s">
        <v>5575</v>
      </c>
      <c r="P1792" t="s">
        <v>2471</v>
      </c>
    </row>
    <row r="1793" spans="1:16" x14ac:dyDescent="0.2">
      <c r="A1793" t="s">
        <v>2073</v>
      </c>
      <c r="B1793" t="s">
        <v>2472</v>
      </c>
      <c r="C1793" t="s">
        <v>66</v>
      </c>
      <c r="D1793" t="s">
        <v>2307</v>
      </c>
      <c r="E1793">
        <v>98116</v>
      </c>
      <c r="F1793" t="s">
        <v>1658</v>
      </c>
      <c r="G1793" t="s">
        <v>2074</v>
      </c>
      <c r="H1793" t="s">
        <v>5083</v>
      </c>
      <c r="I1793">
        <v>47.560805999999999</v>
      </c>
      <c r="J1793">
        <v>-122.387002</v>
      </c>
      <c r="K1793" t="s">
        <v>3936</v>
      </c>
      <c r="L1793" t="s">
        <v>3946</v>
      </c>
      <c r="M1793" t="s">
        <v>5575</v>
      </c>
      <c r="P1793" t="s">
        <v>2472</v>
      </c>
    </row>
    <row r="1794" spans="1:16" x14ac:dyDescent="0.2">
      <c r="A1794" t="s">
        <v>2100</v>
      </c>
      <c r="B1794" t="s">
        <v>2473</v>
      </c>
      <c r="C1794" t="s">
        <v>66</v>
      </c>
      <c r="D1794" t="s">
        <v>2307</v>
      </c>
      <c r="E1794">
        <v>98116</v>
      </c>
      <c r="F1794" t="s">
        <v>2050</v>
      </c>
      <c r="G1794" t="s">
        <v>1981</v>
      </c>
      <c r="H1794" t="s">
        <v>5035</v>
      </c>
      <c r="I1794">
        <v>47.560254</v>
      </c>
      <c r="J1794">
        <v>-122.386628</v>
      </c>
      <c r="K1794" t="s">
        <v>3936</v>
      </c>
      <c r="L1794" t="s">
        <v>3946</v>
      </c>
      <c r="M1794" t="s">
        <v>5575</v>
      </c>
      <c r="P1794" t="s">
        <v>2473</v>
      </c>
    </row>
    <row r="1795" spans="1:16" x14ac:dyDescent="0.2">
      <c r="A1795" t="s">
        <v>2011</v>
      </c>
      <c r="B1795" t="s">
        <v>2474</v>
      </c>
      <c r="C1795" t="s">
        <v>66</v>
      </c>
      <c r="D1795" t="s">
        <v>2307</v>
      </c>
      <c r="E1795">
        <v>98108</v>
      </c>
      <c r="F1795" t="s">
        <v>1573</v>
      </c>
      <c r="G1795" t="s">
        <v>1986</v>
      </c>
      <c r="H1795" t="s">
        <v>4343</v>
      </c>
      <c r="I1795">
        <v>47.552590000000002</v>
      </c>
      <c r="J1795">
        <v>-122.329649</v>
      </c>
      <c r="K1795" t="s">
        <v>3936</v>
      </c>
      <c r="L1795" t="s">
        <v>3946</v>
      </c>
      <c r="M1795" t="s">
        <v>5575</v>
      </c>
      <c r="P1795" t="s">
        <v>2474</v>
      </c>
    </row>
    <row r="1796" spans="1:16" x14ac:dyDescent="0.2">
      <c r="A1796" t="s">
        <v>1640</v>
      </c>
      <c r="B1796" t="s">
        <v>2475</v>
      </c>
      <c r="C1796" t="s">
        <v>66</v>
      </c>
      <c r="D1796" t="s">
        <v>2307</v>
      </c>
      <c r="E1796">
        <v>98108</v>
      </c>
      <c r="F1796" t="s">
        <v>1716</v>
      </c>
      <c r="G1796" t="s">
        <v>1971</v>
      </c>
      <c r="H1796" t="s">
        <v>4344</v>
      </c>
      <c r="I1796">
        <v>47.552525000000003</v>
      </c>
      <c r="J1796">
        <v>-122.329701</v>
      </c>
      <c r="K1796" t="s">
        <v>3936</v>
      </c>
      <c r="L1796" t="s">
        <v>3946</v>
      </c>
      <c r="M1796" t="s">
        <v>5575</v>
      </c>
      <c r="P1796" t="s">
        <v>2475</v>
      </c>
    </row>
    <row r="1797" spans="1:16" x14ac:dyDescent="0.2">
      <c r="A1797" t="s">
        <v>2101</v>
      </c>
      <c r="B1797" t="s">
        <v>2476</v>
      </c>
      <c r="C1797" t="s">
        <v>66</v>
      </c>
      <c r="D1797" t="s">
        <v>2307</v>
      </c>
      <c r="E1797">
        <v>98133</v>
      </c>
      <c r="F1797" t="s">
        <v>1600</v>
      </c>
      <c r="G1797" t="s">
        <v>2102</v>
      </c>
      <c r="H1797" t="s">
        <v>5375</v>
      </c>
      <c r="I1797">
        <v>47.707495999999999</v>
      </c>
      <c r="J1797">
        <v>-122.334191</v>
      </c>
      <c r="K1797" t="s">
        <v>3936</v>
      </c>
      <c r="L1797" t="s">
        <v>3946</v>
      </c>
      <c r="M1797" t="s">
        <v>5575</v>
      </c>
      <c r="P1797" t="s">
        <v>2476</v>
      </c>
    </row>
    <row r="1798" spans="1:16" x14ac:dyDescent="0.2">
      <c r="A1798" t="s">
        <v>2018</v>
      </c>
      <c r="B1798" t="s">
        <v>2477</v>
      </c>
      <c r="C1798" t="s">
        <v>2478</v>
      </c>
      <c r="D1798" t="s">
        <v>2307</v>
      </c>
      <c r="E1798">
        <v>98004</v>
      </c>
      <c r="F1798" t="s">
        <v>2019</v>
      </c>
      <c r="G1798" t="s">
        <v>1991</v>
      </c>
      <c r="H1798" t="s">
        <v>5161</v>
      </c>
      <c r="I1798">
        <v>47.635672</v>
      </c>
      <c r="J1798">
        <v>-122.222526</v>
      </c>
      <c r="K1798" t="s">
        <v>3936</v>
      </c>
      <c r="L1798" t="s">
        <v>3946</v>
      </c>
      <c r="M1798" t="s">
        <v>5575</v>
      </c>
      <c r="P1798" t="s">
        <v>2477</v>
      </c>
    </row>
    <row r="1799" spans="1:16" x14ac:dyDescent="0.2">
      <c r="A1799" t="s">
        <v>2059</v>
      </c>
      <c r="B1799" t="s">
        <v>2479</v>
      </c>
      <c r="C1799" t="s">
        <v>66</v>
      </c>
      <c r="D1799" t="s">
        <v>2307</v>
      </c>
      <c r="E1799">
        <v>98108</v>
      </c>
      <c r="F1799" t="s">
        <v>1573</v>
      </c>
      <c r="G1799" t="s">
        <v>2067</v>
      </c>
      <c r="H1799" t="s">
        <v>5839</v>
      </c>
      <c r="I1799">
        <v>47.550314</v>
      </c>
      <c r="J1799">
        <v>-122.334356</v>
      </c>
      <c r="K1799" t="s">
        <v>3936</v>
      </c>
      <c r="L1799" t="s">
        <v>3946</v>
      </c>
      <c r="M1799" t="s">
        <v>5575</v>
      </c>
      <c r="P1799" t="s">
        <v>2479</v>
      </c>
    </row>
    <row r="1800" spans="1:16" x14ac:dyDescent="0.2">
      <c r="A1800" t="s">
        <v>2011</v>
      </c>
      <c r="B1800" t="s">
        <v>2480</v>
      </c>
      <c r="C1800" t="s">
        <v>66</v>
      </c>
      <c r="D1800" t="s">
        <v>2307</v>
      </c>
      <c r="E1800">
        <v>98118</v>
      </c>
      <c r="F1800" t="s">
        <v>1573</v>
      </c>
      <c r="G1800" t="s">
        <v>1986</v>
      </c>
      <c r="H1800" t="s">
        <v>4345</v>
      </c>
      <c r="I1800">
        <v>47.559157999999996</v>
      </c>
      <c r="J1800">
        <v>-122.28555799999999</v>
      </c>
      <c r="K1800" t="s">
        <v>3936</v>
      </c>
      <c r="L1800" t="s">
        <v>3946</v>
      </c>
      <c r="M1800" t="s">
        <v>5575</v>
      </c>
      <c r="P1800" t="s">
        <v>2480</v>
      </c>
    </row>
    <row r="1801" spans="1:16" x14ac:dyDescent="0.2">
      <c r="A1801" t="s">
        <v>2103</v>
      </c>
      <c r="B1801" t="s">
        <v>2481</v>
      </c>
      <c r="C1801" t="s">
        <v>66</v>
      </c>
      <c r="D1801" t="s">
        <v>2307</v>
      </c>
      <c r="E1801">
        <v>98125</v>
      </c>
      <c r="F1801" t="s">
        <v>1600</v>
      </c>
      <c r="G1801" t="s">
        <v>2107</v>
      </c>
      <c r="H1801" t="s">
        <v>5245</v>
      </c>
      <c r="I1801">
        <v>47.708531999999998</v>
      </c>
      <c r="J1801">
        <v>-122.324664</v>
      </c>
      <c r="K1801" t="s">
        <v>3936</v>
      </c>
      <c r="L1801" t="s">
        <v>3946</v>
      </c>
      <c r="M1801" t="s">
        <v>5575</v>
      </c>
      <c r="P1801" t="s">
        <v>2481</v>
      </c>
    </row>
    <row r="1802" spans="1:16" x14ac:dyDescent="0.2">
      <c r="A1802" t="s">
        <v>2011</v>
      </c>
      <c r="B1802" t="s">
        <v>2482</v>
      </c>
      <c r="C1802" t="s">
        <v>66</v>
      </c>
      <c r="D1802" t="s">
        <v>2307</v>
      </c>
      <c r="E1802">
        <v>98125</v>
      </c>
      <c r="F1802" t="s">
        <v>1573</v>
      </c>
      <c r="G1802" t="s">
        <v>1986</v>
      </c>
      <c r="H1802" t="s">
        <v>4346</v>
      </c>
      <c r="I1802">
        <v>47.708531999999998</v>
      </c>
      <c r="J1802">
        <v>-122.324664</v>
      </c>
      <c r="K1802" t="s">
        <v>3936</v>
      </c>
      <c r="L1802" t="s">
        <v>3946</v>
      </c>
      <c r="M1802" t="s">
        <v>5575</v>
      </c>
      <c r="P1802" t="s">
        <v>2482</v>
      </c>
    </row>
    <row r="1803" spans="1:16" x14ac:dyDescent="0.2">
      <c r="A1803" t="s">
        <v>2048</v>
      </c>
      <c r="B1803" t="s">
        <v>2483</v>
      </c>
      <c r="C1803" t="s">
        <v>66</v>
      </c>
      <c r="D1803" t="s">
        <v>2307</v>
      </c>
      <c r="E1803">
        <v>98125</v>
      </c>
      <c r="F1803" t="s">
        <v>1573</v>
      </c>
      <c r="G1803" t="s">
        <v>2014</v>
      </c>
      <c r="H1803" t="s">
        <v>4347</v>
      </c>
      <c r="I1803">
        <v>47.707884</v>
      </c>
      <c r="J1803">
        <v>-122.317655</v>
      </c>
      <c r="K1803" t="s">
        <v>3936</v>
      </c>
      <c r="L1803" t="s">
        <v>3946</v>
      </c>
      <c r="M1803" t="s">
        <v>5575</v>
      </c>
      <c r="P1803" t="s">
        <v>2483</v>
      </c>
    </row>
    <row r="1804" spans="1:16" x14ac:dyDescent="0.2">
      <c r="A1804" t="s">
        <v>2105</v>
      </c>
      <c r="B1804" t="s">
        <v>2484</v>
      </c>
      <c r="C1804" t="s">
        <v>66</v>
      </c>
      <c r="D1804" t="s">
        <v>2307</v>
      </c>
      <c r="E1804">
        <v>98125</v>
      </c>
      <c r="F1804" t="s">
        <v>1583</v>
      </c>
      <c r="G1804" t="s">
        <v>1980</v>
      </c>
      <c r="H1804" t="s">
        <v>5563</v>
      </c>
      <c r="I1804">
        <v>47.709057999999999</v>
      </c>
      <c r="J1804">
        <v>-122.320359</v>
      </c>
      <c r="K1804" t="s">
        <v>3936</v>
      </c>
      <c r="L1804" t="s">
        <v>3946</v>
      </c>
      <c r="M1804" t="s">
        <v>5575</v>
      </c>
      <c r="P1804" t="s">
        <v>2484</v>
      </c>
    </row>
    <row r="1805" spans="1:16" x14ac:dyDescent="0.2">
      <c r="A1805" t="s">
        <v>2011</v>
      </c>
      <c r="B1805" t="s">
        <v>2485</v>
      </c>
      <c r="C1805" t="s">
        <v>2486</v>
      </c>
      <c r="D1805" t="s">
        <v>2307</v>
      </c>
      <c r="E1805">
        <v>98040</v>
      </c>
      <c r="F1805" t="s">
        <v>1573</v>
      </c>
      <c r="G1805" t="s">
        <v>1986</v>
      </c>
      <c r="H1805" t="s">
        <v>4348</v>
      </c>
      <c r="I1805">
        <v>47.586598000000002</v>
      </c>
      <c r="J1805">
        <v>-122.23558800000001</v>
      </c>
      <c r="K1805" t="s">
        <v>3936</v>
      </c>
      <c r="L1805" t="s">
        <v>3946</v>
      </c>
      <c r="M1805" t="s">
        <v>5575</v>
      </c>
      <c r="P1805" t="s">
        <v>2485</v>
      </c>
    </row>
    <row r="1806" spans="1:16" x14ac:dyDescent="0.2">
      <c r="A1806" t="s">
        <v>2015</v>
      </c>
      <c r="B1806" t="s">
        <v>2487</v>
      </c>
      <c r="C1806" t="s">
        <v>2488</v>
      </c>
      <c r="D1806" t="s">
        <v>2307</v>
      </c>
      <c r="E1806">
        <v>98040</v>
      </c>
      <c r="F1806" t="s">
        <v>1573</v>
      </c>
      <c r="G1806" t="s">
        <v>2071</v>
      </c>
      <c r="H1806" t="s">
        <v>5840</v>
      </c>
      <c r="I1806">
        <v>47.586590000000001</v>
      </c>
      <c r="J1806">
        <v>-122.233386</v>
      </c>
      <c r="K1806" t="s">
        <v>3936</v>
      </c>
      <c r="L1806" t="s">
        <v>3946</v>
      </c>
      <c r="M1806" t="s">
        <v>5575</v>
      </c>
      <c r="P1806" t="s">
        <v>2487</v>
      </c>
    </row>
    <row r="1807" spans="1:16" x14ac:dyDescent="0.2">
      <c r="A1807" t="s">
        <v>2018</v>
      </c>
      <c r="B1807" t="s">
        <v>2489</v>
      </c>
      <c r="C1807" t="s">
        <v>2486</v>
      </c>
      <c r="D1807" t="s">
        <v>2307</v>
      </c>
      <c r="E1807">
        <v>98040</v>
      </c>
      <c r="F1807" t="s">
        <v>1600</v>
      </c>
      <c r="G1807" t="s">
        <v>2027</v>
      </c>
      <c r="H1807" t="s">
        <v>5162</v>
      </c>
      <c r="I1807">
        <v>47.586851000000003</v>
      </c>
      <c r="J1807">
        <v>-122.233259</v>
      </c>
      <c r="K1807" t="s">
        <v>3936</v>
      </c>
      <c r="L1807" t="s">
        <v>3946</v>
      </c>
      <c r="M1807" t="s">
        <v>5575</v>
      </c>
      <c r="P1807" t="s">
        <v>2489</v>
      </c>
    </row>
    <row r="1808" spans="1:16" x14ac:dyDescent="0.2">
      <c r="A1808" t="s">
        <v>2106</v>
      </c>
      <c r="B1808" t="s">
        <v>2490</v>
      </c>
      <c r="C1808" t="s">
        <v>66</v>
      </c>
      <c r="D1808" t="s">
        <v>2307</v>
      </c>
      <c r="E1808">
        <v>98108</v>
      </c>
      <c r="F1808" t="s">
        <v>2019</v>
      </c>
      <c r="G1808" t="s">
        <v>1991</v>
      </c>
      <c r="H1808" t="s">
        <v>5376</v>
      </c>
      <c r="I1808">
        <v>47.546377</v>
      </c>
      <c r="J1808">
        <v>-122.326054</v>
      </c>
      <c r="K1808" t="s">
        <v>3936</v>
      </c>
      <c r="L1808" t="s">
        <v>3946</v>
      </c>
      <c r="M1808" t="s">
        <v>5575</v>
      </c>
      <c r="P1808" t="s">
        <v>2490</v>
      </c>
    </row>
    <row r="1809" spans="1:16" x14ac:dyDescent="0.2">
      <c r="A1809" t="s">
        <v>2108</v>
      </c>
      <c r="B1809" t="s">
        <v>2492</v>
      </c>
      <c r="C1809" t="s">
        <v>66</v>
      </c>
      <c r="D1809" t="s">
        <v>2307</v>
      </c>
      <c r="E1809">
        <v>98125</v>
      </c>
      <c r="F1809" t="s">
        <v>1600</v>
      </c>
      <c r="G1809" t="s">
        <v>2005</v>
      </c>
      <c r="H1809" t="s">
        <v>5377</v>
      </c>
      <c r="I1809">
        <v>47.708587000000001</v>
      </c>
      <c r="J1809">
        <v>-122.29095100000001</v>
      </c>
      <c r="K1809" t="s">
        <v>3936</v>
      </c>
      <c r="L1809" t="s">
        <v>3946</v>
      </c>
      <c r="M1809" t="s">
        <v>5575</v>
      </c>
      <c r="P1809" t="s">
        <v>2492</v>
      </c>
    </row>
    <row r="1810" spans="1:16" x14ac:dyDescent="0.2">
      <c r="A1810" t="s">
        <v>2109</v>
      </c>
      <c r="B1810" t="s">
        <v>2493</v>
      </c>
      <c r="C1810" t="s">
        <v>66</v>
      </c>
      <c r="D1810" t="s">
        <v>2307</v>
      </c>
      <c r="E1810">
        <v>98118</v>
      </c>
      <c r="F1810" t="s">
        <v>1716</v>
      </c>
      <c r="G1810" t="s">
        <v>1981</v>
      </c>
      <c r="H1810" t="s">
        <v>4981</v>
      </c>
      <c r="I1810">
        <v>47.551793000000004</v>
      </c>
      <c r="J1810">
        <v>-122.278193</v>
      </c>
      <c r="K1810" t="s">
        <v>3936</v>
      </c>
      <c r="L1810" t="s">
        <v>3946</v>
      </c>
      <c r="M1810" t="s">
        <v>5575</v>
      </c>
      <c r="P1810" t="s">
        <v>2493</v>
      </c>
    </row>
    <row r="1811" spans="1:16" x14ac:dyDescent="0.2">
      <c r="A1811" t="s">
        <v>2011</v>
      </c>
      <c r="B1811" t="s">
        <v>2494</v>
      </c>
      <c r="C1811" t="s">
        <v>66</v>
      </c>
      <c r="D1811" t="s">
        <v>2307</v>
      </c>
      <c r="E1811">
        <v>98108</v>
      </c>
      <c r="F1811" t="s">
        <v>1573</v>
      </c>
      <c r="G1811" t="s">
        <v>1986</v>
      </c>
      <c r="H1811" t="s">
        <v>4350</v>
      </c>
      <c r="I1811">
        <v>47.541142999999998</v>
      </c>
      <c r="J1811">
        <v>-122.342977</v>
      </c>
      <c r="K1811" t="s">
        <v>3936</v>
      </c>
      <c r="L1811" t="s">
        <v>3946</v>
      </c>
      <c r="M1811" t="s">
        <v>5575</v>
      </c>
      <c r="P1811" t="s">
        <v>2494</v>
      </c>
    </row>
    <row r="1812" spans="1:16" x14ac:dyDescent="0.2">
      <c r="A1812" t="s">
        <v>3952</v>
      </c>
      <c r="B1812" t="s">
        <v>2495</v>
      </c>
      <c r="C1812" t="s">
        <v>66</v>
      </c>
      <c r="D1812" t="s">
        <v>2307</v>
      </c>
      <c r="E1812">
        <v>98126</v>
      </c>
      <c r="F1812" t="s">
        <v>1573</v>
      </c>
      <c r="G1812" t="s">
        <v>2014</v>
      </c>
      <c r="H1812" t="s">
        <v>4351</v>
      </c>
      <c r="I1812">
        <v>47.544643999999998</v>
      </c>
      <c r="J1812">
        <v>-122.376484</v>
      </c>
      <c r="K1812" t="s">
        <v>3936</v>
      </c>
      <c r="L1812" t="s">
        <v>3946</v>
      </c>
      <c r="M1812" t="s">
        <v>5575</v>
      </c>
      <c r="P1812" t="s">
        <v>2495</v>
      </c>
    </row>
    <row r="1813" spans="1:16" x14ac:dyDescent="0.2">
      <c r="A1813" t="s">
        <v>2011</v>
      </c>
      <c r="B1813" t="s">
        <v>6299</v>
      </c>
      <c r="C1813" t="s">
        <v>66</v>
      </c>
      <c r="D1813" t="s">
        <v>2307</v>
      </c>
      <c r="E1813">
        <v>98133</v>
      </c>
      <c r="F1813" t="s">
        <v>1573</v>
      </c>
      <c r="G1813" t="s">
        <v>1986</v>
      </c>
      <c r="H1813" t="s">
        <v>4352</v>
      </c>
      <c r="I1813">
        <v>47.718698000000003</v>
      </c>
      <c r="J1813">
        <v>-122.34475500000001</v>
      </c>
      <c r="K1813" t="s">
        <v>3936</v>
      </c>
      <c r="L1813" t="s">
        <v>3946</v>
      </c>
      <c r="M1813" t="s">
        <v>5575</v>
      </c>
      <c r="P1813" t="s">
        <v>6103</v>
      </c>
    </row>
    <row r="1814" spans="1:16" x14ac:dyDescent="0.2">
      <c r="A1814" t="s">
        <v>2059</v>
      </c>
      <c r="B1814" t="s">
        <v>2496</v>
      </c>
      <c r="C1814" t="s">
        <v>66</v>
      </c>
      <c r="D1814" t="s">
        <v>2307</v>
      </c>
      <c r="E1814">
        <v>98133</v>
      </c>
      <c r="F1814" t="s">
        <v>1573</v>
      </c>
      <c r="G1814" t="s">
        <v>2067</v>
      </c>
      <c r="H1814" t="s">
        <v>5841</v>
      </c>
      <c r="I1814">
        <v>47.719960999999998</v>
      </c>
      <c r="J1814">
        <v>-122.345175</v>
      </c>
      <c r="K1814" t="s">
        <v>3936</v>
      </c>
      <c r="L1814" t="s">
        <v>3946</v>
      </c>
      <c r="M1814" t="s">
        <v>5575</v>
      </c>
      <c r="P1814" t="s">
        <v>2496</v>
      </c>
    </row>
    <row r="1815" spans="1:16" x14ac:dyDescent="0.2">
      <c r="A1815" t="s">
        <v>2018</v>
      </c>
      <c r="B1815" t="s">
        <v>2497</v>
      </c>
      <c r="C1815" t="s">
        <v>66</v>
      </c>
      <c r="D1815" t="s">
        <v>2307</v>
      </c>
      <c r="E1815">
        <v>98136</v>
      </c>
      <c r="F1815" t="s">
        <v>2019</v>
      </c>
      <c r="G1815" t="s">
        <v>1991</v>
      </c>
      <c r="H1815" t="s">
        <v>5467</v>
      </c>
      <c r="I1815">
        <v>47.544756999999997</v>
      </c>
      <c r="J1815">
        <v>-122.385893</v>
      </c>
      <c r="K1815" t="s">
        <v>3936</v>
      </c>
      <c r="L1815" t="s">
        <v>3946</v>
      </c>
      <c r="M1815" t="s">
        <v>5575</v>
      </c>
      <c r="P1815" t="s">
        <v>2497</v>
      </c>
    </row>
    <row r="1816" spans="1:16" x14ac:dyDescent="0.2">
      <c r="A1816" t="s">
        <v>2007</v>
      </c>
      <c r="B1816" t="s">
        <v>2498</v>
      </c>
      <c r="C1816" t="s">
        <v>66</v>
      </c>
      <c r="D1816" t="s">
        <v>2307</v>
      </c>
      <c r="E1816">
        <v>98133</v>
      </c>
      <c r="F1816" t="s">
        <v>1658</v>
      </c>
      <c r="G1816" t="s">
        <v>2008</v>
      </c>
      <c r="H1816" t="s">
        <v>5842</v>
      </c>
      <c r="I1816">
        <v>47.719735999999997</v>
      </c>
      <c r="J1816">
        <v>-122.35540899999999</v>
      </c>
      <c r="K1816" t="s">
        <v>3936</v>
      </c>
      <c r="L1816" t="s">
        <v>3946</v>
      </c>
      <c r="M1816" t="s">
        <v>5575</v>
      </c>
      <c r="P1816" t="s">
        <v>2498</v>
      </c>
    </row>
    <row r="1817" spans="1:16" x14ac:dyDescent="0.2">
      <c r="A1817" t="s">
        <v>2011</v>
      </c>
      <c r="B1817" t="s">
        <v>2499</v>
      </c>
      <c r="C1817" t="s">
        <v>66</v>
      </c>
      <c r="D1817" t="s">
        <v>2307</v>
      </c>
      <c r="E1817">
        <v>98106</v>
      </c>
      <c r="F1817" t="s">
        <v>1573</v>
      </c>
      <c r="G1817" t="s">
        <v>1986</v>
      </c>
      <c r="H1817" t="s">
        <v>4353</v>
      </c>
      <c r="I1817">
        <v>47.544806000000001</v>
      </c>
      <c r="J1817">
        <v>-122.387288</v>
      </c>
      <c r="K1817" t="s">
        <v>3936</v>
      </c>
      <c r="L1817" t="s">
        <v>3946</v>
      </c>
      <c r="M1817" t="s">
        <v>5575</v>
      </c>
      <c r="P1817" t="s">
        <v>2499</v>
      </c>
    </row>
    <row r="1818" spans="1:16" x14ac:dyDescent="0.2">
      <c r="A1818" t="s">
        <v>2011</v>
      </c>
      <c r="B1818" t="s">
        <v>6300</v>
      </c>
      <c r="C1818" t="s">
        <v>66</v>
      </c>
      <c r="D1818" t="s">
        <v>2307</v>
      </c>
      <c r="E1818">
        <v>98125</v>
      </c>
      <c r="F1818" t="s">
        <v>1573</v>
      </c>
      <c r="G1818" t="s">
        <v>1986</v>
      </c>
      <c r="H1818" t="s">
        <v>4354</v>
      </c>
      <c r="I1818">
        <v>47.718556</v>
      </c>
      <c r="J1818">
        <v>-122.312467</v>
      </c>
      <c r="K1818" t="s">
        <v>3936</v>
      </c>
      <c r="L1818" t="s">
        <v>3946</v>
      </c>
      <c r="M1818" t="s">
        <v>5575</v>
      </c>
      <c r="P1818" t="s">
        <v>6104</v>
      </c>
    </row>
    <row r="1819" spans="1:16" x14ac:dyDescent="0.2">
      <c r="A1819" t="s">
        <v>2007</v>
      </c>
      <c r="B1819" t="s">
        <v>2500</v>
      </c>
      <c r="C1819" t="s">
        <v>66</v>
      </c>
      <c r="D1819" t="s">
        <v>2307</v>
      </c>
      <c r="E1819">
        <v>98136</v>
      </c>
      <c r="F1819" t="s">
        <v>1658</v>
      </c>
      <c r="G1819" t="s">
        <v>2110</v>
      </c>
      <c r="H1819" t="s">
        <v>5843</v>
      </c>
      <c r="I1819">
        <v>47.544358000000003</v>
      </c>
      <c r="J1819">
        <v>-122.387051</v>
      </c>
      <c r="K1819" t="s">
        <v>3936</v>
      </c>
      <c r="L1819" t="s">
        <v>3946</v>
      </c>
      <c r="M1819" t="s">
        <v>5575</v>
      </c>
      <c r="P1819" t="s">
        <v>2500</v>
      </c>
    </row>
    <row r="1820" spans="1:16" x14ac:dyDescent="0.2">
      <c r="A1820" t="s">
        <v>2048</v>
      </c>
      <c r="B1820" t="s">
        <v>2503</v>
      </c>
      <c r="C1820" t="s">
        <v>66</v>
      </c>
      <c r="D1820" t="s">
        <v>2307</v>
      </c>
      <c r="E1820">
        <v>98108</v>
      </c>
      <c r="F1820" t="s">
        <v>1573</v>
      </c>
      <c r="G1820" t="s">
        <v>2014</v>
      </c>
      <c r="H1820" t="s">
        <v>4355</v>
      </c>
      <c r="I1820">
        <v>47.538654000000001</v>
      </c>
      <c r="J1820">
        <v>-122.32037800000001</v>
      </c>
      <c r="K1820" t="s">
        <v>3936</v>
      </c>
      <c r="L1820" t="s">
        <v>3946</v>
      </c>
      <c r="M1820" t="s">
        <v>5575</v>
      </c>
      <c r="P1820" t="s">
        <v>2503</v>
      </c>
    </row>
    <row r="1821" spans="1:16" x14ac:dyDescent="0.2">
      <c r="A1821" t="s">
        <v>2018</v>
      </c>
      <c r="B1821" t="s">
        <v>2504</v>
      </c>
      <c r="C1821" t="s">
        <v>2502</v>
      </c>
      <c r="D1821" t="s">
        <v>2307</v>
      </c>
      <c r="E1821">
        <v>98004</v>
      </c>
      <c r="F1821" t="s">
        <v>2019</v>
      </c>
      <c r="G1821" t="s">
        <v>1991</v>
      </c>
      <c r="H1821" t="s">
        <v>5468</v>
      </c>
      <c r="I1821">
        <v>47.617350000000002</v>
      </c>
      <c r="J1821">
        <v>-122.201823</v>
      </c>
      <c r="K1821" t="s">
        <v>3936</v>
      </c>
      <c r="L1821" t="s">
        <v>3946</v>
      </c>
      <c r="M1821" t="s">
        <v>5575</v>
      </c>
      <c r="P1821" t="s">
        <v>2504</v>
      </c>
    </row>
    <row r="1822" spans="1:16" x14ac:dyDescent="0.2">
      <c r="A1822" t="s">
        <v>6221</v>
      </c>
      <c r="B1822" t="s">
        <v>2505</v>
      </c>
      <c r="C1822" t="s">
        <v>2506</v>
      </c>
      <c r="D1822" t="s">
        <v>2307</v>
      </c>
      <c r="E1822">
        <v>98033</v>
      </c>
      <c r="F1822" t="s">
        <v>1716</v>
      </c>
      <c r="G1822" t="s">
        <v>2000</v>
      </c>
      <c r="H1822" t="s">
        <v>4356</v>
      </c>
      <c r="I1822">
        <v>47.656998000000002</v>
      </c>
      <c r="J1822">
        <v>-122.206829</v>
      </c>
      <c r="K1822" t="s">
        <v>3936</v>
      </c>
      <c r="L1822" t="s">
        <v>3946</v>
      </c>
      <c r="M1822" t="s">
        <v>5575</v>
      </c>
      <c r="P1822" t="s">
        <v>2505</v>
      </c>
    </row>
    <row r="1823" spans="1:16" x14ac:dyDescent="0.2">
      <c r="A1823" t="s">
        <v>2022</v>
      </c>
      <c r="B1823" t="s">
        <v>2507</v>
      </c>
      <c r="C1823" t="s">
        <v>2502</v>
      </c>
      <c r="D1823" t="s">
        <v>2307</v>
      </c>
      <c r="E1823">
        <v>98004</v>
      </c>
      <c r="F1823" t="s">
        <v>1573</v>
      </c>
      <c r="G1823" t="s">
        <v>2187</v>
      </c>
      <c r="H1823" t="s">
        <v>5845</v>
      </c>
      <c r="I1823">
        <v>47.617359</v>
      </c>
      <c r="J1823">
        <v>-122.201812</v>
      </c>
      <c r="K1823" t="s">
        <v>3936</v>
      </c>
      <c r="L1823" t="s">
        <v>3946</v>
      </c>
      <c r="M1823" t="s">
        <v>5575</v>
      </c>
      <c r="P1823" t="s">
        <v>2507</v>
      </c>
    </row>
    <row r="1824" spans="1:16" x14ac:dyDescent="0.2">
      <c r="A1824" t="s">
        <v>2018</v>
      </c>
      <c r="B1824" t="s">
        <v>2508</v>
      </c>
      <c r="C1824" t="s">
        <v>2502</v>
      </c>
      <c r="D1824" t="s">
        <v>2307</v>
      </c>
      <c r="E1824">
        <v>98004</v>
      </c>
      <c r="F1824" t="s">
        <v>2019</v>
      </c>
      <c r="G1824" t="s">
        <v>1991</v>
      </c>
      <c r="H1824" t="s">
        <v>5469</v>
      </c>
      <c r="I1824">
        <v>47.616540000000001</v>
      </c>
      <c r="J1824">
        <v>-122.201573</v>
      </c>
      <c r="K1824" t="s">
        <v>3936</v>
      </c>
      <c r="L1824" t="s">
        <v>3946</v>
      </c>
      <c r="M1824" t="s">
        <v>5575</v>
      </c>
      <c r="P1824" t="s">
        <v>2508</v>
      </c>
    </row>
    <row r="1825" spans="1:16" x14ac:dyDescent="0.2">
      <c r="A1825" t="s">
        <v>2048</v>
      </c>
      <c r="B1825" t="s">
        <v>2509</v>
      </c>
      <c r="C1825" t="s">
        <v>66</v>
      </c>
      <c r="D1825" t="s">
        <v>2307</v>
      </c>
      <c r="E1825">
        <v>98109</v>
      </c>
      <c r="F1825" t="s">
        <v>1573</v>
      </c>
      <c r="G1825" t="s">
        <v>2014</v>
      </c>
      <c r="H1825" t="s">
        <v>4357</v>
      </c>
      <c r="I1825">
        <v>47.536439000000001</v>
      </c>
      <c r="J1825">
        <v>-122.361493</v>
      </c>
      <c r="K1825" t="s">
        <v>3936</v>
      </c>
      <c r="L1825" t="s">
        <v>3946</v>
      </c>
      <c r="M1825" t="s">
        <v>5575</v>
      </c>
      <c r="P1825" t="s">
        <v>2509</v>
      </c>
    </row>
    <row r="1826" spans="1:16" x14ac:dyDescent="0.2">
      <c r="A1826" t="s">
        <v>2011</v>
      </c>
      <c r="B1826" t="s">
        <v>2510</v>
      </c>
      <c r="C1826" t="s">
        <v>66</v>
      </c>
      <c r="D1826" t="s">
        <v>2307</v>
      </c>
      <c r="E1826">
        <v>98125</v>
      </c>
      <c r="F1826" t="s">
        <v>1573</v>
      </c>
      <c r="G1826" t="s">
        <v>1986</v>
      </c>
      <c r="H1826" t="s">
        <v>4358</v>
      </c>
      <c r="I1826">
        <v>47.719361999999997</v>
      </c>
      <c r="J1826">
        <v>-122.29491400000001</v>
      </c>
      <c r="K1826" t="s">
        <v>3936</v>
      </c>
      <c r="L1826" t="s">
        <v>3946</v>
      </c>
      <c r="M1826" t="s">
        <v>5575</v>
      </c>
      <c r="P1826" t="s">
        <v>2510</v>
      </c>
    </row>
    <row r="1827" spans="1:16" x14ac:dyDescent="0.2">
      <c r="A1827" t="s">
        <v>2007</v>
      </c>
      <c r="B1827" t="s">
        <v>2511</v>
      </c>
      <c r="C1827" t="s">
        <v>2502</v>
      </c>
      <c r="D1827" t="s">
        <v>2307</v>
      </c>
      <c r="E1827">
        <v>98004</v>
      </c>
      <c r="F1827" t="s">
        <v>1658</v>
      </c>
      <c r="G1827" t="s">
        <v>2008</v>
      </c>
      <c r="H1827" t="s">
        <v>5846</v>
      </c>
      <c r="I1827">
        <v>47.620966000000003</v>
      </c>
      <c r="J1827">
        <v>-122.199912</v>
      </c>
      <c r="K1827" t="s">
        <v>3936</v>
      </c>
      <c r="L1827" t="s">
        <v>3946</v>
      </c>
      <c r="M1827" t="s">
        <v>5575</v>
      </c>
      <c r="P1827" t="s">
        <v>2511</v>
      </c>
    </row>
    <row r="1828" spans="1:16" x14ac:dyDescent="0.2">
      <c r="A1828" t="s">
        <v>2018</v>
      </c>
      <c r="B1828" t="s">
        <v>2512</v>
      </c>
      <c r="C1828" t="s">
        <v>2502</v>
      </c>
      <c r="D1828" t="s">
        <v>2307</v>
      </c>
      <c r="E1828">
        <v>98004</v>
      </c>
      <c r="F1828" t="s">
        <v>1600</v>
      </c>
      <c r="G1828" t="s">
        <v>2027</v>
      </c>
      <c r="H1828" t="s">
        <v>4967</v>
      </c>
      <c r="I1828">
        <v>47.617508000000001</v>
      </c>
      <c r="J1828">
        <v>-122.20038599999999</v>
      </c>
      <c r="K1828" t="s">
        <v>3936</v>
      </c>
      <c r="L1828" t="s">
        <v>3946</v>
      </c>
      <c r="M1828" t="s">
        <v>5575</v>
      </c>
      <c r="P1828" t="s">
        <v>2512</v>
      </c>
    </row>
    <row r="1829" spans="1:16" x14ac:dyDescent="0.2">
      <c r="A1829" t="s">
        <v>2012</v>
      </c>
      <c r="B1829" t="s">
        <v>2513</v>
      </c>
      <c r="C1829" t="s">
        <v>66</v>
      </c>
      <c r="D1829" t="s">
        <v>2307</v>
      </c>
      <c r="E1829">
        <v>98136</v>
      </c>
      <c r="F1829" t="s">
        <v>1600</v>
      </c>
      <c r="G1829" t="s">
        <v>2005</v>
      </c>
      <c r="H1829" t="s">
        <v>4359</v>
      </c>
      <c r="I1829">
        <v>47.540582999999998</v>
      </c>
      <c r="J1829">
        <v>-122.387428</v>
      </c>
      <c r="K1829" t="s">
        <v>3936</v>
      </c>
      <c r="L1829" t="s">
        <v>3946</v>
      </c>
      <c r="M1829" t="s">
        <v>5575</v>
      </c>
      <c r="P1829" t="s">
        <v>2513</v>
      </c>
    </row>
    <row r="1830" spans="1:16" x14ac:dyDescent="0.2">
      <c r="A1830" t="s">
        <v>2011</v>
      </c>
      <c r="B1830" t="s">
        <v>2514</v>
      </c>
      <c r="C1830" t="s">
        <v>2502</v>
      </c>
      <c r="D1830" t="s">
        <v>2307</v>
      </c>
      <c r="E1830">
        <v>98004</v>
      </c>
      <c r="F1830" t="s">
        <v>1573</v>
      </c>
      <c r="G1830" t="s">
        <v>1986</v>
      </c>
      <c r="H1830" t="s">
        <v>4360</v>
      </c>
      <c r="I1830">
        <v>47.613720000000001</v>
      </c>
      <c r="J1830">
        <v>-122.20097800000001</v>
      </c>
      <c r="K1830" t="s">
        <v>3936</v>
      </c>
      <c r="L1830" t="s">
        <v>3946</v>
      </c>
      <c r="M1830" t="s">
        <v>5575</v>
      </c>
      <c r="P1830" t="s">
        <v>2514</v>
      </c>
    </row>
    <row r="1831" spans="1:16" x14ac:dyDescent="0.2">
      <c r="A1831" t="s">
        <v>2111</v>
      </c>
      <c r="B1831" t="s">
        <v>2515</v>
      </c>
      <c r="C1831" t="s">
        <v>2502</v>
      </c>
      <c r="D1831" t="s">
        <v>2307</v>
      </c>
      <c r="E1831">
        <v>98004</v>
      </c>
      <c r="F1831" t="s">
        <v>1600</v>
      </c>
      <c r="G1831" t="s">
        <v>2186</v>
      </c>
      <c r="H1831" t="s">
        <v>5379</v>
      </c>
      <c r="I1831">
        <v>47.611406000000002</v>
      </c>
      <c r="J1831">
        <v>-122.201358</v>
      </c>
      <c r="K1831" t="s">
        <v>3936</v>
      </c>
      <c r="L1831" t="s">
        <v>3946</v>
      </c>
      <c r="M1831" t="s">
        <v>5575</v>
      </c>
      <c r="P1831" t="s">
        <v>2515</v>
      </c>
    </row>
    <row r="1832" spans="1:16" x14ac:dyDescent="0.2">
      <c r="A1832" t="s">
        <v>3953</v>
      </c>
      <c r="B1832" t="s">
        <v>2516</v>
      </c>
      <c r="C1832" t="s">
        <v>386</v>
      </c>
      <c r="D1832" t="s">
        <v>2307</v>
      </c>
      <c r="E1832">
        <v>98133</v>
      </c>
      <c r="F1832" t="s">
        <v>1600</v>
      </c>
      <c r="G1832" t="s">
        <v>2112</v>
      </c>
      <c r="H1832" t="s">
        <v>5380</v>
      </c>
      <c r="I1832">
        <v>47.724732000000003</v>
      </c>
      <c r="J1832">
        <v>-122.34523299999999</v>
      </c>
      <c r="K1832" t="s">
        <v>3936</v>
      </c>
      <c r="L1832" t="s">
        <v>3946</v>
      </c>
      <c r="M1832" t="s">
        <v>5575</v>
      </c>
      <c r="P1832" t="s">
        <v>2516</v>
      </c>
    </row>
    <row r="1833" spans="1:16" x14ac:dyDescent="0.2">
      <c r="A1833" t="s">
        <v>2113</v>
      </c>
      <c r="B1833" t="s">
        <v>2517</v>
      </c>
      <c r="C1833" t="s">
        <v>66</v>
      </c>
      <c r="D1833" t="s">
        <v>2307</v>
      </c>
      <c r="E1833">
        <v>98133</v>
      </c>
      <c r="F1833" t="s">
        <v>1583</v>
      </c>
      <c r="G1833" t="s">
        <v>1980</v>
      </c>
      <c r="H1833" t="s">
        <v>5381</v>
      </c>
      <c r="I1833">
        <v>47.724732000000003</v>
      </c>
      <c r="J1833">
        <v>-122.34523299999999</v>
      </c>
      <c r="K1833" t="s">
        <v>3936</v>
      </c>
      <c r="L1833" t="s">
        <v>3946</v>
      </c>
      <c r="M1833" t="s">
        <v>5575</v>
      </c>
      <c r="P1833" t="s">
        <v>2517</v>
      </c>
    </row>
    <row r="1834" spans="1:16" x14ac:dyDescent="0.2">
      <c r="A1834" t="s">
        <v>2015</v>
      </c>
      <c r="B1834" t="s">
        <v>2518</v>
      </c>
      <c r="C1834" t="s">
        <v>2502</v>
      </c>
      <c r="D1834" t="s">
        <v>2307</v>
      </c>
      <c r="E1834">
        <v>98004</v>
      </c>
      <c r="F1834" t="s">
        <v>1573</v>
      </c>
      <c r="G1834" t="s">
        <v>2024</v>
      </c>
      <c r="H1834" t="s">
        <v>5847</v>
      </c>
      <c r="I1834">
        <v>47.611280999999998</v>
      </c>
      <c r="J1834">
        <v>-122.20167499999999</v>
      </c>
      <c r="K1834" t="s">
        <v>3936</v>
      </c>
      <c r="L1834" t="s">
        <v>3946</v>
      </c>
      <c r="M1834" t="s">
        <v>5575</v>
      </c>
      <c r="P1834" t="s">
        <v>5765</v>
      </c>
    </row>
    <row r="1835" spans="1:16" x14ac:dyDescent="0.2">
      <c r="A1835" t="s">
        <v>2013</v>
      </c>
      <c r="B1835" t="s">
        <v>2519</v>
      </c>
      <c r="C1835" t="s">
        <v>2506</v>
      </c>
      <c r="D1835" t="s">
        <v>2307</v>
      </c>
      <c r="E1835">
        <v>98033</v>
      </c>
      <c r="F1835" t="s">
        <v>1716</v>
      </c>
      <c r="G1835" t="s">
        <v>2000</v>
      </c>
      <c r="H1835" t="s">
        <v>4361</v>
      </c>
      <c r="I1835">
        <v>47.660449999999997</v>
      </c>
      <c r="J1835">
        <v>-122.20639199999999</v>
      </c>
      <c r="K1835" t="s">
        <v>3936</v>
      </c>
      <c r="L1835" t="s">
        <v>3946</v>
      </c>
      <c r="M1835" t="s">
        <v>5575</v>
      </c>
      <c r="P1835" t="s">
        <v>2519</v>
      </c>
    </row>
    <row r="1836" spans="1:16" x14ac:dyDescent="0.2">
      <c r="A1836" t="s">
        <v>2059</v>
      </c>
      <c r="B1836" t="s">
        <v>2520</v>
      </c>
      <c r="C1836" t="s">
        <v>2502</v>
      </c>
      <c r="D1836" t="s">
        <v>2307</v>
      </c>
      <c r="E1836">
        <v>98004</v>
      </c>
      <c r="F1836" t="s">
        <v>1600</v>
      </c>
      <c r="G1836" t="s">
        <v>2060</v>
      </c>
      <c r="H1836" t="s">
        <v>5848</v>
      </c>
      <c r="I1836">
        <v>47.609966999999997</v>
      </c>
      <c r="J1836">
        <v>-122.201307</v>
      </c>
      <c r="K1836" t="s">
        <v>3936</v>
      </c>
      <c r="L1836" t="s">
        <v>3946</v>
      </c>
      <c r="M1836" t="s">
        <v>5575</v>
      </c>
      <c r="P1836" t="s">
        <v>2520</v>
      </c>
    </row>
    <row r="1837" spans="1:16" x14ac:dyDescent="0.2">
      <c r="A1837" t="s">
        <v>2011</v>
      </c>
      <c r="B1837" t="s">
        <v>2521</v>
      </c>
      <c r="C1837" t="s">
        <v>2502</v>
      </c>
      <c r="D1837" t="s">
        <v>2307</v>
      </c>
      <c r="E1837">
        <v>98004</v>
      </c>
      <c r="F1837" t="s">
        <v>1573</v>
      </c>
      <c r="G1837" t="s">
        <v>1986</v>
      </c>
      <c r="H1837" t="s">
        <v>4362</v>
      </c>
      <c r="I1837">
        <v>47.620339000000001</v>
      </c>
      <c r="J1837">
        <v>-122.19893399999999</v>
      </c>
      <c r="K1837" t="s">
        <v>3936</v>
      </c>
      <c r="L1837" t="s">
        <v>3946</v>
      </c>
      <c r="M1837" t="s">
        <v>5575</v>
      </c>
      <c r="P1837" t="s">
        <v>5727</v>
      </c>
    </row>
    <row r="1838" spans="1:16" x14ac:dyDescent="0.2">
      <c r="A1838" t="s">
        <v>2114</v>
      </c>
      <c r="B1838" t="s">
        <v>5036</v>
      </c>
      <c r="C1838" t="s">
        <v>66</v>
      </c>
      <c r="D1838" t="s">
        <v>2307</v>
      </c>
      <c r="E1838">
        <v>98133</v>
      </c>
      <c r="F1838" t="s">
        <v>1583</v>
      </c>
      <c r="G1838" t="s">
        <v>1980</v>
      </c>
      <c r="H1838" t="s">
        <v>5328</v>
      </c>
      <c r="I1838">
        <v>47.724981</v>
      </c>
      <c r="J1838">
        <v>-122.344835</v>
      </c>
      <c r="K1838" t="s">
        <v>3936</v>
      </c>
      <c r="L1838" t="s">
        <v>3946</v>
      </c>
      <c r="M1838" t="s">
        <v>5575</v>
      </c>
      <c r="P1838" t="s">
        <v>5036</v>
      </c>
    </row>
    <row r="1839" spans="1:16" x14ac:dyDescent="0.2">
      <c r="A1839" t="s">
        <v>2011</v>
      </c>
      <c r="B1839" t="s">
        <v>6301</v>
      </c>
      <c r="C1839" t="s">
        <v>2502</v>
      </c>
      <c r="D1839" t="s">
        <v>2307</v>
      </c>
      <c r="E1839">
        <v>98004</v>
      </c>
      <c r="F1839" t="s">
        <v>1573</v>
      </c>
      <c r="G1839" t="s">
        <v>1986</v>
      </c>
      <c r="H1839" t="s">
        <v>4363</v>
      </c>
      <c r="I1839">
        <v>47.610022999999998</v>
      </c>
      <c r="J1839">
        <v>-122.200688</v>
      </c>
      <c r="K1839" t="s">
        <v>3936</v>
      </c>
      <c r="L1839" t="s">
        <v>3946</v>
      </c>
      <c r="M1839" t="s">
        <v>5575</v>
      </c>
      <c r="P1839" t="s">
        <v>6105</v>
      </c>
    </row>
    <row r="1840" spans="1:16" x14ac:dyDescent="0.2">
      <c r="A1840" t="s">
        <v>2115</v>
      </c>
      <c r="B1840" t="s">
        <v>2522</v>
      </c>
      <c r="C1840" t="s">
        <v>66</v>
      </c>
      <c r="D1840" t="s">
        <v>2307</v>
      </c>
      <c r="E1840">
        <v>98126</v>
      </c>
      <c r="F1840" t="s">
        <v>1585</v>
      </c>
      <c r="G1840" t="s">
        <v>1983</v>
      </c>
      <c r="H1840" t="s">
        <v>4364</v>
      </c>
      <c r="I1840">
        <v>47.535097</v>
      </c>
      <c r="J1840">
        <v>-122.376426</v>
      </c>
      <c r="K1840" t="s">
        <v>3936</v>
      </c>
      <c r="L1840" t="s">
        <v>3946</v>
      </c>
      <c r="M1840" t="s">
        <v>5575</v>
      </c>
      <c r="P1840" t="s">
        <v>2522</v>
      </c>
    </row>
    <row r="1841" spans="1:16" x14ac:dyDescent="0.2">
      <c r="A1841" t="s">
        <v>2116</v>
      </c>
      <c r="B1841" t="s">
        <v>2523</v>
      </c>
      <c r="C1841" t="s">
        <v>2502</v>
      </c>
      <c r="D1841" t="s">
        <v>2307</v>
      </c>
      <c r="E1841">
        <v>98004</v>
      </c>
      <c r="F1841" t="s">
        <v>1716</v>
      </c>
      <c r="G1841" t="s">
        <v>2000</v>
      </c>
      <c r="H1841" t="s">
        <v>5084</v>
      </c>
      <c r="I1841">
        <v>47.615031999999999</v>
      </c>
      <c r="J1841">
        <v>-122.196482</v>
      </c>
      <c r="K1841" t="s">
        <v>3936</v>
      </c>
      <c r="L1841" t="s">
        <v>3946</v>
      </c>
      <c r="M1841" t="s">
        <v>5575</v>
      </c>
      <c r="P1841" t="s">
        <v>2523</v>
      </c>
    </row>
    <row r="1842" spans="1:16" x14ac:dyDescent="0.2">
      <c r="A1842" t="s">
        <v>6221</v>
      </c>
      <c r="B1842" t="s">
        <v>2524</v>
      </c>
      <c r="C1842" t="s">
        <v>2502</v>
      </c>
      <c r="D1842" t="s">
        <v>2307</v>
      </c>
      <c r="E1842">
        <v>98004</v>
      </c>
      <c r="F1842" t="s">
        <v>1716</v>
      </c>
      <c r="G1842" t="s">
        <v>2000</v>
      </c>
      <c r="H1842" t="s">
        <v>4365</v>
      </c>
      <c r="I1842">
        <v>47.637501</v>
      </c>
      <c r="J1842">
        <v>-122.194343</v>
      </c>
      <c r="K1842" t="s">
        <v>3936</v>
      </c>
      <c r="L1842" t="s">
        <v>3946</v>
      </c>
      <c r="M1842" t="s">
        <v>5575</v>
      </c>
      <c r="P1842" t="s">
        <v>2524</v>
      </c>
    </row>
    <row r="1843" spans="1:16" x14ac:dyDescent="0.2">
      <c r="A1843" t="s">
        <v>2012</v>
      </c>
      <c r="B1843" t="s">
        <v>2525</v>
      </c>
      <c r="C1843" t="s">
        <v>2502</v>
      </c>
      <c r="D1843" t="s">
        <v>2307</v>
      </c>
      <c r="E1843">
        <v>98004</v>
      </c>
      <c r="F1843" t="s">
        <v>1600</v>
      </c>
      <c r="G1843" t="s">
        <v>2005</v>
      </c>
      <c r="H1843" t="s">
        <v>4366</v>
      </c>
      <c r="I1843">
        <v>47.613241000000002</v>
      </c>
      <c r="J1843">
        <v>-122.19637400000001</v>
      </c>
      <c r="K1843" t="s">
        <v>3936</v>
      </c>
      <c r="L1843" t="s">
        <v>3946</v>
      </c>
      <c r="M1843" t="s">
        <v>5575</v>
      </c>
      <c r="P1843" t="s">
        <v>2525</v>
      </c>
    </row>
    <row r="1844" spans="1:16" x14ac:dyDescent="0.2">
      <c r="A1844" t="s">
        <v>2018</v>
      </c>
      <c r="B1844" t="s">
        <v>2526</v>
      </c>
      <c r="C1844" t="s">
        <v>2502</v>
      </c>
      <c r="D1844" t="s">
        <v>2307</v>
      </c>
      <c r="E1844">
        <v>98004</v>
      </c>
      <c r="F1844" t="s">
        <v>2019</v>
      </c>
      <c r="G1844" t="s">
        <v>1991</v>
      </c>
      <c r="H1844" t="s">
        <v>5470</v>
      </c>
      <c r="I1844">
        <v>47.610242</v>
      </c>
      <c r="J1844">
        <v>-122.195841</v>
      </c>
      <c r="K1844" t="s">
        <v>3936</v>
      </c>
      <c r="L1844" t="s">
        <v>3946</v>
      </c>
      <c r="M1844" t="s">
        <v>5575</v>
      </c>
      <c r="P1844" t="s">
        <v>2526</v>
      </c>
    </row>
    <row r="1845" spans="1:16" x14ac:dyDescent="0.2">
      <c r="A1845" t="s">
        <v>2059</v>
      </c>
      <c r="B1845" t="s">
        <v>2527</v>
      </c>
      <c r="C1845" t="s">
        <v>66</v>
      </c>
      <c r="D1845" t="s">
        <v>2307</v>
      </c>
      <c r="E1845">
        <v>98125</v>
      </c>
      <c r="F1845" t="s">
        <v>1600</v>
      </c>
      <c r="G1845" t="s">
        <v>2135</v>
      </c>
      <c r="H1845" t="s">
        <v>5246</v>
      </c>
      <c r="I1845">
        <v>47.723959000000001</v>
      </c>
      <c r="J1845">
        <v>-122.292883</v>
      </c>
      <c r="K1845" t="s">
        <v>3936</v>
      </c>
      <c r="L1845" t="s">
        <v>3946</v>
      </c>
      <c r="M1845" t="s">
        <v>5575</v>
      </c>
      <c r="P1845" t="s">
        <v>2527</v>
      </c>
    </row>
    <row r="1846" spans="1:16" x14ac:dyDescent="0.2">
      <c r="A1846" t="s">
        <v>2011</v>
      </c>
      <c r="B1846" t="s">
        <v>2528</v>
      </c>
      <c r="C1846" t="s">
        <v>2502</v>
      </c>
      <c r="D1846" t="s">
        <v>2307</v>
      </c>
      <c r="E1846">
        <v>98004</v>
      </c>
      <c r="F1846" t="s">
        <v>1573</v>
      </c>
      <c r="G1846" t="s">
        <v>1986</v>
      </c>
      <c r="H1846" t="s">
        <v>4367</v>
      </c>
      <c r="I1846">
        <v>47.617519000000001</v>
      </c>
      <c r="J1846">
        <v>-122.193185</v>
      </c>
      <c r="K1846" t="s">
        <v>3936</v>
      </c>
      <c r="L1846" t="s">
        <v>3946</v>
      </c>
      <c r="M1846" t="s">
        <v>5575</v>
      </c>
      <c r="P1846" t="s">
        <v>2528</v>
      </c>
    </row>
    <row r="1847" spans="1:16" x14ac:dyDescent="0.2">
      <c r="A1847" t="s">
        <v>2161</v>
      </c>
      <c r="B1847" t="s">
        <v>5247</v>
      </c>
      <c r="C1847" t="s">
        <v>5248</v>
      </c>
      <c r="D1847" t="s">
        <v>2307</v>
      </c>
      <c r="E1847">
        <v>98004</v>
      </c>
      <c r="F1847" t="s">
        <v>1600</v>
      </c>
      <c r="G1847" t="s">
        <v>2162</v>
      </c>
      <c r="H1847" t="s">
        <v>5249</v>
      </c>
      <c r="I1847">
        <v>47.646161999999997</v>
      </c>
      <c r="J1847">
        <v>-122.193378</v>
      </c>
      <c r="K1847" t="s">
        <v>3936</v>
      </c>
      <c r="L1847" t="s">
        <v>3946</v>
      </c>
      <c r="M1847" t="s">
        <v>5575</v>
      </c>
      <c r="P1847" t="s">
        <v>5247</v>
      </c>
    </row>
    <row r="1848" spans="1:16" x14ac:dyDescent="0.2">
      <c r="A1848" t="s">
        <v>2011</v>
      </c>
      <c r="B1848" t="s">
        <v>6302</v>
      </c>
      <c r="C1848" t="s">
        <v>2502</v>
      </c>
      <c r="D1848" t="s">
        <v>2307</v>
      </c>
      <c r="E1848">
        <v>98004</v>
      </c>
      <c r="F1848" t="s">
        <v>1573</v>
      </c>
      <c r="G1848" t="s">
        <v>1986</v>
      </c>
      <c r="H1848" t="s">
        <v>4368</v>
      </c>
      <c r="I1848">
        <v>47.613101</v>
      </c>
      <c r="J1848">
        <v>-122.19344100000001</v>
      </c>
      <c r="K1848" t="s">
        <v>3936</v>
      </c>
      <c r="L1848" t="s">
        <v>3946</v>
      </c>
      <c r="M1848" t="s">
        <v>5575</v>
      </c>
      <c r="P1848" t="s">
        <v>6106</v>
      </c>
    </row>
    <row r="1849" spans="1:16" x14ac:dyDescent="0.2">
      <c r="A1849" t="s">
        <v>2012</v>
      </c>
      <c r="B1849" t="s">
        <v>2529</v>
      </c>
      <c r="C1849" t="s">
        <v>2506</v>
      </c>
      <c r="D1849" t="s">
        <v>2307</v>
      </c>
      <c r="E1849">
        <v>98033</v>
      </c>
      <c r="F1849" t="s">
        <v>1600</v>
      </c>
      <c r="G1849" t="s">
        <v>2005</v>
      </c>
      <c r="H1849" t="s">
        <v>4369</v>
      </c>
      <c r="I1849">
        <v>47.676538000000001</v>
      </c>
      <c r="J1849">
        <v>-122.20769799999999</v>
      </c>
      <c r="K1849" t="s">
        <v>3936</v>
      </c>
      <c r="L1849" t="s">
        <v>3946</v>
      </c>
      <c r="M1849" t="s">
        <v>5575</v>
      </c>
      <c r="P1849" t="s">
        <v>2529</v>
      </c>
    </row>
    <row r="1850" spans="1:16" x14ac:dyDescent="0.2">
      <c r="A1850" t="s">
        <v>2018</v>
      </c>
      <c r="B1850" t="s">
        <v>2530</v>
      </c>
      <c r="C1850" t="s">
        <v>2506</v>
      </c>
      <c r="D1850" t="s">
        <v>2307</v>
      </c>
      <c r="E1850">
        <v>98033</v>
      </c>
      <c r="F1850" t="s">
        <v>1600</v>
      </c>
      <c r="G1850" t="s">
        <v>2027</v>
      </c>
      <c r="H1850" t="s">
        <v>5471</v>
      </c>
      <c r="I1850">
        <v>47.674664999999997</v>
      </c>
      <c r="J1850">
        <v>-122.205957</v>
      </c>
      <c r="K1850" t="s">
        <v>3936</v>
      </c>
      <c r="L1850" t="s">
        <v>3946</v>
      </c>
      <c r="M1850" t="s">
        <v>5575</v>
      </c>
      <c r="P1850" t="s">
        <v>2530</v>
      </c>
    </row>
    <row r="1851" spans="1:16" x14ac:dyDescent="0.2">
      <c r="A1851" t="s">
        <v>2011</v>
      </c>
      <c r="B1851" t="s">
        <v>2531</v>
      </c>
      <c r="C1851" t="s">
        <v>2506</v>
      </c>
      <c r="D1851" t="s">
        <v>2307</v>
      </c>
      <c r="E1851">
        <v>98033</v>
      </c>
      <c r="F1851" t="s">
        <v>1573</v>
      </c>
      <c r="G1851" t="s">
        <v>1986</v>
      </c>
      <c r="H1851" t="s">
        <v>4370</v>
      </c>
      <c r="I1851">
        <v>47.677081000000001</v>
      </c>
      <c r="J1851">
        <v>-122.204285</v>
      </c>
      <c r="K1851" t="s">
        <v>3936</v>
      </c>
      <c r="L1851" t="s">
        <v>3946</v>
      </c>
      <c r="M1851" t="s">
        <v>5575</v>
      </c>
      <c r="P1851" t="s">
        <v>2531</v>
      </c>
    </row>
    <row r="1852" spans="1:16" x14ac:dyDescent="0.2">
      <c r="A1852" t="s">
        <v>2013</v>
      </c>
      <c r="B1852" t="s">
        <v>2532</v>
      </c>
      <c r="C1852" t="s">
        <v>66</v>
      </c>
      <c r="D1852" t="s">
        <v>2307</v>
      </c>
      <c r="E1852">
        <v>98133</v>
      </c>
      <c r="F1852" t="s">
        <v>1716</v>
      </c>
      <c r="G1852" t="s">
        <v>2000</v>
      </c>
      <c r="H1852" t="s">
        <v>4371</v>
      </c>
      <c r="I1852">
        <v>47.732492000000001</v>
      </c>
      <c r="J1852">
        <v>-122.345241</v>
      </c>
      <c r="K1852" t="s">
        <v>3936</v>
      </c>
      <c r="L1852" t="s">
        <v>3946</v>
      </c>
      <c r="M1852" t="s">
        <v>5575</v>
      </c>
      <c r="P1852" t="s">
        <v>2532</v>
      </c>
    </row>
    <row r="1853" spans="1:16" x14ac:dyDescent="0.2">
      <c r="A1853" t="s">
        <v>2117</v>
      </c>
      <c r="B1853" t="s">
        <v>2533</v>
      </c>
      <c r="C1853" t="s">
        <v>2506</v>
      </c>
      <c r="D1853" t="s">
        <v>2307</v>
      </c>
      <c r="E1853">
        <v>98033</v>
      </c>
      <c r="F1853" t="s">
        <v>1716</v>
      </c>
      <c r="G1853" t="s">
        <v>2005</v>
      </c>
      <c r="H1853" t="s">
        <v>4372</v>
      </c>
      <c r="I1853">
        <v>47.675379</v>
      </c>
      <c r="J1853">
        <v>-122.202538</v>
      </c>
      <c r="K1853" t="s">
        <v>3936</v>
      </c>
      <c r="L1853" t="s">
        <v>3946</v>
      </c>
      <c r="M1853" t="s">
        <v>5575</v>
      </c>
      <c r="P1853" t="s">
        <v>2533</v>
      </c>
    </row>
    <row r="1854" spans="1:16" x14ac:dyDescent="0.2">
      <c r="A1854" t="s">
        <v>2048</v>
      </c>
      <c r="B1854" t="s">
        <v>2534</v>
      </c>
      <c r="C1854" t="s">
        <v>66</v>
      </c>
      <c r="D1854" t="s">
        <v>2307</v>
      </c>
      <c r="E1854">
        <v>98133</v>
      </c>
      <c r="F1854" t="s">
        <v>1573</v>
      </c>
      <c r="G1854" t="s">
        <v>2014</v>
      </c>
      <c r="H1854" t="s">
        <v>4373</v>
      </c>
      <c r="I1854">
        <v>47.733443999999999</v>
      </c>
      <c r="J1854">
        <v>-122.35536500000001</v>
      </c>
      <c r="K1854" t="s">
        <v>3936</v>
      </c>
      <c r="L1854" t="s">
        <v>3946</v>
      </c>
      <c r="M1854" t="s">
        <v>5575</v>
      </c>
      <c r="P1854" t="s">
        <v>2534</v>
      </c>
    </row>
    <row r="1855" spans="1:16" x14ac:dyDescent="0.2">
      <c r="A1855" t="s">
        <v>2011</v>
      </c>
      <c r="B1855" t="s">
        <v>6303</v>
      </c>
      <c r="C1855" t="s">
        <v>2502</v>
      </c>
      <c r="D1855" t="s">
        <v>2307</v>
      </c>
      <c r="E1855">
        <v>98005</v>
      </c>
      <c r="F1855" t="s">
        <v>1573</v>
      </c>
      <c r="G1855" t="s">
        <v>1986</v>
      </c>
      <c r="H1855" t="s">
        <v>4374</v>
      </c>
      <c r="I1855">
        <v>47.6203</v>
      </c>
      <c r="J1855">
        <v>-122.18547100000001</v>
      </c>
      <c r="K1855" t="s">
        <v>3936</v>
      </c>
      <c r="L1855" t="s">
        <v>3946</v>
      </c>
      <c r="M1855" t="s">
        <v>5575</v>
      </c>
      <c r="P1855" t="s">
        <v>6107</v>
      </c>
    </row>
    <row r="1856" spans="1:16" x14ac:dyDescent="0.2">
      <c r="A1856" t="s">
        <v>3952</v>
      </c>
      <c r="B1856" t="s">
        <v>2535</v>
      </c>
      <c r="C1856" t="s">
        <v>66</v>
      </c>
      <c r="D1856" t="s">
        <v>2307</v>
      </c>
      <c r="E1856">
        <v>98125</v>
      </c>
      <c r="F1856" t="s">
        <v>1573</v>
      </c>
      <c r="G1856" t="s">
        <v>2014</v>
      </c>
      <c r="H1856" t="s">
        <v>4375</v>
      </c>
      <c r="I1856">
        <v>47.732990000000001</v>
      </c>
      <c r="J1856">
        <v>-122.31254300000001</v>
      </c>
      <c r="K1856" t="s">
        <v>3936</v>
      </c>
      <c r="L1856" t="s">
        <v>3946</v>
      </c>
      <c r="M1856" t="s">
        <v>5575</v>
      </c>
      <c r="P1856" t="s">
        <v>2535</v>
      </c>
    </row>
    <row r="1857" spans="1:16" x14ac:dyDescent="0.2">
      <c r="A1857" t="s">
        <v>2048</v>
      </c>
      <c r="B1857" t="s">
        <v>2536</v>
      </c>
      <c r="C1857" t="s">
        <v>2502</v>
      </c>
      <c r="D1857" t="s">
        <v>2307</v>
      </c>
      <c r="E1857">
        <v>98005</v>
      </c>
      <c r="F1857" t="s">
        <v>1573</v>
      </c>
      <c r="G1857" t="s">
        <v>2014</v>
      </c>
      <c r="H1857" t="s">
        <v>4376</v>
      </c>
      <c r="I1857">
        <v>47.617109999999997</v>
      </c>
      <c r="J1857">
        <v>-122.18523</v>
      </c>
      <c r="K1857" t="s">
        <v>3936</v>
      </c>
      <c r="L1857" t="s">
        <v>3946</v>
      </c>
      <c r="M1857" t="s">
        <v>5575</v>
      </c>
      <c r="P1857" t="s">
        <v>2536</v>
      </c>
    </row>
    <row r="1858" spans="1:16" x14ac:dyDescent="0.2">
      <c r="A1858" t="s">
        <v>2011</v>
      </c>
      <c r="B1858" t="s">
        <v>2537</v>
      </c>
      <c r="C1858" t="s">
        <v>66</v>
      </c>
      <c r="D1858" t="s">
        <v>2307</v>
      </c>
      <c r="E1858">
        <v>98108</v>
      </c>
      <c r="F1858" t="s">
        <v>1573</v>
      </c>
      <c r="G1858" t="s">
        <v>1986</v>
      </c>
      <c r="H1858" t="s">
        <v>4377</v>
      </c>
      <c r="I1858">
        <v>47.524534000000003</v>
      </c>
      <c r="J1858">
        <v>-122.315141</v>
      </c>
      <c r="K1858" t="s">
        <v>3936</v>
      </c>
      <c r="L1858" t="s">
        <v>3946</v>
      </c>
      <c r="M1858" t="s">
        <v>5575</v>
      </c>
      <c r="P1858" t="s">
        <v>6010</v>
      </c>
    </row>
    <row r="1859" spans="1:16" x14ac:dyDescent="0.2">
      <c r="A1859" t="s">
        <v>2118</v>
      </c>
      <c r="B1859" t="s">
        <v>2538</v>
      </c>
      <c r="C1859" t="s">
        <v>2502</v>
      </c>
      <c r="D1859" t="s">
        <v>2307</v>
      </c>
      <c r="E1859">
        <v>98005</v>
      </c>
      <c r="F1859" t="s">
        <v>1600</v>
      </c>
      <c r="G1859" t="s">
        <v>2255</v>
      </c>
      <c r="H1859" t="s">
        <v>5849</v>
      </c>
      <c r="I1859">
        <v>47.631777</v>
      </c>
      <c r="J1859">
        <v>-122.18070400000001</v>
      </c>
      <c r="K1859" t="s">
        <v>3936</v>
      </c>
      <c r="L1859" t="s">
        <v>3946</v>
      </c>
      <c r="M1859" t="s">
        <v>5575</v>
      </c>
      <c r="P1859" t="s">
        <v>2538</v>
      </c>
    </row>
    <row r="1860" spans="1:16" x14ac:dyDescent="0.2">
      <c r="A1860" t="s">
        <v>2119</v>
      </c>
      <c r="B1860" t="s">
        <v>2538</v>
      </c>
      <c r="C1860" t="s">
        <v>2502</v>
      </c>
      <c r="D1860" t="s">
        <v>2307</v>
      </c>
      <c r="E1860">
        <v>98005</v>
      </c>
      <c r="F1860" t="s">
        <v>1658</v>
      </c>
      <c r="G1860" t="s">
        <v>1969</v>
      </c>
      <c r="H1860" t="s">
        <v>5250</v>
      </c>
      <c r="I1860">
        <v>47.631777</v>
      </c>
      <c r="J1860">
        <v>-122.18070400000001</v>
      </c>
      <c r="K1860" t="s">
        <v>3936</v>
      </c>
      <c r="L1860" t="s">
        <v>3946</v>
      </c>
      <c r="M1860" t="s">
        <v>5575</v>
      </c>
      <c r="P1860" t="s">
        <v>2538</v>
      </c>
    </row>
    <row r="1861" spans="1:16" x14ac:dyDescent="0.2">
      <c r="A1861" t="s">
        <v>2015</v>
      </c>
      <c r="B1861" t="s">
        <v>2539</v>
      </c>
      <c r="C1861" t="s">
        <v>2506</v>
      </c>
      <c r="D1861" t="s">
        <v>2307</v>
      </c>
      <c r="E1861">
        <v>98033</v>
      </c>
      <c r="F1861" t="s">
        <v>1573</v>
      </c>
      <c r="G1861" t="s">
        <v>2024</v>
      </c>
      <c r="H1861" t="s">
        <v>5850</v>
      </c>
      <c r="I1861">
        <v>47.679127999999999</v>
      </c>
      <c r="J1861">
        <v>-122.19779800000001</v>
      </c>
      <c r="K1861" t="s">
        <v>3936</v>
      </c>
      <c r="L1861" t="s">
        <v>3946</v>
      </c>
      <c r="M1861" t="s">
        <v>5575</v>
      </c>
      <c r="P1861" t="s">
        <v>2539</v>
      </c>
    </row>
    <row r="1862" spans="1:16" x14ac:dyDescent="0.2">
      <c r="A1862" t="s">
        <v>2120</v>
      </c>
      <c r="B1862" t="s">
        <v>2540</v>
      </c>
      <c r="C1862" t="s">
        <v>386</v>
      </c>
      <c r="D1862" t="s">
        <v>2307</v>
      </c>
      <c r="E1862">
        <v>98133</v>
      </c>
      <c r="F1862" t="s">
        <v>1716</v>
      </c>
      <c r="G1862" t="s">
        <v>1990</v>
      </c>
      <c r="H1862" t="s">
        <v>5004</v>
      </c>
      <c r="I1862">
        <v>47.738770000000002</v>
      </c>
      <c r="J1862">
        <v>-122.344055</v>
      </c>
      <c r="K1862" t="s">
        <v>3936</v>
      </c>
      <c r="L1862" t="s">
        <v>3946</v>
      </c>
      <c r="M1862" t="s">
        <v>5575</v>
      </c>
      <c r="P1862" t="s">
        <v>2540</v>
      </c>
    </row>
    <row r="1863" spans="1:16" x14ac:dyDescent="0.2">
      <c r="A1863" t="s">
        <v>2011</v>
      </c>
      <c r="B1863" t="s">
        <v>2541</v>
      </c>
      <c r="C1863" t="s">
        <v>66</v>
      </c>
      <c r="D1863" t="s">
        <v>2307</v>
      </c>
      <c r="E1863">
        <v>98133</v>
      </c>
      <c r="F1863" t="s">
        <v>1573</v>
      </c>
      <c r="G1863" t="s">
        <v>1986</v>
      </c>
      <c r="H1863" t="s">
        <v>4378</v>
      </c>
      <c r="I1863">
        <v>47.742942999999997</v>
      </c>
      <c r="J1863">
        <v>-122.34649400000001</v>
      </c>
      <c r="K1863" t="s">
        <v>3936</v>
      </c>
      <c r="L1863" t="s">
        <v>3946</v>
      </c>
      <c r="M1863" t="s">
        <v>5575</v>
      </c>
      <c r="P1863" t="s">
        <v>2541</v>
      </c>
    </row>
    <row r="1864" spans="1:16" x14ac:dyDescent="0.2">
      <c r="A1864" t="s">
        <v>2121</v>
      </c>
      <c r="B1864" t="s">
        <v>2542</v>
      </c>
      <c r="C1864" t="s">
        <v>66</v>
      </c>
      <c r="D1864" t="s">
        <v>2307</v>
      </c>
      <c r="E1864">
        <v>98126</v>
      </c>
      <c r="F1864" t="s">
        <v>1585</v>
      </c>
      <c r="G1864" t="s">
        <v>2122</v>
      </c>
      <c r="H1864" t="s">
        <v>4379</v>
      </c>
      <c r="I1864">
        <v>47.518335999999998</v>
      </c>
      <c r="J1864">
        <v>-122.376655</v>
      </c>
      <c r="K1864" t="s">
        <v>3936</v>
      </c>
      <c r="L1864" t="s">
        <v>3946</v>
      </c>
      <c r="M1864" t="s">
        <v>5575</v>
      </c>
      <c r="P1864" t="s">
        <v>2542</v>
      </c>
    </row>
    <row r="1865" spans="1:16" x14ac:dyDescent="0.2">
      <c r="A1865" t="s">
        <v>2123</v>
      </c>
      <c r="B1865" t="s">
        <v>2543</v>
      </c>
      <c r="C1865" t="s">
        <v>66</v>
      </c>
      <c r="D1865" t="s">
        <v>2307</v>
      </c>
      <c r="E1865">
        <v>98106</v>
      </c>
      <c r="F1865" t="s">
        <v>2044</v>
      </c>
      <c r="G1865" t="s">
        <v>2005</v>
      </c>
      <c r="H1865" t="s">
        <v>4380</v>
      </c>
      <c r="I1865">
        <v>47.514404999999996</v>
      </c>
      <c r="J1865">
        <v>-122.34503100000001</v>
      </c>
      <c r="K1865" t="s">
        <v>3936</v>
      </c>
      <c r="L1865" t="s">
        <v>3946</v>
      </c>
      <c r="M1865" t="s">
        <v>5575</v>
      </c>
      <c r="P1865" t="s">
        <v>2543</v>
      </c>
    </row>
    <row r="1866" spans="1:16" x14ac:dyDescent="0.2">
      <c r="A1866" t="s">
        <v>2048</v>
      </c>
      <c r="B1866" t="s">
        <v>2544</v>
      </c>
      <c r="C1866" t="s">
        <v>2502</v>
      </c>
      <c r="D1866" t="s">
        <v>2307</v>
      </c>
      <c r="E1866">
        <v>98005</v>
      </c>
      <c r="F1866" t="s">
        <v>1573</v>
      </c>
      <c r="G1866" t="s">
        <v>2014</v>
      </c>
      <c r="H1866" t="s">
        <v>4381</v>
      </c>
      <c r="I1866">
        <v>47.628008000000001</v>
      </c>
      <c r="J1866">
        <v>-122.168072</v>
      </c>
      <c r="K1866" t="s">
        <v>3936</v>
      </c>
      <c r="L1866" t="s">
        <v>3946</v>
      </c>
      <c r="M1866" t="s">
        <v>5575</v>
      </c>
      <c r="P1866" t="s">
        <v>2544</v>
      </c>
    </row>
    <row r="1867" spans="1:16" x14ac:dyDescent="0.2">
      <c r="A1867" t="s">
        <v>2124</v>
      </c>
      <c r="B1867" t="s">
        <v>2545</v>
      </c>
      <c r="C1867" t="s">
        <v>2502</v>
      </c>
      <c r="D1867" t="s">
        <v>2307</v>
      </c>
      <c r="E1867">
        <v>98005</v>
      </c>
      <c r="F1867" t="s">
        <v>2019</v>
      </c>
      <c r="G1867" t="s">
        <v>2005</v>
      </c>
      <c r="H1867" t="s">
        <v>5800</v>
      </c>
      <c r="I1867">
        <v>47.616816999999998</v>
      </c>
      <c r="J1867">
        <v>-122.18051</v>
      </c>
      <c r="K1867" t="s">
        <v>3936</v>
      </c>
      <c r="L1867" t="s">
        <v>3946</v>
      </c>
      <c r="M1867" t="s">
        <v>5575</v>
      </c>
      <c r="P1867" t="s">
        <v>5745</v>
      </c>
    </row>
    <row r="1868" spans="1:16" x14ac:dyDescent="0.2">
      <c r="A1868" t="s">
        <v>3954</v>
      </c>
      <c r="B1868" t="s">
        <v>2546</v>
      </c>
      <c r="C1868" t="s">
        <v>66</v>
      </c>
      <c r="D1868" t="s">
        <v>2307</v>
      </c>
      <c r="E1868">
        <v>98146</v>
      </c>
      <c r="F1868" t="s">
        <v>1600</v>
      </c>
      <c r="G1868" t="s">
        <v>5579</v>
      </c>
      <c r="H1868" t="s">
        <v>5851</v>
      </c>
      <c r="I1868">
        <v>47.512765000000002</v>
      </c>
      <c r="J1868">
        <v>-122.354994</v>
      </c>
      <c r="K1868" t="s">
        <v>3936</v>
      </c>
      <c r="L1868" t="s">
        <v>3946</v>
      </c>
      <c r="M1868" t="s">
        <v>5575</v>
      </c>
      <c r="P1868" t="s">
        <v>2546</v>
      </c>
    </row>
    <row r="1869" spans="1:16" x14ac:dyDescent="0.2">
      <c r="A1869" t="s">
        <v>2059</v>
      </c>
      <c r="B1869" t="s">
        <v>2547</v>
      </c>
      <c r="C1869" t="s">
        <v>66</v>
      </c>
      <c r="D1869" t="s">
        <v>2307</v>
      </c>
      <c r="E1869">
        <v>98118</v>
      </c>
      <c r="F1869" t="s">
        <v>1600</v>
      </c>
      <c r="G1869" t="s">
        <v>2063</v>
      </c>
      <c r="H1869" t="s">
        <v>5009</v>
      </c>
      <c r="I1869">
        <v>47.522078</v>
      </c>
      <c r="J1869">
        <v>-122.269854</v>
      </c>
      <c r="K1869" t="s">
        <v>3936</v>
      </c>
      <c r="L1869" t="s">
        <v>3946</v>
      </c>
      <c r="M1869" t="s">
        <v>5575</v>
      </c>
      <c r="P1869" t="s">
        <v>2547</v>
      </c>
    </row>
    <row r="1870" spans="1:16" x14ac:dyDescent="0.2">
      <c r="A1870" t="s">
        <v>2011</v>
      </c>
      <c r="B1870" t="s">
        <v>6304</v>
      </c>
      <c r="C1870" t="s">
        <v>2548</v>
      </c>
      <c r="D1870" t="s">
        <v>2307</v>
      </c>
      <c r="E1870">
        <v>98011</v>
      </c>
      <c r="F1870" t="s">
        <v>1573</v>
      </c>
      <c r="G1870" t="s">
        <v>1986</v>
      </c>
      <c r="H1870" t="s">
        <v>4382</v>
      </c>
      <c r="I1870">
        <v>47.728878999999999</v>
      </c>
      <c r="J1870">
        <v>-122.24418900000001</v>
      </c>
      <c r="K1870" t="s">
        <v>3936</v>
      </c>
      <c r="L1870" t="s">
        <v>3946</v>
      </c>
      <c r="M1870" t="s">
        <v>5575</v>
      </c>
      <c r="P1870" t="s">
        <v>6108</v>
      </c>
    </row>
    <row r="1871" spans="1:16" x14ac:dyDescent="0.2">
      <c r="A1871" t="s">
        <v>3955</v>
      </c>
      <c r="B1871" t="s">
        <v>2549</v>
      </c>
      <c r="C1871" t="s">
        <v>2550</v>
      </c>
      <c r="D1871" t="s">
        <v>2307</v>
      </c>
      <c r="E1871">
        <v>98146</v>
      </c>
      <c r="F1871" t="s">
        <v>1658</v>
      </c>
      <c r="G1871" t="s">
        <v>2128</v>
      </c>
      <c r="H1871" t="s">
        <v>5852</v>
      </c>
      <c r="I1871">
        <v>47.510852999999997</v>
      </c>
      <c r="J1871">
        <v>-122.354924</v>
      </c>
      <c r="K1871" t="s">
        <v>3936</v>
      </c>
      <c r="L1871" t="s">
        <v>3946</v>
      </c>
      <c r="M1871" t="s">
        <v>5575</v>
      </c>
      <c r="P1871" t="s">
        <v>2549</v>
      </c>
    </row>
    <row r="1872" spans="1:16" x14ac:dyDescent="0.2">
      <c r="A1872" t="s">
        <v>2011</v>
      </c>
      <c r="B1872" t="s">
        <v>2551</v>
      </c>
      <c r="C1872" t="s">
        <v>2506</v>
      </c>
      <c r="D1872" t="s">
        <v>2307</v>
      </c>
      <c r="E1872">
        <v>98033</v>
      </c>
      <c r="F1872" t="s">
        <v>1573</v>
      </c>
      <c r="G1872" t="s">
        <v>1986</v>
      </c>
      <c r="H1872" t="s">
        <v>4383</v>
      </c>
      <c r="I1872">
        <v>47.679729999999999</v>
      </c>
      <c r="J1872">
        <v>-122.178099</v>
      </c>
      <c r="K1872" t="s">
        <v>3936</v>
      </c>
      <c r="L1872" t="s">
        <v>3946</v>
      </c>
      <c r="M1872" t="s">
        <v>5575</v>
      </c>
      <c r="P1872" t="s">
        <v>5766</v>
      </c>
    </row>
    <row r="1873" spans="1:16" x14ac:dyDescent="0.2">
      <c r="A1873" t="s">
        <v>2126</v>
      </c>
      <c r="B1873" t="s">
        <v>2552</v>
      </c>
      <c r="C1873" t="s">
        <v>2506</v>
      </c>
      <c r="D1873" t="s">
        <v>2307</v>
      </c>
      <c r="E1873">
        <v>98033</v>
      </c>
      <c r="F1873" t="s">
        <v>1716</v>
      </c>
      <c r="G1873" t="s">
        <v>1989</v>
      </c>
      <c r="H1873" t="s">
        <v>5514</v>
      </c>
      <c r="I1873">
        <v>47.679904000000001</v>
      </c>
      <c r="J1873">
        <v>-122.17810299999999</v>
      </c>
      <c r="K1873" t="s">
        <v>3936</v>
      </c>
      <c r="L1873" t="s">
        <v>3946</v>
      </c>
      <c r="M1873" t="s">
        <v>5575</v>
      </c>
      <c r="P1873" t="s">
        <v>2552</v>
      </c>
    </row>
    <row r="1874" spans="1:16" x14ac:dyDescent="0.2">
      <c r="A1874" t="s">
        <v>3952</v>
      </c>
      <c r="B1874" t="s">
        <v>2553</v>
      </c>
      <c r="C1874" t="s">
        <v>66</v>
      </c>
      <c r="D1874" t="s">
        <v>2307</v>
      </c>
      <c r="E1874">
        <v>98146</v>
      </c>
      <c r="F1874" t="s">
        <v>1573</v>
      </c>
      <c r="G1874" t="s">
        <v>2014</v>
      </c>
      <c r="H1874" t="s">
        <v>4384</v>
      </c>
      <c r="I1874">
        <v>47.509920999999999</v>
      </c>
      <c r="J1874">
        <v>-122.35406</v>
      </c>
      <c r="K1874" t="s">
        <v>3936</v>
      </c>
      <c r="L1874" t="s">
        <v>3946</v>
      </c>
      <c r="M1874" t="s">
        <v>5575</v>
      </c>
      <c r="P1874" t="s">
        <v>2553</v>
      </c>
    </row>
    <row r="1875" spans="1:16" x14ac:dyDescent="0.2">
      <c r="A1875" t="s">
        <v>2011</v>
      </c>
      <c r="B1875" t="s">
        <v>6305</v>
      </c>
      <c r="C1875" t="s">
        <v>66</v>
      </c>
      <c r="D1875" t="s">
        <v>2307</v>
      </c>
      <c r="E1875">
        <v>98146</v>
      </c>
      <c r="F1875" t="s">
        <v>1573</v>
      </c>
      <c r="G1875" t="s">
        <v>1986</v>
      </c>
      <c r="H1875" t="s">
        <v>4385</v>
      </c>
      <c r="I1875">
        <v>47.509810000000002</v>
      </c>
      <c r="J1875">
        <v>-122.354917</v>
      </c>
      <c r="K1875" t="s">
        <v>3936</v>
      </c>
      <c r="L1875" t="s">
        <v>3946</v>
      </c>
      <c r="M1875" t="s">
        <v>5575</v>
      </c>
      <c r="P1875" t="s">
        <v>6109</v>
      </c>
    </row>
    <row r="1876" spans="1:16" x14ac:dyDescent="0.2">
      <c r="A1876" t="s">
        <v>2011</v>
      </c>
      <c r="B1876" t="s">
        <v>2554</v>
      </c>
      <c r="C1876" t="s">
        <v>2555</v>
      </c>
      <c r="D1876" t="s">
        <v>2307</v>
      </c>
      <c r="E1876">
        <v>98110</v>
      </c>
      <c r="F1876" t="s">
        <v>1573</v>
      </c>
      <c r="G1876" t="s">
        <v>1986</v>
      </c>
      <c r="H1876" t="s">
        <v>4386</v>
      </c>
      <c r="I1876">
        <v>47.624975999999997</v>
      </c>
      <c r="J1876">
        <v>-122.518519</v>
      </c>
      <c r="K1876" t="s">
        <v>3936</v>
      </c>
      <c r="L1876" t="s">
        <v>3946</v>
      </c>
      <c r="M1876" t="s">
        <v>5575</v>
      </c>
      <c r="P1876" t="s">
        <v>5751</v>
      </c>
    </row>
    <row r="1877" spans="1:16" x14ac:dyDescent="0.2">
      <c r="A1877" t="s">
        <v>2127</v>
      </c>
      <c r="B1877" t="s">
        <v>2556</v>
      </c>
      <c r="C1877" t="s">
        <v>66</v>
      </c>
      <c r="D1877" t="s">
        <v>2307</v>
      </c>
      <c r="E1877">
        <v>98118</v>
      </c>
      <c r="F1877" t="s">
        <v>1600</v>
      </c>
      <c r="G1877" t="s">
        <v>1984</v>
      </c>
      <c r="H1877" t="s">
        <v>5515</v>
      </c>
      <c r="I1877">
        <v>47.519897999999998</v>
      </c>
      <c r="J1877">
        <v>-122.26350100000001</v>
      </c>
      <c r="K1877" t="s">
        <v>3936</v>
      </c>
      <c r="L1877" t="s">
        <v>3946</v>
      </c>
      <c r="M1877" t="s">
        <v>5575</v>
      </c>
      <c r="P1877" t="s">
        <v>2556</v>
      </c>
    </row>
    <row r="1878" spans="1:16" x14ac:dyDescent="0.2">
      <c r="A1878" t="s">
        <v>2011</v>
      </c>
      <c r="B1878" t="s">
        <v>6306</v>
      </c>
      <c r="C1878" t="s">
        <v>2506</v>
      </c>
      <c r="D1878" t="s">
        <v>2307</v>
      </c>
      <c r="E1878">
        <v>98033</v>
      </c>
      <c r="F1878" t="s">
        <v>1573</v>
      </c>
      <c r="G1878" t="s">
        <v>1986</v>
      </c>
      <c r="H1878" t="s">
        <v>4387</v>
      </c>
      <c r="I1878">
        <v>47.664231000000001</v>
      </c>
      <c r="J1878">
        <v>-122.164293</v>
      </c>
      <c r="K1878" t="s">
        <v>3936</v>
      </c>
      <c r="L1878" t="s">
        <v>3946</v>
      </c>
      <c r="M1878" t="s">
        <v>5575</v>
      </c>
      <c r="P1878" t="s">
        <v>6110</v>
      </c>
    </row>
    <row r="1879" spans="1:16" x14ac:dyDescent="0.2">
      <c r="A1879" t="s">
        <v>2048</v>
      </c>
      <c r="B1879" t="s">
        <v>2557</v>
      </c>
      <c r="C1879" t="s">
        <v>2506</v>
      </c>
      <c r="D1879" t="s">
        <v>2307</v>
      </c>
      <c r="E1879">
        <v>98033</v>
      </c>
      <c r="F1879" t="s">
        <v>1573</v>
      </c>
      <c r="G1879" t="s">
        <v>2014</v>
      </c>
      <c r="H1879" t="s">
        <v>4388</v>
      </c>
      <c r="I1879">
        <v>47.666880999999997</v>
      </c>
      <c r="J1879">
        <v>-122.16462</v>
      </c>
      <c r="K1879" t="s">
        <v>3936</v>
      </c>
      <c r="L1879" t="s">
        <v>3946</v>
      </c>
      <c r="M1879" t="s">
        <v>5575</v>
      </c>
      <c r="P1879" t="s">
        <v>2557</v>
      </c>
    </row>
    <row r="1880" spans="1:16" x14ac:dyDescent="0.2">
      <c r="A1880" t="s">
        <v>2018</v>
      </c>
      <c r="B1880" t="s">
        <v>2558</v>
      </c>
      <c r="C1880" t="s">
        <v>2506</v>
      </c>
      <c r="D1880" t="s">
        <v>2307</v>
      </c>
      <c r="E1880">
        <v>98033</v>
      </c>
      <c r="F1880" t="s">
        <v>1600</v>
      </c>
      <c r="G1880" t="s">
        <v>2027</v>
      </c>
      <c r="H1880" t="s">
        <v>5472</v>
      </c>
      <c r="I1880">
        <v>47.667256999999999</v>
      </c>
      <c r="J1880">
        <v>-122.165271</v>
      </c>
      <c r="K1880" t="s">
        <v>3936</v>
      </c>
      <c r="L1880" t="s">
        <v>3946</v>
      </c>
      <c r="M1880" t="s">
        <v>5575</v>
      </c>
      <c r="P1880" t="s">
        <v>2558</v>
      </c>
    </row>
    <row r="1881" spans="1:16" x14ac:dyDescent="0.2">
      <c r="A1881" t="s">
        <v>3955</v>
      </c>
      <c r="B1881" t="s">
        <v>2559</v>
      </c>
      <c r="C1881" t="s">
        <v>2560</v>
      </c>
      <c r="D1881" t="s">
        <v>2307</v>
      </c>
      <c r="E1881">
        <v>98033</v>
      </c>
      <c r="F1881" t="s">
        <v>1658</v>
      </c>
      <c r="G1881" t="s">
        <v>2148</v>
      </c>
      <c r="H1881" t="s">
        <v>5853</v>
      </c>
      <c r="I1881">
        <v>47.666086999999997</v>
      </c>
      <c r="J1881">
        <v>-122.164196</v>
      </c>
      <c r="K1881" t="s">
        <v>3936</v>
      </c>
      <c r="L1881" t="s">
        <v>3946</v>
      </c>
      <c r="M1881" t="s">
        <v>5575</v>
      </c>
      <c r="P1881" t="s">
        <v>2559</v>
      </c>
    </row>
    <row r="1882" spans="1:16" x14ac:dyDescent="0.2">
      <c r="A1882" t="s">
        <v>2015</v>
      </c>
      <c r="B1882" t="s">
        <v>2561</v>
      </c>
      <c r="C1882" t="s">
        <v>2502</v>
      </c>
      <c r="D1882" t="s">
        <v>2307</v>
      </c>
      <c r="E1882">
        <v>98005</v>
      </c>
      <c r="F1882" t="s">
        <v>1573</v>
      </c>
      <c r="G1882" t="s">
        <v>2071</v>
      </c>
      <c r="H1882" t="s">
        <v>5854</v>
      </c>
      <c r="I1882">
        <v>47.628121999999998</v>
      </c>
      <c r="J1882">
        <v>-122.154551</v>
      </c>
      <c r="K1882" t="s">
        <v>3936</v>
      </c>
      <c r="L1882" t="s">
        <v>3946</v>
      </c>
      <c r="M1882" t="s">
        <v>5575</v>
      </c>
      <c r="P1882" t="s">
        <v>2561</v>
      </c>
    </row>
    <row r="1883" spans="1:16" x14ac:dyDescent="0.2">
      <c r="A1883" t="s">
        <v>2073</v>
      </c>
      <c r="B1883" t="s">
        <v>2562</v>
      </c>
      <c r="C1883" t="s">
        <v>2502</v>
      </c>
      <c r="D1883" t="s">
        <v>2307</v>
      </c>
      <c r="E1883">
        <v>98006</v>
      </c>
      <c r="F1883" t="s">
        <v>1658</v>
      </c>
      <c r="G1883" t="s">
        <v>2074</v>
      </c>
      <c r="H1883" t="s">
        <v>5088</v>
      </c>
      <c r="I1883">
        <v>47.578408000000003</v>
      </c>
      <c r="J1883">
        <v>-122.169296</v>
      </c>
      <c r="K1883" t="s">
        <v>3936</v>
      </c>
      <c r="L1883" t="s">
        <v>3946</v>
      </c>
      <c r="M1883" t="s">
        <v>5575</v>
      </c>
      <c r="P1883" t="s">
        <v>5687</v>
      </c>
    </row>
    <row r="1884" spans="1:16" x14ac:dyDescent="0.2">
      <c r="A1884" t="s">
        <v>2129</v>
      </c>
      <c r="B1884" t="s">
        <v>2563</v>
      </c>
      <c r="C1884" t="s">
        <v>2502</v>
      </c>
      <c r="D1884" t="s">
        <v>2307</v>
      </c>
      <c r="E1884">
        <v>98006</v>
      </c>
      <c r="F1884" t="s">
        <v>1573</v>
      </c>
      <c r="G1884" t="s">
        <v>2000</v>
      </c>
      <c r="H1884" t="s">
        <v>5855</v>
      </c>
      <c r="I1884">
        <v>47.577272000000001</v>
      </c>
      <c r="J1884">
        <v>-122.169267</v>
      </c>
      <c r="K1884" t="s">
        <v>3936</v>
      </c>
      <c r="L1884" t="s">
        <v>3946</v>
      </c>
      <c r="M1884" t="s">
        <v>5575</v>
      </c>
      <c r="P1884" t="s">
        <v>2563</v>
      </c>
    </row>
    <row r="1885" spans="1:16" x14ac:dyDescent="0.2">
      <c r="A1885" t="s">
        <v>5171</v>
      </c>
      <c r="B1885" t="s">
        <v>5172</v>
      </c>
      <c r="C1885" t="s">
        <v>2502</v>
      </c>
      <c r="D1885" t="s">
        <v>2307</v>
      </c>
      <c r="E1885">
        <v>98006</v>
      </c>
      <c r="F1885" t="s">
        <v>1716</v>
      </c>
      <c r="G1885" t="s">
        <v>1981</v>
      </c>
      <c r="H1885" t="s">
        <v>5173</v>
      </c>
      <c r="I1885">
        <v>47.573794999999997</v>
      </c>
      <c r="J1885">
        <v>-122.17179299999999</v>
      </c>
      <c r="K1885" t="s">
        <v>3936</v>
      </c>
      <c r="L1885" t="s">
        <v>3946</v>
      </c>
      <c r="M1885" t="s">
        <v>5575</v>
      </c>
      <c r="P1885" t="s">
        <v>5172</v>
      </c>
    </row>
    <row r="1886" spans="1:16" x14ac:dyDescent="0.2">
      <c r="A1886" t="s">
        <v>2129</v>
      </c>
      <c r="B1886" t="s">
        <v>2564</v>
      </c>
      <c r="C1886" t="s">
        <v>2502</v>
      </c>
      <c r="D1886" t="s">
        <v>2307</v>
      </c>
      <c r="E1886">
        <v>98006</v>
      </c>
      <c r="F1886" t="s">
        <v>1716</v>
      </c>
      <c r="G1886" t="s">
        <v>2000</v>
      </c>
      <c r="H1886" t="s">
        <v>5856</v>
      </c>
      <c r="I1886">
        <v>47.577272000000001</v>
      </c>
      <c r="J1886">
        <v>-122.169267</v>
      </c>
      <c r="K1886" t="s">
        <v>3936</v>
      </c>
      <c r="L1886" t="s">
        <v>3946</v>
      </c>
      <c r="M1886" t="s">
        <v>5575</v>
      </c>
      <c r="P1886" t="s">
        <v>2564</v>
      </c>
    </row>
    <row r="1887" spans="1:16" x14ac:dyDescent="0.2">
      <c r="A1887" t="s">
        <v>2011</v>
      </c>
      <c r="B1887" t="s">
        <v>2565</v>
      </c>
      <c r="C1887" t="s">
        <v>2502</v>
      </c>
      <c r="D1887" t="s">
        <v>2307</v>
      </c>
      <c r="E1887">
        <v>98006</v>
      </c>
      <c r="F1887" t="s">
        <v>1573</v>
      </c>
      <c r="G1887" t="s">
        <v>1986</v>
      </c>
      <c r="H1887" t="s">
        <v>4389</v>
      </c>
      <c r="I1887">
        <v>47.577078999999998</v>
      </c>
      <c r="J1887">
        <v>-122.16933400000001</v>
      </c>
      <c r="K1887" t="s">
        <v>3936</v>
      </c>
      <c r="L1887" t="s">
        <v>3946</v>
      </c>
      <c r="M1887" t="s">
        <v>5575</v>
      </c>
      <c r="P1887" t="s">
        <v>2565</v>
      </c>
    </row>
    <row r="1888" spans="1:16" x14ac:dyDescent="0.2">
      <c r="A1888" t="s">
        <v>2130</v>
      </c>
      <c r="B1888" t="s">
        <v>2566</v>
      </c>
      <c r="C1888" t="s">
        <v>386</v>
      </c>
      <c r="D1888" t="s">
        <v>2307</v>
      </c>
      <c r="E1888">
        <v>98133</v>
      </c>
      <c r="F1888" t="s">
        <v>2050</v>
      </c>
      <c r="G1888" t="s">
        <v>1981</v>
      </c>
      <c r="H1888" t="s">
        <v>4390</v>
      </c>
      <c r="I1888">
        <v>47.756101000000001</v>
      </c>
      <c r="J1888">
        <v>-122.345944</v>
      </c>
      <c r="K1888" t="s">
        <v>3936</v>
      </c>
      <c r="L1888" t="s">
        <v>3946</v>
      </c>
      <c r="M1888" t="s">
        <v>5575</v>
      </c>
      <c r="P1888" t="s">
        <v>2566</v>
      </c>
    </row>
    <row r="1889" spans="1:16" x14ac:dyDescent="0.2">
      <c r="A1889" t="s">
        <v>5576</v>
      </c>
      <c r="B1889" t="s">
        <v>6307</v>
      </c>
      <c r="C1889" t="s">
        <v>2502</v>
      </c>
      <c r="D1889" t="s">
        <v>2307</v>
      </c>
      <c r="E1889">
        <v>98006</v>
      </c>
      <c r="F1889" t="s">
        <v>1573</v>
      </c>
      <c r="G1889" t="s">
        <v>5578</v>
      </c>
      <c r="H1889" t="s">
        <v>5857</v>
      </c>
      <c r="I1889">
        <v>47.575046</v>
      </c>
      <c r="J1889">
        <v>-122.169338</v>
      </c>
      <c r="K1889" t="s">
        <v>3936</v>
      </c>
      <c r="L1889" t="s">
        <v>3946</v>
      </c>
      <c r="M1889" t="s">
        <v>5575</v>
      </c>
      <c r="P1889" t="s">
        <v>6111</v>
      </c>
    </row>
    <row r="1890" spans="1:16" x14ac:dyDescent="0.2">
      <c r="A1890" t="s">
        <v>2015</v>
      </c>
      <c r="B1890" t="s">
        <v>2567</v>
      </c>
      <c r="C1890" t="s">
        <v>2502</v>
      </c>
      <c r="D1890" t="s">
        <v>2307</v>
      </c>
      <c r="E1890">
        <v>98006</v>
      </c>
      <c r="F1890" t="s">
        <v>1573</v>
      </c>
      <c r="G1890" t="s">
        <v>1999</v>
      </c>
      <c r="H1890" t="s">
        <v>5858</v>
      </c>
      <c r="I1890">
        <v>47.575969000000001</v>
      </c>
      <c r="J1890">
        <v>-122.169264</v>
      </c>
      <c r="K1890" t="s">
        <v>3936</v>
      </c>
      <c r="L1890" t="s">
        <v>3946</v>
      </c>
      <c r="M1890" t="s">
        <v>5575</v>
      </c>
      <c r="P1890" t="s">
        <v>2567</v>
      </c>
    </row>
    <row r="1891" spans="1:16" x14ac:dyDescent="0.2">
      <c r="A1891" t="s">
        <v>2131</v>
      </c>
      <c r="B1891" t="s">
        <v>2568</v>
      </c>
      <c r="C1891" t="s">
        <v>2502</v>
      </c>
      <c r="D1891" t="s">
        <v>2307</v>
      </c>
      <c r="E1891">
        <v>98006</v>
      </c>
      <c r="F1891" t="s">
        <v>2019</v>
      </c>
      <c r="G1891" t="s">
        <v>2005</v>
      </c>
      <c r="H1891" t="s">
        <v>4391</v>
      </c>
      <c r="I1891">
        <v>47.574232000000002</v>
      </c>
      <c r="J1891">
        <v>-122.169349</v>
      </c>
      <c r="K1891" t="s">
        <v>3936</v>
      </c>
      <c r="L1891" t="s">
        <v>3946</v>
      </c>
      <c r="M1891" t="s">
        <v>5575</v>
      </c>
      <c r="P1891" t="s">
        <v>2568</v>
      </c>
    </row>
    <row r="1892" spans="1:16" x14ac:dyDescent="0.2">
      <c r="A1892" t="s">
        <v>2011</v>
      </c>
      <c r="B1892" t="s">
        <v>6308</v>
      </c>
      <c r="C1892" t="s">
        <v>2506</v>
      </c>
      <c r="D1892" t="s">
        <v>2307</v>
      </c>
      <c r="E1892">
        <v>98034</v>
      </c>
      <c r="F1892" t="s">
        <v>1573</v>
      </c>
      <c r="G1892" t="s">
        <v>1986</v>
      </c>
      <c r="H1892" t="s">
        <v>4392</v>
      </c>
      <c r="I1892">
        <v>47.721502999999998</v>
      </c>
      <c r="J1892">
        <v>-122.20787799999999</v>
      </c>
      <c r="K1892" t="s">
        <v>3936</v>
      </c>
      <c r="L1892" t="s">
        <v>3946</v>
      </c>
      <c r="M1892" t="s">
        <v>5575</v>
      </c>
      <c r="P1892" t="s">
        <v>6112</v>
      </c>
    </row>
    <row r="1893" spans="1:16" x14ac:dyDescent="0.2">
      <c r="A1893" t="s">
        <v>3952</v>
      </c>
      <c r="B1893" t="s">
        <v>2569</v>
      </c>
      <c r="C1893" t="s">
        <v>2506</v>
      </c>
      <c r="D1893" t="s">
        <v>2307</v>
      </c>
      <c r="E1893">
        <v>98034</v>
      </c>
      <c r="F1893" t="s">
        <v>1573</v>
      </c>
      <c r="G1893" t="s">
        <v>2014</v>
      </c>
      <c r="H1893" t="s">
        <v>4393</v>
      </c>
      <c r="I1893">
        <v>47.721952000000002</v>
      </c>
      <c r="J1893">
        <v>-122.207571</v>
      </c>
      <c r="K1893" t="s">
        <v>3936</v>
      </c>
      <c r="L1893" t="s">
        <v>3946</v>
      </c>
      <c r="M1893" t="s">
        <v>5575</v>
      </c>
      <c r="P1893" t="s">
        <v>2569</v>
      </c>
    </row>
    <row r="1894" spans="1:16" x14ac:dyDescent="0.2">
      <c r="A1894" t="s">
        <v>3955</v>
      </c>
      <c r="B1894" t="s">
        <v>2570</v>
      </c>
      <c r="C1894" t="s">
        <v>2560</v>
      </c>
      <c r="D1894" t="s">
        <v>2307</v>
      </c>
      <c r="E1894">
        <v>98034</v>
      </c>
      <c r="F1894" t="s">
        <v>1658</v>
      </c>
      <c r="G1894" t="s">
        <v>2148</v>
      </c>
      <c r="H1894" t="s">
        <v>5859</v>
      </c>
      <c r="I1894">
        <v>47.723253999999997</v>
      </c>
      <c r="J1894">
        <v>-122.207599</v>
      </c>
      <c r="K1894" t="s">
        <v>3936</v>
      </c>
      <c r="L1894" t="s">
        <v>3946</v>
      </c>
      <c r="M1894" t="s">
        <v>5575</v>
      </c>
      <c r="P1894" t="s">
        <v>2570</v>
      </c>
    </row>
    <row r="1895" spans="1:16" x14ac:dyDescent="0.2">
      <c r="A1895" t="s">
        <v>2007</v>
      </c>
      <c r="B1895" t="s">
        <v>2571</v>
      </c>
      <c r="C1895" t="s">
        <v>386</v>
      </c>
      <c r="D1895" t="s">
        <v>2307</v>
      </c>
      <c r="E1895">
        <v>98155</v>
      </c>
      <c r="F1895" t="s">
        <v>1658</v>
      </c>
      <c r="G1895" t="s">
        <v>2008</v>
      </c>
      <c r="H1895" t="s">
        <v>5860</v>
      </c>
      <c r="I1895">
        <v>47.758015999999998</v>
      </c>
      <c r="J1895">
        <v>-122.31326</v>
      </c>
      <c r="K1895" t="s">
        <v>3936</v>
      </c>
      <c r="L1895" t="s">
        <v>3946</v>
      </c>
      <c r="M1895" t="s">
        <v>5575</v>
      </c>
      <c r="P1895" t="s">
        <v>2571</v>
      </c>
    </row>
    <row r="1896" spans="1:16" x14ac:dyDescent="0.2">
      <c r="A1896" t="s">
        <v>2011</v>
      </c>
      <c r="B1896" t="s">
        <v>2572</v>
      </c>
      <c r="C1896" t="s">
        <v>2506</v>
      </c>
      <c r="D1896" t="s">
        <v>2307</v>
      </c>
      <c r="E1896">
        <v>98034</v>
      </c>
      <c r="F1896" t="s">
        <v>1573</v>
      </c>
      <c r="G1896" t="s">
        <v>1986</v>
      </c>
      <c r="H1896" t="s">
        <v>4394</v>
      </c>
      <c r="I1896">
        <v>47.711315999999997</v>
      </c>
      <c r="J1896">
        <v>-122.189874</v>
      </c>
      <c r="K1896" t="s">
        <v>3936</v>
      </c>
      <c r="L1896" t="s">
        <v>3946</v>
      </c>
      <c r="M1896" t="s">
        <v>5575</v>
      </c>
      <c r="P1896" t="s">
        <v>2572</v>
      </c>
    </row>
    <row r="1897" spans="1:16" x14ac:dyDescent="0.2">
      <c r="A1897" t="s">
        <v>2132</v>
      </c>
      <c r="B1897" t="s">
        <v>2575</v>
      </c>
      <c r="C1897" t="s">
        <v>2574</v>
      </c>
      <c r="D1897" t="s">
        <v>2307</v>
      </c>
      <c r="E1897">
        <v>98155</v>
      </c>
      <c r="F1897" t="s">
        <v>1658</v>
      </c>
      <c r="G1897" t="s">
        <v>1990</v>
      </c>
      <c r="H1897" t="s">
        <v>5385</v>
      </c>
      <c r="I1897">
        <v>47.752889000000003</v>
      </c>
      <c r="J1897">
        <v>-122.27849399999999</v>
      </c>
      <c r="K1897" t="s">
        <v>3936</v>
      </c>
      <c r="L1897" t="s">
        <v>3946</v>
      </c>
      <c r="M1897" t="s">
        <v>5575</v>
      </c>
      <c r="P1897" t="s">
        <v>2575</v>
      </c>
    </row>
    <row r="1898" spans="1:16" x14ac:dyDescent="0.2">
      <c r="A1898" t="s">
        <v>2073</v>
      </c>
      <c r="B1898" t="s">
        <v>2573</v>
      </c>
      <c r="C1898" t="s">
        <v>2574</v>
      </c>
      <c r="D1898" t="s">
        <v>2307</v>
      </c>
      <c r="E1898">
        <v>98155</v>
      </c>
      <c r="F1898" t="s">
        <v>1658</v>
      </c>
      <c r="G1898" t="s">
        <v>2074</v>
      </c>
      <c r="H1898" t="s">
        <v>5386</v>
      </c>
      <c r="I1898">
        <v>47.752889000000003</v>
      </c>
      <c r="J1898">
        <v>-122.27849399999999</v>
      </c>
      <c r="K1898" t="s">
        <v>3936</v>
      </c>
      <c r="L1898" t="s">
        <v>3946</v>
      </c>
      <c r="M1898" t="s">
        <v>5575</v>
      </c>
      <c r="P1898" t="s">
        <v>2573</v>
      </c>
    </row>
    <row r="1899" spans="1:16" x14ac:dyDescent="0.2">
      <c r="A1899" t="s">
        <v>2133</v>
      </c>
      <c r="B1899" t="s">
        <v>2573</v>
      </c>
      <c r="C1899" t="s">
        <v>2574</v>
      </c>
      <c r="D1899" t="s">
        <v>2307</v>
      </c>
      <c r="E1899">
        <v>98155</v>
      </c>
      <c r="F1899" t="s">
        <v>2039</v>
      </c>
      <c r="G1899" t="s">
        <v>2056</v>
      </c>
      <c r="H1899" t="s">
        <v>4991</v>
      </c>
      <c r="I1899">
        <v>47.752889000000003</v>
      </c>
      <c r="J1899">
        <v>-122.27849399999999</v>
      </c>
      <c r="K1899" t="s">
        <v>3936</v>
      </c>
      <c r="L1899" t="s">
        <v>3946</v>
      </c>
      <c r="M1899" t="s">
        <v>5575</v>
      </c>
      <c r="P1899" t="s">
        <v>2573</v>
      </c>
    </row>
    <row r="1900" spans="1:16" x14ac:dyDescent="0.2">
      <c r="A1900" t="s">
        <v>2011</v>
      </c>
      <c r="B1900" t="s">
        <v>6309</v>
      </c>
      <c r="C1900" t="s">
        <v>2574</v>
      </c>
      <c r="D1900" t="s">
        <v>2307</v>
      </c>
      <c r="E1900">
        <v>98155</v>
      </c>
      <c r="F1900" t="s">
        <v>1573</v>
      </c>
      <c r="G1900" t="s">
        <v>1986</v>
      </c>
      <c r="H1900" t="s">
        <v>4395</v>
      </c>
      <c r="I1900">
        <v>47.752889000000003</v>
      </c>
      <c r="J1900">
        <v>-122.27849399999999</v>
      </c>
      <c r="K1900" t="s">
        <v>3936</v>
      </c>
      <c r="L1900" t="s">
        <v>3946</v>
      </c>
      <c r="M1900" t="s">
        <v>5575</v>
      </c>
      <c r="P1900" t="s">
        <v>6113</v>
      </c>
    </row>
    <row r="1901" spans="1:16" x14ac:dyDescent="0.2">
      <c r="A1901" t="s">
        <v>2048</v>
      </c>
      <c r="B1901" t="s">
        <v>2576</v>
      </c>
      <c r="C1901" t="s">
        <v>2506</v>
      </c>
      <c r="D1901" t="s">
        <v>2307</v>
      </c>
      <c r="E1901">
        <v>98034</v>
      </c>
      <c r="F1901" t="s">
        <v>1573</v>
      </c>
      <c r="G1901" t="s">
        <v>2014</v>
      </c>
      <c r="H1901" t="s">
        <v>4396</v>
      </c>
      <c r="I1901">
        <v>47.711320000000001</v>
      </c>
      <c r="J1901">
        <v>-122.188509</v>
      </c>
      <c r="K1901" t="s">
        <v>3936</v>
      </c>
      <c r="L1901" t="s">
        <v>3946</v>
      </c>
      <c r="M1901" t="s">
        <v>5575</v>
      </c>
      <c r="P1901" t="s">
        <v>2576</v>
      </c>
    </row>
    <row r="1902" spans="1:16" x14ac:dyDescent="0.2">
      <c r="A1902" t="s">
        <v>2129</v>
      </c>
      <c r="B1902" t="s">
        <v>2578</v>
      </c>
      <c r="C1902" t="s">
        <v>386</v>
      </c>
      <c r="D1902" t="s">
        <v>2307</v>
      </c>
      <c r="E1902">
        <v>98155</v>
      </c>
      <c r="F1902" t="s">
        <v>1573</v>
      </c>
      <c r="G1902" t="s">
        <v>5580</v>
      </c>
      <c r="H1902" t="s">
        <v>5861</v>
      </c>
      <c r="I1902">
        <v>47.759487</v>
      </c>
      <c r="J1902">
        <v>-122.31335199999999</v>
      </c>
      <c r="K1902" t="s">
        <v>3936</v>
      </c>
      <c r="L1902" t="s">
        <v>3946</v>
      </c>
      <c r="M1902" t="s">
        <v>5575</v>
      </c>
      <c r="P1902" t="s">
        <v>2578</v>
      </c>
    </row>
    <row r="1903" spans="1:16" x14ac:dyDescent="0.2">
      <c r="A1903" t="s">
        <v>2011</v>
      </c>
      <c r="B1903" t="s">
        <v>6310</v>
      </c>
      <c r="C1903" t="s">
        <v>66</v>
      </c>
      <c r="D1903" t="s">
        <v>2307</v>
      </c>
      <c r="E1903">
        <v>98155</v>
      </c>
      <c r="F1903" t="s">
        <v>1573</v>
      </c>
      <c r="G1903" t="s">
        <v>1986</v>
      </c>
      <c r="H1903" t="s">
        <v>4398</v>
      </c>
      <c r="I1903">
        <v>47.759487</v>
      </c>
      <c r="J1903">
        <v>-122.31335199999999</v>
      </c>
      <c r="K1903" t="s">
        <v>3936</v>
      </c>
      <c r="L1903" t="s">
        <v>3946</v>
      </c>
      <c r="M1903" t="s">
        <v>5575</v>
      </c>
      <c r="P1903" t="s">
        <v>6114</v>
      </c>
    </row>
    <row r="1904" spans="1:16" x14ac:dyDescent="0.2">
      <c r="A1904" t="s">
        <v>2129</v>
      </c>
      <c r="B1904" t="s">
        <v>2579</v>
      </c>
      <c r="C1904" t="s">
        <v>386</v>
      </c>
      <c r="D1904" t="s">
        <v>2307</v>
      </c>
      <c r="E1904">
        <v>98155</v>
      </c>
      <c r="F1904" t="s">
        <v>1716</v>
      </c>
      <c r="G1904" t="s">
        <v>2000</v>
      </c>
      <c r="H1904" t="s">
        <v>5862</v>
      </c>
      <c r="I1904">
        <v>47.759487</v>
      </c>
      <c r="J1904">
        <v>-122.31335199999999</v>
      </c>
      <c r="K1904" t="s">
        <v>3936</v>
      </c>
      <c r="L1904" t="s">
        <v>3946</v>
      </c>
      <c r="M1904" t="s">
        <v>5575</v>
      </c>
      <c r="P1904" t="s">
        <v>2579</v>
      </c>
    </row>
    <row r="1905" spans="1:16" x14ac:dyDescent="0.2">
      <c r="A1905" t="s">
        <v>2134</v>
      </c>
      <c r="B1905" t="s">
        <v>2580</v>
      </c>
      <c r="C1905" t="s">
        <v>2581</v>
      </c>
      <c r="D1905" t="s">
        <v>2307</v>
      </c>
      <c r="E1905">
        <v>98146</v>
      </c>
      <c r="F1905" t="s">
        <v>1716</v>
      </c>
      <c r="G1905" t="s">
        <v>2005</v>
      </c>
      <c r="H1905" t="s">
        <v>4399</v>
      </c>
      <c r="I1905">
        <v>47.499026000000001</v>
      </c>
      <c r="J1905">
        <v>-122.354792</v>
      </c>
      <c r="K1905" t="s">
        <v>3936</v>
      </c>
      <c r="L1905" t="s">
        <v>3946</v>
      </c>
      <c r="M1905" t="s">
        <v>5575</v>
      </c>
      <c r="P1905" t="s">
        <v>2580</v>
      </c>
    </row>
    <row r="1906" spans="1:16" x14ac:dyDescent="0.2">
      <c r="A1906" t="s">
        <v>2059</v>
      </c>
      <c r="B1906" t="s">
        <v>2582</v>
      </c>
      <c r="C1906" t="s">
        <v>66</v>
      </c>
      <c r="D1906" t="s">
        <v>2307</v>
      </c>
      <c r="E1906">
        <v>98133</v>
      </c>
      <c r="F1906" t="s">
        <v>1600</v>
      </c>
      <c r="G1906" t="s">
        <v>2135</v>
      </c>
      <c r="H1906" t="s">
        <v>5863</v>
      </c>
      <c r="I1906">
        <v>47.761209000000001</v>
      </c>
      <c r="J1906">
        <v>-122.34628600000001</v>
      </c>
      <c r="K1906" t="s">
        <v>3936</v>
      </c>
      <c r="L1906" t="s">
        <v>3946</v>
      </c>
      <c r="M1906" t="s">
        <v>5575</v>
      </c>
      <c r="P1906" t="s">
        <v>2582</v>
      </c>
    </row>
    <row r="1907" spans="1:16" x14ac:dyDescent="0.2">
      <c r="A1907" t="s">
        <v>2048</v>
      </c>
      <c r="B1907" t="s">
        <v>2583</v>
      </c>
      <c r="C1907" t="s">
        <v>2502</v>
      </c>
      <c r="D1907" t="s">
        <v>2307</v>
      </c>
      <c r="E1907">
        <v>98007</v>
      </c>
      <c r="F1907" t="s">
        <v>1573</v>
      </c>
      <c r="G1907" t="s">
        <v>2014</v>
      </c>
      <c r="H1907" t="s">
        <v>4400</v>
      </c>
      <c r="I1907">
        <v>47.626434000000003</v>
      </c>
      <c r="J1907">
        <v>-122.143754</v>
      </c>
      <c r="K1907" t="s">
        <v>3936</v>
      </c>
      <c r="L1907" t="s">
        <v>3946</v>
      </c>
      <c r="M1907" t="s">
        <v>5575</v>
      </c>
      <c r="P1907" t="s">
        <v>2583</v>
      </c>
    </row>
    <row r="1908" spans="1:16" x14ac:dyDescent="0.2">
      <c r="A1908" t="s">
        <v>2059</v>
      </c>
      <c r="B1908" t="s">
        <v>2584</v>
      </c>
      <c r="C1908" t="s">
        <v>2502</v>
      </c>
      <c r="D1908" t="s">
        <v>2307</v>
      </c>
      <c r="E1908">
        <v>98007</v>
      </c>
      <c r="F1908" t="s">
        <v>1600</v>
      </c>
      <c r="G1908" t="s">
        <v>2060</v>
      </c>
      <c r="H1908" t="s">
        <v>5010</v>
      </c>
      <c r="I1908">
        <v>47.626519999999999</v>
      </c>
      <c r="J1908">
        <v>-122.143119</v>
      </c>
      <c r="K1908" t="s">
        <v>3936</v>
      </c>
      <c r="L1908" t="s">
        <v>3946</v>
      </c>
      <c r="M1908" t="s">
        <v>5575</v>
      </c>
      <c r="P1908" t="s">
        <v>2584</v>
      </c>
    </row>
    <row r="1909" spans="1:16" x14ac:dyDescent="0.2">
      <c r="A1909" t="s">
        <v>2131</v>
      </c>
      <c r="B1909" t="s">
        <v>2585</v>
      </c>
      <c r="C1909" t="s">
        <v>2586</v>
      </c>
      <c r="D1909" t="s">
        <v>2307</v>
      </c>
      <c r="E1909">
        <v>98052</v>
      </c>
      <c r="F1909" t="s">
        <v>2019</v>
      </c>
      <c r="G1909" t="s">
        <v>2005</v>
      </c>
      <c r="H1909" t="s">
        <v>4401</v>
      </c>
      <c r="I1909">
        <v>47.630015999999998</v>
      </c>
      <c r="J1909">
        <v>-122.143044</v>
      </c>
      <c r="K1909" t="s">
        <v>3936</v>
      </c>
      <c r="L1909" t="s">
        <v>3946</v>
      </c>
      <c r="M1909" t="s">
        <v>5575</v>
      </c>
      <c r="P1909" t="s">
        <v>2585</v>
      </c>
    </row>
    <row r="1910" spans="1:16" x14ac:dyDescent="0.2">
      <c r="A1910" t="s">
        <v>2048</v>
      </c>
      <c r="B1910" t="s">
        <v>2587</v>
      </c>
      <c r="C1910" t="s">
        <v>2506</v>
      </c>
      <c r="D1910" t="s">
        <v>2307</v>
      </c>
      <c r="E1910">
        <v>98034</v>
      </c>
      <c r="F1910" t="s">
        <v>1573</v>
      </c>
      <c r="G1910" t="s">
        <v>2014</v>
      </c>
      <c r="H1910" t="s">
        <v>4402</v>
      </c>
      <c r="I1910">
        <v>47.704062999999998</v>
      </c>
      <c r="J1910">
        <v>-122.175685</v>
      </c>
      <c r="K1910" t="s">
        <v>3936</v>
      </c>
      <c r="L1910" t="s">
        <v>3946</v>
      </c>
      <c r="M1910" t="s">
        <v>5575</v>
      </c>
      <c r="P1910" t="s">
        <v>2587</v>
      </c>
    </row>
    <row r="1911" spans="1:16" x14ac:dyDescent="0.2">
      <c r="A1911" t="s">
        <v>2011</v>
      </c>
      <c r="B1911" t="s">
        <v>6311</v>
      </c>
      <c r="C1911" t="s">
        <v>2506</v>
      </c>
      <c r="D1911" t="s">
        <v>2307</v>
      </c>
      <c r="E1911">
        <v>98034</v>
      </c>
      <c r="F1911" t="s">
        <v>1573</v>
      </c>
      <c r="G1911" t="s">
        <v>1986</v>
      </c>
      <c r="H1911" t="s">
        <v>4403</v>
      </c>
      <c r="I1911">
        <v>47.704161999999997</v>
      </c>
      <c r="J1911">
        <v>-122.175996</v>
      </c>
      <c r="K1911" t="s">
        <v>3936</v>
      </c>
      <c r="L1911" t="s">
        <v>3946</v>
      </c>
      <c r="M1911" t="s">
        <v>5575</v>
      </c>
      <c r="P1911" t="s">
        <v>6115</v>
      </c>
    </row>
    <row r="1912" spans="1:16" x14ac:dyDescent="0.2">
      <c r="A1912" t="s">
        <v>2059</v>
      </c>
      <c r="B1912" t="s">
        <v>2588</v>
      </c>
      <c r="C1912" t="s">
        <v>2506</v>
      </c>
      <c r="D1912" t="s">
        <v>2307</v>
      </c>
      <c r="E1912">
        <v>98033</v>
      </c>
      <c r="F1912" t="s">
        <v>1600</v>
      </c>
      <c r="G1912" t="s">
        <v>2135</v>
      </c>
      <c r="H1912" t="s">
        <v>5251</v>
      </c>
      <c r="I1912">
        <v>47.703842999999999</v>
      </c>
      <c r="J1912">
        <v>-122.175122</v>
      </c>
      <c r="K1912" t="s">
        <v>3936</v>
      </c>
      <c r="L1912" t="s">
        <v>3946</v>
      </c>
      <c r="M1912" t="s">
        <v>5575</v>
      </c>
      <c r="P1912" t="s">
        <v>2588</v>
      </c>
    </row>
    <row r="1913" spans="1:16" x14ac:dyDescent="0.2">
      <c r="A1913" t="s">
        <v>2011</v>
      </c>
      <c r="B1913" t="s">
        <v>2589</v>
      </c>
      <c r="C1913" t="s">
        <v>66</v>
      </c>
      <c r="D1913" t="s">
        <v>2307</v>
      </c>
      <c r="E1913">
        <v>98133</v>
      </c>
      <c r="F1913" t="s">
        <v>1573</v>
      </c>
      <c r="G1913" t="s">
        <v>1986</v>
      </c>
      <c r="H1913" t="s">
        <v>4404</v>
      </c>
      <c r="I1913">
        <v>47.763343999999996</v>
      </c>
      <c r="J1913">
        <v>-122.346131</v>
      </c>
      <c r="K1913" t="s">
        <v>3936</v>
      </c>
      <c r="L1913" t="s">
        <v>3946</v>
      </c>
      <c r="M1913" t="s">
        <v>5575</v>
      </c>
      <c r="P1913" t="s">
        <v>2589</v>
      </c>
    </row>
    <row r="1914" spans="1:16" x14ac:dyDescent="0.2">
      <c r="A1914" t="s">
        <v>1686</v>
      </c>
      <c r="B1914" t="s">
        <v>2590</v>
      </c>
      <c r="C1914" t="s">
        <v>2586</v>
      </c>
      <c r="D1914" t="s">
        <v>2307</v>
      </c>
      <c r="E1914">
        <v>98052</v>
      </c>
      <c r="F1914" t="s">
        <v>1573</v>
      </c>
      <c r="G1914" t="s">
        <v>2136</v>
      </c>
      <c r="H1914" t="s">
        <v>4405</v>
      </c>
      <c r="I1914">
        <v>47.631388999999999</v>
      </c>
      <c r="J1914">
        <v>-122.140092</v>
      </c>
      <c r="K1914" t="s">
        <v>3936</v>
      </c>
      <c r="L1914" t="s">
        <v>3946</v>
      </c>
      <c r="M1914" t="s">
        <v>5575</v>
      </c>
      <c r="P1914" t="s">
        <v>2590</v>
      </c>
    </row>
    <row r="1915" spans="1:16" x14ac:dyDescent="0.2">
      <c r="A1915" t="s">
        <v>2011</v>
      </c>
      <c r="B1915" t="s">
        <v>2591</v>
      </c>
      <c r="C1915" t="s">
        <v>2586</v>
      </c>
      <c r="D1915" t="s">
        <v>2307</v>
      </c>
      <c r="E1915">
        <v>98052</v>
      </c>
      <c r="F1915" t="s">
        <v>1573</v>
      </c>
      <c r="G1915" t="s">
        <v>1986</v>
      </c>
      <c r="H1915" t="s">
        <v>4406</v>
      </c>
      <c r="I1915">
        <v>47.631427000000002</v>
      </c>
      <c r="J1915">
        <v>-122.14030099999999</v>
      </c>
      <c r="K1915" t="s">
        <v>3936</v>
      </c>
      <c r="L1915" t="s">
        <v>3946</v>
      </c>
      <c r="M1915" t="s">
        <v>5575</v>
      </c>
      <c r="P1915" t="s">
        <v>2591</v>
      </c>
    </row>
    <row r="1916" spans="1:16" x14ac:dyDescent="0.2">
      <c r="A1916" t="s">
        <v>3952</v>
      </c>
      <c r="B1916" t="s">
        <v>2592</v>
      </c>
      <c r="C1916" t="s">
        <v>2506</v>
      </c>
      <c r="D1916" t="s">
        <v>2307</v>
      </c>
      <c r="E1916">
        <v>98034</v>
      </c>
      <c r="F1916" t="s">
        <v>1573</v>
      </c>
      <c r="G1916" t="s">
        <v>2014</v>
      </c>
      <c r="H1916" t="s">
        <v>4407</v>
      </c>
      <c r="I1916">
        <v>47.710141</v>
      </c>
      <c r="J1916">
        <v>-122.17899800000001</v>
      </c>
      <c r="K1916" t="s">
        <v>3936</v>
      </c>
      <c r="L1916" t="s">
        <v>3946</v>
      </c>
      <c r="M1916" t="s">
        <v>5575</v>
      </c>
      <c r="P1916" t="s">
        <v>2592</v>
      </c>
    </row>
    <row r="1917" spans="1:16" x14ac:dyDescent="0.2">
      <c r="A1917" t="s">
        <v>2101</v>
      </c>
      <c r="B1917" t="s">
        <v>2593</v>
      </c>
      <c r="C1917" t="s">
        <v>2586</v>
      </c>
      <c r="D1917" t="s">
        <v>2307</v>
      </c>
      <c r="E1917">
        <v>98052</v>
      </c>
      <c r="F1917" t="s">
        <v>1600</v>
      </c>
      <c r="G1917" t="s">
        <v>2056</v>
      </c>
      <c r="H1917" t="s">
        <v>5387</v>
      </c>
      <c r="I1917">
        <v>47.631399999999999</v>
      </c>
      <c r="J1917">
        <v>-122.13896200000001</v>
      </c>
      <c r="K1917" t="s">
        <v>3936</v>
      </c>
      <c r="L1917" t="s">
        <v>3946</v>
      </c>
      <c r="M1917" t="s">
        <v>5575</v>
      </c>
      <c r="P1917" t="s">
        <v>2593</v>
      </c>
    </row>
    <row r="1918" spans="1:16" x14ac:dyDescent="0.2">
      <c r="A1918" t="s">
        <v>2011</v>
      </c>
      <c r="B1918" t="s">
        <v>6312</v>
      </c>
      <c r="C1918" t="s">
        <v>2502</v>
      </c>
      <c r="D1918" t="s">
        <v>2307</v>
      </c>
      <c r="E1918">
        <v>98007</v>
      </c>
      <c r="F1918" t="s">
        <v>1573</v>
      </c>
      <c r="G1918" t="s">
        <v>1986</v>
      </c>
      <c r="H1918" t="s">
        <v>4408</v>
      </c>
      <c r="I1918">
        <v>47.609693999999998</v>
      </c>
      <c r="J1918">
        <v>-122.139824</v>
      </c>
      <c r="K1918" t="s">
        <v>3936</v>
      </c>
      <c r="L1918" t="s">
        <v>3946</v>
      </c>
      <c r="M1918" t="s">
        <v>5575</v>
      </c>
      <c r="P1918" t="s">
        <v>6116</v>
      </c>
    </row>
    <row r="1919" spans="1:16" x14ac:dyDescent="0.2">
      <c r="A1919" t="s">
        <v>3952</v>
      </c>
      <c r="B1919" t="s">
        <v>2594</v>
      </c>
      <c r="C1919" t="s">
        <v>2586</v>
      </c>
      <c r="D1919" t="s">
        <v>2307</v>
      </c>
      <c r="E1919">
        <v>98052</v>
      </c>
      <c r="F1919" t="s">
        <v>1573</v>
      </c>
      <c r="G1919" t="s">
        <v>2014</v>
      </c>
      <c r="H1919" t="s">
        <v>4409</v>
      </c>
      <c r="I1919">
        <v>47.632455999999998</v>
      </c>
      <c r="J1919">
        <v>-122.13749</v>
      </c>
      <c r="K1919" t="s">
        <v>3936</v>
      </c>
      <c r="L1919" t="s">
        <v>3946</v>
      </c>
      <c r="M1919" t="s">
        <v>5575</v>
      </c>
      <c r="P1919" t="s">
        <v>2594</v>
      </c>
    </row>
    <row r="1920" spans="1:16" x14ac:dyDescent="0.2">
      <c r="A1920" t="s">
        <v>2137</v>
      </c>
      <c r="B1920" t="s">
        <v>2595</v>
      </c>
      <c r="C1920" t="s">
        <v>2506</v>
      </c>
      <c r="D1920" t="s">
        <v>2307</v>
      </c>
      <c r="E1920">
        <v>98034</v>
      </c>
      <c r="F1920" t="s">
        <v>1583</v>
      </c>
      <c r="G1920" t="s">
        <v>1980</v>
      </c>
      <c r="H1920" t="s">
        <v>5388</v>
      </c>
      <c r="I1920">
        <v>47.714765999999997</v>
      </c>
      <c r="J1920">
        <v>-122.180012</v>
      </c>
      <c r="K1920" t="s">
        <v>3936</v>
      </c>
      <c r="L1920" t="s">
        <v>3946</v>
      </c>
      <c r="M1920" t="s">
        <v>5575</v>
      </c>
      <c r="P1920" t="s">
        <v>2595</v>
      </c>
    </row>
    <row r="1921" spans="1:16" x14ac:dyDescent="0.2">
      <c r="A1921" t="s">
        <v>2013</v>
      </c>
      <c r="B1921" t="s">
        <v>2596</v>
      </c>
      <c r="C1921" t="s">
        <v>2502</v>
      </c>
      <c r="D1921" t="s">
        <v>2307</v>
      </c>
      <c r="E1921">
        <v>98007</v>
      </c>
      <c r="F1921" t="s">
        <v>1716</v>
      </c>
      <c r="G1921" t="s">
        <v>2000</v>
      </c>
      <c r="H1921" t="s">
        <v>4410</v>
      </c>
      <c r="I1921">
        <v>47.628199000000002</v>
      </c>
      <c r="J1921">
        <v>-122.13591</v>
      </c>
      <c r="K1921" t="s">
        <v>3936</v>
      </c>
      <c r="L1921" t="s">
        <v>3946</v>
      </c>
      <c r="M1921" t="s">
        <v>5575</v>
      </c>
      <c r="P1921" t="s">
        <v>5689</v>
      </c>
    </row>
    <row r="1922" spans="1:16" x14ac:dyDescent="0.2">
      <c r="A1922" t="s">
        <v>2011</v>
      </c>
      <c r="B1922" t="s">
        <v>6313</v>
      </c>
      <c r="C1922" t="s">
        <v>2597</v>
      </c>
      <c r="D1922" t="s">
        <v>2307</v>
      </c>
      <c r="E1922">
        <v>98056</v>
      </c>
      <c r="F1922" t="s">
        <v>1573</v>
      </c>
      <c r="G1922" t="s">
        <v>1986</v>
      </c>
      <c r="H1922" t="s">
        <v>4411</v>
      </c>
      <c r="I1922">
        <v>47.532594000000003</v>
      </c>
      <c r="J1922">
        <v>-122.195007</v>
      </c>
      <c r="K1922" t="s">
        <v>3936</v>
      </c>
      <c r="L1922" t="s">
        <v>3946</v>
      </c>
      <c r="M1922" t="s">
        <v>5575</v>
      </c>
      <c r="P1922" t="s">
        <v>6117</v>
      </c>
    </row>
    <row r="1923" spans="1:16" x14ac:dyDescent="0.2">
      <c r="A1923" t="s">
        <v>2059</v>
      </c>
      <c r="B1923" t="s">
        <v>2598</v>
      </c>
      <c r="C1923" t="s">
        <v>2599</v>
      </c>
      <c r="D1923" t="s">
        <v>2307</v>
      </c>
      <c r="E1923">
        <v>98028</v>
      </c>
      <c r="F1923" t="s">
        <v>1573</v>
      </c>
      <c r="G1923" t="s">
        <v>2067</v>
      </c>
      <c r="H1923" t="s">
        <v>5252</v>
      </c>
      <c r="I1923">
        <v>47.758406999999998</v>
      </c>
      <c r="J1923">
        <v>-122.262259</v>
      </c>
      <c r="K1923" t="s">
        <v>3936</v>
      </c>
      <c r="L1923" t="s">
        <v>3946</v>
      </c>
      <c r="M1923" t="s">
        <v>5575</v>
      </c>
      <c r="P1923" t="s">
        <v>2598</v>
      </c>
    </row>
    <row r="1924" spans="1:16" x14ac:dyDescent="0.2">
      <c r="A1924" t="s">
        <v>2011</v>
      </c>
      <c r="B1924" t="s">
        <v>2600</v>
      </c>
      <c r="C1924" t="s">
        <v>2502</v>
      </c>
      <c r="D1924" t="s">
        <v>2307</v>
      </c>
      <c r="E1924">
        <v>98007</v>
      </c>
      <c r="F1924" t="s">
        <v>1573</v>
      </c>
      <c r="G1924" t="s">
        <v>1986</v>
      </c>
      <c r="H1924" t="s">
        <v>4412</v>
      </c>
      <c r="I1924">
        <v>47.622563</v>
      </c>
      <c r="J1924">
        <v>-122.132188</v>
      </c>
      <c r="K1924" t="s">
        <v>3936</v>
      </c>
      <c r="L1924" t="s">
        <v>3946</v>
      </c>
      <c r="M1924" t="s">
        <v>5575</v>
      </c>
      <c r="P1924" t="s">
        <v>2600</v>
      </c>
    </row>
    <row r="1925" spans="1:16" x14ac:dyDescent="0.2">
      <c r="A1925" t="s">
        <v>2010</v>
      </c>
      <c r="B1925" t="s">
        <v>2601</v>
      </c>
      <c r="C1925" t="s">
        <v>2502</v>
      </c>
      <c r="D1925" t="s">
        <v>2307</v>
      </c>
      <c r="E1925">
        <v>98008</v>
      </c>
      <c r="F1925" t="s">
        <v>1716</v>
      </c>
      <c r="G1925" t="s">
        <v>2000</v>
      </c>
      <c r="H1925" t="s">
        <v>4413</v>
      </c>
      <c r="I1925">
        <v>47.617179999999998</v>
      </c>
      <c r="J1925">
        <v>-122.13212799999999</v>
      </c>
      <c r="K1925" t="s">
        <v>3936</v>
      </c>
      <c r="L1925" t="s">
        <v>3946</v>
      </c>
      <c r="M1925" t="s">
        <v>5575</v>
      </c>
      <c r="P1925" t="s">
        <v>2601</v>
      </c>
    </row>
    <row r="1926" spans="1:16" x14ac:dyDescent="0.2">
      <c r="A1926" t="s">
        <v>2133</v>
      </c>
      <c r="B1926" t="s">
        <v>2602</v>
      </c>
      <c r="C1926" t="s">
        <v>2502</v>
      </c>
      <c r="D1926" t="s">
        <v>2307</v>
      </c>
      <c r="E1926">
        <v>98008</v>
      </c>
      <c r="F1926" t="s">
        <v>1583</v>
      </c>
      <c r="G1926" t="s">
        <v>1980</v>
      </c>
      <c r="H1926" t="s">
        <v>5542</v>
      </c>
      <c r="I1926">
        <v>47.617179999999998</v>
      </c>
      <c r="J1926">
        <v>-122.13212799999999</v>
      </c>
      <c r="K1926" t="s">
        <v>3936</v>
      </c>
      <c r="L1926" t="s">
        <v>3946</v>
      </c>
      <c r="M1926" t="s">
        <v>5575</v>
      </c>
      <c r="P1926" t="s">
        <v>2602</v>
      </c>
    </row>
    <row r="1927" spans="1:16" x14ac:dyDescent="0.2">
      <c r="A1927" t="s">
        <v>2013</v>
      </c>
      <c r="B1927" t="s">
        <v>2603</v>
      </c>
      <c r="C1927" t="s">
        <v>2599</v>
      </c>
      <c r="D1927" t="s">
        <v>2307</v>
      </c>
      <c r="E1927">
        <v>98028</v>
      </c>
      <c r="F1927" t="s">
        <v>1716</v>
      </c>
      <c r="G1927" t="s">
        <v>2000</v>
      </c>
      <c r="H1927" t="s">
        <v>4414</v>
      </c>
      <c r="I1927">
        <v>47.758774000000003</v>
      </c>
      <c r="J1927">
        <v>-122.255197</v>
      </c>
      <c r="K1927" t="s">
        <v>3936</v>
      </c>
      <c r="L1927" t="s">
        <v>3946</v>
      </c>
      <c r="M1927" t="s">
        <v>5575</v>
      </c>
      <c r="P1927" t="s">
        <v>2603</v>
      </c>
    </row>
    <row r="1928" spans="1:16" x14ac:dyDescent="0.2">
      <c r="A1928" t="s">
        <v>2138</v>
      </c>
      <c r="B1928" t="s">
        <v>6314</v>
      </c>
      <c r="C1928" t="s">
        <v>2502</v>
      </c>
      <c r="D1928" t="s">
        <v>2307</v>
      </c>
      <c r="E1928">
        <v>98007</v>
      </c>
      <c r="F1928" t="s">
        <v>1573</v>
      </c>
      <c r="G1928" t="s">
        <v>5582</v>
      </c>
      <c r="H1928" t="s">
        <v>5865</v>
      </c>
      <c r="I1928">
        <v>47.581201999999998</v>
      </c>
      <c r="J1928">
        <v>-122.14287299999999</v>
      </c>
      <c r="K1928" t="s">
        <v>3936</v>
      </c>
      <c r="L1928" t="s">
        <v>3946</v>
      </c>
      <c r="M1928" t="s">
        <v>5575</v>
      </c>
      <c r="P1928" t="s">
        <v>6119</v>
      </c>
    </row>
    <row r="1929" spans="1:16" x14ac:dyDescent="0.2">
      <c r="A1929" t="s">
        <v>2059</v>
      </c>
      <c r="B1929" t="s">
        <v>2604</v>
      </c>
      <c r="C1929" t="s">
        <v>2581</v>
      </c>
      <c r="D1929" t="s">
        <v>2307</v>
      </c>
      <c r="E1929">
        <v>98146</v>
      </c>
      <c r="F1929" t="s">
        <v>1600</v>
      </c>
      <c r="G1929" t="s">
        <v>2063</v>
      </c>
      <c r="H1929" t="s">
        <v>5866</v>
      </c>
      <c r="I1929">
        <v>47.488325000000003</v>
      </c>
      <c r="J1929">
        <v>-122.34832400000001</v>
      </c>
      <c r="K1929" t="s">
        <v>3936</v>
      </c>
      <c r="L1929" t="s">
        <v>3946</v>
      </c>
      <c r="M1929" t="s">
        <v>5575</v>
      </c>
      <c r="P1929" t="s">
        <v>2604</v>
      </c>
    </row>
    <row r="1930" spans="1:16" x14ac:dyDescent="0.2">
      <c r="A1930" t="s">
        <v>2011</v>
      </c>
      <c r="B1930" t="s">
        <v>2605</v>
      </c>
      <c r="C1930" t="s">
        <v>2581</v>
      </c>
      <c r="D1930" t="s">
        <v>2307</v>
      </c>
      <c r="E1930">
        <v>98168</v>
      </c>
      <c r="F1930" t="s">
        <v>1573</v>
      </c>
      <c r="G1930" t="s">
        <v>1986</v>
      </c>
      <c r="H1930" t="s">
        <v>4415</v>
      </c>
      <c r="I1930">
        <v>47.488290999999997</v>
      </c>
      <c r="J1930">
        <v>-122.334056</v>
      </c>
      <c r="K1930" t="s">
        <v>3936</v>
      </c>
      <c r="L1930" t="s">
        <v>3946</v>
      </c>
      <c r="M1930" t="s">
        <v>5575</v>
      </c>
      <c r="P1930" t="s">
        <v>2605</v>
      </c>
    </row>
    <row r="1931" spans="1:16" x14ac:dyDescent="0.2">
      <c r="A1931" t="s">
        <v>2018</v>
      </c>
      <c r="B1931" t="s">
        <v>2606</v>
      </c>
      <c r="C1931" t="s">
        <v>2599</v>
      </c>
      <c r="D1931" t="s">
        <v>2307</v>
      </c>
      <c r="E1931">
        <v>98028</v>
      </c>
      <c r="F1931" t="s">
        <v>1600</v>
      </c>
      <c r="G1931" t="s">
        <v>2027</v>
      </c>
      <c r="H1931" t="s">
        <v>5473</v>
      </c>
      <c r="I1931">
        <v>47.758631999999999</v>
      </c>
      <c r="J1931">
        <v>-122.251741</v>
      </c>
      <c r="K1931" t="s">
        <v>3936</v>
      </c>
      <c r="L1931" t="s">
        <v>3946</v>
      </c>
      <c r="M1931" t="s">
        <v>5575</v>
      </c>
      <c r="P1931" t="s">
        <v>2606</v>
      </c>
    </row>
    <row r="1932" spans="1:16" x14ac:dyDescent="0.2">
      <c r="A1932" t="s">
        <v>3954</v>
      </c>
      <c r="B1932" t="s">
        <v>2607</v>
      </c>
      <c r="C1932" t="s">
        <v>66</v>
      </c>
      <c r="D1932" t="s">
        <v>2307</v>
      </c>
      <c r="E1932">
        <v>98133</v>
      </c>
      <c r="F1932" t="s">
        <v>1600</v>
      </c>
      <c r="G1932" t="s">
        <v>5579</v>
      </c>
      <c r="H1932" t="s">
        <v>5867</v>
      </c>
      <c r="I1932">
        <v>47.771503000000003</v>
      </c>
      <c r="J1932">
        <v>-122.34620099999999</v>
      </c>
      <c r="K1932" t="s">
        <v>3936</v>
      </c>
      <c r="L1932" t="s">
        <v>3946</v>
      </c>
      <c r="M1932" t="s">
        <v>5575</v>
      </c>
      <c r="P1932" t="s">
        <v>2607</v>
      </c>
    </row>
    <row r="1933" spans="1:16" x14ac:dyDescent="0.2">
      <c r="A1933" t="s">
        <v>2011</v>
      </c>
      <c r="B1933" t="s">
        <v>2608</v>
      </c>
      <c r="C1933" t="s">
        <v>2586</v>
      </c>
      <c r="D1933" t="s">
        <v>2307</v>
      </c>
      <c r="E1933">
        <v>98052</v>
      </c>
      <c r="F1933" t="s">
        <v>1573</v>
      </c>
      <c r="G1933" t="s">
        <v>1986</v>
      </c>
      <c r="H1933" t="s">
        <v>4416</v>
      </c>
      <c r="I1933">
        <v>47.683390000000003</v>
      </c>
      <c r="J1933">
        <v>-122.14471</v>
      </c>
      <c r="K1933" t="s">
        <v>3936</v>
      </c>
      <c r="L1933" t="s">
        <v>3946</v>
      </c>
      <c r="M1933" t="s">
        <v>5575</v>
      </c>
      <c r="P1933" t="s">
        <v>2608</v>
      </c>
    </row>
    <row r="1934" spans="1:16" x14ac:dyDescent="0.2">
      <c r="A1934" t="s">
        <v>3955</v>
      </c>
      <c r="B1934" t="s">
        <v>2609</v>
      </c>
      <c r="C1934" t="s">
        <v>2610</v>
      </c>
      <c r="D1934" t="s">
        <v>2307</v>
      </c>
      <c r="E1934">
        <v>98007</v>
      </c>
      <c r="F1934" t="s">
        <v>1658</v>
      </c>
      <c r="G1934" t="s">
        <v>2148</v>
      </c>
      <c r="H1934" t="s">
        <v>5868</v>
      </c>
      <c r="I1934">
        <v>47.581364000000001</v>
      </c>
      <c r="J1934">
        <v>-122.141571</v>
      </c>
      <c r="K1934" t="s">
        <v>3936</v>
      </c>
      <c r="L1934" t="s">
        <v>3946</v>
      </c>
      <c r="M1934" t="s">
        <v>5575</v>
      </c>
      <c r="P1934" t="s">
        <v>2609</v>
      </c>
    </row>
    <row r="1935" spans="1:16" x14ac:dyDescent="0.2">
      <c r="A1935" t="s">
        <v>2018</v>
      </c>
      <c r="B1935" t="s">
        <v>2611</v>
      </c>
      <c r="C1935" t="s">
        <v>2502</v>
      </c>
      <c r="D1935" t="s">
        <v>2307</v>
      </c>
      <c r="E1935">
        <v>98007</v>
      </c>
      <c r="F1935" t="s">
        <v>2019</v>
      </c>
      <c r="G1935" t="s">
        <v>1991</v>
      </c>
      <c r="H1935" t="s">
        <v>5163</v>
      </c>
      <c r="I1935">
        <v>47.581364000000001</v>
      </c>
      <c r="J1935">
        <v>-122.141571</v>
      </c>
      <c r="K1935" t="s">
        <v>3936</v>
      </c>
      <c r="L1935" t="s">
        <v>3946</v>
      </c>
      <c r="M1935" t="s">
        <v>5575</v>
      </c>
      <c r="P1935" t="s">
        <v>2611</v>
      </c>
    </row>
    <row r="1936" spans="1:16" x14ac:dyDescent="0.2">
      <c r="A1936" t="s">
        <v>2011</v>
      </c>
      <c r="B1936" t="s">
        <v>2612</v>
      </c>
      <c r="C1936" t="s">
        <v>2502</v>
      </c>
      <c r="D1936" t="s">
        <v>2307</v>
      </c>
      <c r="E1936">
        <v>98007</v>
      </c>
      <c r="F1936" t="s">
        <v>1573</v>
      </c>
      <c r="G1936" t="s">
        <v>1986</v>
      </c>
      <c r="H1936" t="s">
        <v>4417</v>
      </c>
      <c r="I1936">
        <v>47.581364000000001</v>
      </c>
      <c r="J1936">
        <v>-122.141571</v>
      </c>
      <c r="K1936" t="s">
        <v>3936</v>
      </c>
      <c r="L1936" t="s">
        <v>3946</v>
      </c>
      <c r="M1936" t="s">
        <v>5575</v>
      </c>
      <c r="P1936" t="s">
        <v>2612</v>
      </c>
    </row>
    <row r="1937" spans="1:16" x14ac:dyDescent="0.2">
      <c r="A1937" t="s">
        <v>2140</v>
      </c>
      <c r="B1937" t="s">
        <v>6250</v>
      </c>
      <c r="C1937" t="s">
        <v>386</v>
      </c>
      <c r="D1937" t="s">
        <v>2307</v>
      </c>
      <c r="E1937">
        <v>98155</v>
      </c>
      <c r="F1937" t="s">
        <v>2035</v>
      </c>
      <c r="G1937" t="s">
        <v>2005</v>
      </c>
      <c r="H1937" t="s">
        <v>4418</v>
      </c>
      <c r="I1937">
        <v>47.770412999999998</v>
      </c>
      <c r="J1937">
        <v>-122.302976</v>
      </c>
      <c r="K1937" t="s">
        <v>3936</v>
      </c>
      <c r="L1937" t="s">
        <v>3946</v>
      </c>
      <c r="M1937" t="s">
        <v>5575</v>
      </c>
      <c r="P1937" t="s">
        <v>6050</v>
      </c>
    </row>
    <row r="1938" spans="1:16" x14ac:dyDescent="0.2">
      <c r="A1938" t="s">
        <v>2011</v>
      </c>
      <c r="B1938" t="s">
        <v>2613</v>
      </c>
      <c r="C1938" t="s">
        <v>2599</v>
      </c>
      <c r="D1938" t="s">
        <v>2307</v>
      </c>
      <c r="E1938">
        <v>98028</v>
      </c>
      <c r="F1938" t="s">
        <v>1573</v>
      </c>
      <c r="G1938" t="s">
        <v>1986</v>
      </c>
      <c r="H1938" t="s">
        <v>4419</v>
      </c>
      <c r="I1938">
        <v>47.758015999999998</v>
      </c>
      <c r="J1938">
        <v>-122.246484</v>
      </c>
      <c r="K1938" t="s">
        <v>3936</v>
      </c>
      <c r="L1938" t="s">
        <v>3946</v>
      </c>
      <c r="M1938" t="s">
        <v>5575</v>
      </c>
      <c r="P1938" t="s">
        <v>2613</v>
      </c>
    </row>
    <row r="1939" spans="1:16" x14ac:dyDescent="0.2">
      <c r="A1939" t="s">
        <v>2048</v>
      </c>
      <c r="B1939" t="s">
        <v>2614</v>
      </c>
      <c r="C1939" t="s">
        <v>2586</v>
      </c>
      <c r="D1939" t="s">
        <v>2307</v>
      </c>
      <c r="E1939">
        <v>98052</v>
      </c>
      <c r="F1939" t="s">
        <v>1573</v>
      </c>
      <c r="G1939" t="s">
        <v>2014</v>
      </c>
      <c r="H1939" t="s">
        <v>4420</v>
      </c>
      <c r="I1939">
        <v>47.682322999999997</v>
      </c>
      <c r="J1939">
        <v>-122.142723</v>
      </c>
      <c r="K1939" t="s">
        <v>3936</v>
      </c>
      <c r="L1939" t="s">
        <v>3946</v>
      </c>
      <c r="M1939" t="s">
        <v>5575</v>
      </c>
      <c r="P1939" t="s">
        <v>2614</v>
      </c>
    </row>
    <row r="1940" spans="1:16" x14ac:dyDescent="0.2">
      <c r="A1940" t="s">
        <v>2007</v>
      </c>
      <c r="B1940" t="s">
        <v>2615</v>
      </c>
      <c r="C1940" t="s">
        <v>2502</v>
      </c>
      <c r="D1940" t="s">
        <v>2307</v>
      </c>
      <c r="E1940">
        <v>98008</v>
      </c>
      <c r="F1940" t="s">
        <v>1658</v>
      </c>
      <c r="G1940" t="s">
        <v>2066</v>
      </c>
      <c r="H1940" t="s">
        <v>5869</v>
      </c>
      <c r="I1940">
        <v>47.617179</v>
      </c>
      <c r="J1940">
        <v>-122.128377</v>
      </c>
      <c r="K1940" t="s">
        <v>3936</v>
      </c>
      <c r="L1940" t="s">
        <v>3946</v>
      </c>
      <c r="M1940" t="s">
        <v>5575</v>
      </c>
      <c r="P1940" t="s">
        <v>2615</v>
      </c>
    </row>
    <row r="1941" spans="1:16" x14ac:dyDescent="0.2">
      <c r="A1941" t="s">
        <v>2018</v>
      </c>
      <c r="B1941" t="s">
        <v>2616</v>
      </c>
      <c r="C1941" t="s">
        <v>2502</v>
      </c>
      <c r="D1941" t="s">
        <v>2307</v>
      </c>
      <c r="E1941">
        <v>98008</v>
      </c>
      <c r="F1941" t="s">
        <v>1600</v>
      </c>
      <c r="G1941" t="s">
        <v>2027</v>
      </c>
      <c r="H1941" t="s">
        <v>5474</v>
      </c>
      <c r="I1941">
        <v>47.635326999999997</v>
      </c>
      <c r="J1941">
        <v>-122.12615700000001</v>
      </c>
      <c r="K1941" t="s">
        <v>3936</v>
      </c>
      <c r="L1941" t="s">
        <v>3946</v>
      </c>
      <c r="M1941" t="s">
        <v>5575</v>
      </c>
      <c r="P1941" t="s">
        <v>2616</v>
      </c>
    </row>
    <row r="1942" spans="1:16" x14ac:dyDescent="0.2">
      <c r="A1942" t="s">
        <v>2007</v>
      </c>
      <c r="B1942" t="s">
        <v>2617</v>
      </c>
      <c r="C1942" t="s">
        <v>2502</v>
      </c>
      <c r="D1942" t="s">
        <v>2307</v>
      </c>
      <c r="E1942">
        <v>98006</v>
      </c>
      <c r="F1942" t="s">
        <v>1658</v>
      </c>
      <c r="G1942" t="s">
        <v>2110</v>
      </c>
      <c r="H1942" t="s">
        <v>5870</v>
      </c>
      <c r="I1942">
        <v>47.577232000000002</v>
      </c>
      <c r="J1942">
        <v>-122.13775800000001</v>
      </c>
      <c r="K1942" t="s">
        <v>3936</v>
      </c>
      <c r="L1942" t="s">
        <v>3946</v>
      </c>
      <c r="M1942" t="s">
        <v>5575</v>
      </c>
      <c r="P1942" t="s">
        <v>2617</v>
      </c>
    </row>
    <row r="1943" spans="1:16" x14ac:dyDescent="0.2">
      <c r="A1943" t="s">
        <v>3952</v>
      </c>
      <c r="B1943" t="s">
        <v>2618</v>
      </c>
      <c r="C1943" t="s">
        <v>2502</v>
      </c>
      <c r="D1943" t="s">
        <v>2307</v>
      </c>
      <c r="E1943">
        <v>98006</v>
      </c>
      <c r="F1943" t="s">
        <v>1573</v>
      </c>
      <c r="G1943" t="s">
        <v>2014</v>
      </c>
      <c r="H1943" t="s">
        <v>4421</v>
      </c>
      <c r="I1943">
        <v>47.577508999999999</v>
      </c>
      <c r="J1943">
        <v>-122.136944</v>
      </c>
      <c r="K1943" t="s">
        <v>3936</v>
      </c>
      <c r="L1943" t="s">
        <v>3946</v>
      </c>
      <c r="M1943" t="s">
        <v>5575</v>
      </c>
      <c r="P1943" t="s">
        <v>2618</v>
      </c>
    </row>
    <row r="1944" spans="1:16" x14ac:dyDescent="0.2">
      <c r="A1944" t="s">
        <v>2141</v>
      </c>
      <c r="B1944" t="s">
        <v>2619</v>
      </c>
      <c r="C1944" t="s">
        <v>2620</v>
      </c>
      <c r="D1944" t="s">
        <v>2307</v>
      </c>
      <c r="E1944">
        <v>98056</v>
      </c>
      <c r="F1944" t="s">
        <v>2035</v>
      </c>
      <c r="G1944" t="s">
        <v>2005</v>
      </c>
      <c r="H1944" t="s">
        <v>4422</v>
      </c>
      <c r="I1944">
        <v>47.539338999999998</v>
      </c>
      <c r="J1944">
        <v>-122.169394</v>
      </c>
      <c r="K1944" t="s">
        <v>3936</v>
      </c>
      <c r="L1944" t="s">
        <v>3946</v>
      </c>
      <c r="M1944" t="s">
        <v>5575</v>
      </c>
      <c r="P1944" t="s">
        <v>2619</v>
      </c>
    </row>
    <row r="1945" spans="1:16" x14ac:dyDescent="0.2">
      <c r="A1945" t="s">
        <v>2059</v>
      </c>
      <c r="B1945" t="s">
        <v>2621</v>
      </c>
      <c r="C1945" t="s">
        <v>2502</v>
      </c>
      <c r="D1945" t="s">
        <v>2307</v>
      </c>
      <c r="E1945">
        <v>98007</v>
      </c>
      <c r="F1945" t="s">
        <v>1573</v>
      </c>
      <c r="G1945" t="s">
        <v>2067</v>
      </c>
      <c r="H1945" t="s">
        <v>5871</v>
      </c>
      <c r="I1945">
        <v>47.581302000000001</v>
      </c>
      <c r="J1945">
        <v>-122.13549500000001</v>
      </c>
      <c r="K1945" t="s">
        <v>3936</v>
      </c>
      <c r="L1945" t="s">
        <v>3946</v>
      </c>
      <c r="M1945" t="s">
        <v>5575</v>
      </c>
      <c r="P1945" t="s">
        <v>2621</v>
      </c>
    </row>
    <row r="1946" spans="1:16" x14ac:dyDescent="0.2">
      <c r="A1946" t="s">
        <v>2007</v>
      </c>
      <c r="B1946" t="s">
        <v>2622</v>
      </c>
      <c r="C1946" t="s">
        <v>2581</v>
      </c>
      <c r="D1946" t="s">
        <v>2307</v>
      </c>
      <c r="E1946">
        <v>98168</v>
      </c>
      <c r="F1946" t="s">
        <v>1658</v>
      </c>
      <c r="G1946" t="s">
        <v>2066</v>
      </c>
      <c r="H1946" t="s">
        <v>5253</v>
      </c>
      <c r="I1946">
        <v>47.48254</v>
      </c>
      <c r="J1946">
        <v>-122.333674</v>
      </c>
      <c r="K1946" t="s">
        <v>3936</v>
      </c>
      <c r="L1946" t="s">
        <v>3946</v>
      </c>
      <c r="M1946" t="s">
        <v>5575</v>
      </c>
      <c r="P1946" t="s">
        <v>2622</v>
      </c>
    </row>
    <row r="1947" spans="1:16" x14ac:dyDescent="0.2">
      <c r="A1947" t="s">
        <v>2011</v>
      </c>
      <c r="B1947" t="s">
        <v>2623</v>
      </c>
      <c r="C1947" t="s">
        <v>2586</v>
      </c>
      <c r="D1947" t="s">
        <v>2307</v>
      </c>
      <c r="E1947">
        <v>98052</v>
      </c>
      <c r="F1947" t="s">
        <v>1573</v>
      </c>
      <c r="G1947" t="s">
        <v>1986</v>
      </c>
      <c r="H1947" t="s">
        <v>4423</v>
      </c>
      <c r="I1947">
        <v>47.662764000000003</v>
      </c>
      <c r="J1947">
        <v>-122.12644299999999</v>
      </c>
      <c r="K1947" t="s">
        <v>3936</v>
      </c>
      <c r="L1947" t="s">
        <v>3946</v>
      </c>
      <c r="M1947" t="s">
        <v>5575</v>
      </c>
      <c r="P1947" t="s">
        <v>2623</v>
      </c>
    </row>
    <row r="1948" spans="1:16" x14ac:dyDescent="0.2">
      <c r="A1948" t="s">
        <v>2011</v>
      </c>
      <c r="B1948" t="s">
        <v>6315</v>
      </c>
      <c r="C1948" t="s">
        <v>66</v>
      </c>
      <c r="D1948" t="s">
        <v>2307</v>
      </c>
      <c r="E1948">
        <v>98155</v>
      </c>
      <c r="F1948" t="s">
        <v>1573</v>
      </c>
      <c r="G1948" t="s">
        <v>1986</v>
      </c>
      <c r="H1948" t="s">
        <v>4424</v>
      </c>
      <c r="I1948">
        <v>47.776226000000001</v>
      </c>
      <c r="J1948">
        <v>-122.311588</v>
      </c>
      <c r="K1948" t="s">
        <v>3936</v>
      </c>
      <c r="L1948" t="s">
        <v>3946</v>
      </c>
      <c r="M1948" t="s">
        <v>5575</v>
      </c>
      <c r="P1948" t="s">
        <v>6120</v>
      </c>
    </row>
    <row r="1949" spans="1:16" x14ac:dyDescent="0.2">
      <c r="A1949" t="s">
        <v>2048</v>
      </c>
      <c r="B1949" t="s">
        <v>2624</v>
      </c>
      <c r="C1949" t="s">
        <v>66</v>
      </c>
      <c r="D1949" t="s">
        <v>2307</v>
      </c>
      <c r="E1949">
        <v>98146</v>
      </c>
      <c r="F1949" t="s">
        <v>1573</v>
      </c>
      <c r="G1949" t="s">
        <v>2014</v>
      </c>
      <c r="H1949" t="s">
        <v>4425</v>
      </c>
      <c r="I1949">
        <v>47.481864000000002</v>
      </c>
      <c r="J1949">
        <v>-122.348581</v>
      </c>
      <c r="K1949" t="s">
        <v>3936</v>
      </c>
      <c r="L1949" t="s">
        <v>3946</v>
      </c>
      <c r="M1949" t="s">
        <v>5575</v>
      </c>
      <c r="P1949" t="s">
        <v>2624</v>
      </c>
    </row>
    <row r="1950" spans="1:16" x14ac:dyDescent="0.2">
      <c r="A1950" t="s">
        <v>2015</v>
      </c>
      <c r="B1950" t="s">
        <v>2625</v>
      </c>
      <c r="C1950" t="s">
        <v>386</v>
      </c>
      <c r="D1950" t="s">
        <v>2307</v>
      </c>
      <c r="E1950">
        <v>98133</v>
      </c>
      <c r="F1950" t="s">
        <v>1573</v>
      </c>
      <c r="G1950" t="s">
        <v>2071</v>
      </c>
      <c r="H1950" t="s">
        <v>5872</v>
      </c>
      <c r="I1950">
        <v>47.777673</v>
      </c>
      <c r="J1950">
        <v>-122.34316800000001</v>
      </c>
      <c r="K1950" t="s">
        <v>3936</v>
      </c>
      <c r="L1950" t="s">
        <v>3946</v>
      </c>
      <c r="M1950" t="s">
        <v>5575</v>
      </c>
      <c r="P1950" t="s">
        <v>2625</v>
      </c>
    </row>
    <row r="1951" spans="1:16" x14ac:dyDescent="0.2">
      <c r="A1951" t="s">
        <v>2101</v>
      </c>
      <c r="B1951" t="s">
        <v>2626</v>
      </c>
      <c r="C1951" t="s">
        <v>2627</v>
      </c>
      <c r="D1951" t="s">
        <v>2307</v>
      </c>
      <c r="E1951">
        <v>98026</v>
      </c>
      <c r="F1951" t="s">
        <v>1600</v>
      </c>
      <c r="G1951" t="s">
        <v>2142</v>
      </c>
      <c r="H1951" t="s">
        <v>5092</v>
      </c>
      <c r="I1951">
        <v>47.777940999999998</v>
      </c>
      <c r="J1951">
        <v>-122.346543</v>
      </c>
      <c r="K1951" t="s">
        <v>3936</v>
      </c>
      <c r="L1951" t="s">
        <v>3946</v>
      </c>
      <c r="M1951" t="s">
        <v>5575</v>
      </c>
      <c r="P1951" t="s">
        <v>2626</v>
      </c>
    </row>
    <row r="1952" spans="1:16" x14ac:dyDescent="0.2">
      <c r="A1952" t="s">
        <v>2143</v>
      </c>
      <c r="B1952" t="s">
        <v>2628</v>
      </c>
      <c r="C1952" t="s">
        <v>2586</v>
      </c>
      <c r="D1952" t="s">
        <v>2307</v>
      </c>
      <c r="E1952">
        <v>98052</v>
      </c>
      <c r="F1952" t="s">
        <v>1716</v>
      </c>
      <c r="G1952" t="s">
        <v>2005</v>
      </c>
      <c r="H1952" t="s">
        <v>4426</v>
      </c>
      <c r="I1952">
        <v>47.674377999999997</v>
      </c>
      <c r="J1952">
        <v>-122.129929</v>
      </c>
      <c r="K1952" t="s">
        <v>3936</v>
      </c>
      <c r="L1952" t="s">
        <v>3946</v>
      </c>
      <c r="M1952" t="s">
        <v>5575</v>
      </c>
      <c r="P1952" t="s">
        <v>2628</v>
      </c>
    </row>
    <row r="1953" spans="1:16" x14ac:dyDescent="0.2">
      <c r="A1953" t="s">
        <v>2048</v>
      </c>
      <c r="B1953" t="s">
        <v>2629</v>
      </c>
      <c r="C1953" t="s">
        <v>2597</v>
      </c>
      <c r="D1953" t="s">
        <v>2307</v>
      </c>
      <c r="E1953">
        <v>98059</v>
      </c>
      <c r="F1953" t="s">
        <v>1573</v>
      </c>
      <c r="G1953" t="s">
        <v>2014</v>
      </c>
      <c r="H1953" t="s">
        <v>4427</v>
      </c>
      <c r="I1953">
        <v>47.538204999999998</v>
      </c>
      <c r="J1953">
        <v>-122.16586100000001</v>
      </c>
      <c r="K1953" t="s">
        <v>3936</v>
      </c>
      <c r="L1953" t="s">
        <v>3946</v>
      </c>
      <c r="M1953" t="s">
        <v>5575</v>
      </c>
      <c r="P1953" t="s">
        <v>2629</v>
      </c>
    </row>
    <row r="1954" spans="1:16" x14ac:dyDescent="0.2">
      <c r="A1954" t="s">
        <v>2011</v>
      </c>
      <c r="B1954" t="s">
        <v>6316</v>
      </c>
      <c r="C1954" t="s">
        <v>2620</v>
      </c>
      <c r="D1954" t="s">
        <v>2307</v>
      </c>
      <c r="E1954">
        <v>98059</v>
      </c>
      <c r="F1954" t="s">
        <v>1573</v>
      </c>
      <c r="G1954" t="s">
        <v>1986</v>
      </c>
      <c r="H1954" t="s">
        <v>4428</v>
      </c>
      <c r="I1954">
        <v>47.538034000000003</v>
      </c>
      <c r="J1954">
        <v>-122.166157</v>
      </c>
      <c r="K1954" t="s">
        <v>3936</v>
      </c>
      <c r="L1954" t="s">
        <v>3946</v>
      </c>
      <c r="M1954" t="s">
        <v>5575</v>
      </c>
      <c r="P1954" t="s">
        <v>6121</v>
      </c>
    </row>
    <row r="1955" spans="1:16" x14ac:dyDescent="0.2">
      <c r="A1955" t="s">
        <v>2048</v>
      </c>
      <c r="B1955" t="s">
        <v>2630</v>
      </c>
      <c r="C1955" t="s">
        <v>66</v>
      </c>
      <c r="D1955" t="s">
        <v>2307</v>
      </c>
      <c r="E1955">
        <v>98155</v>
      </c>
      <c r="F1955" t="s">
        <v>1573</v>
      </c>
      <c r="G1955" t="s">
        <v>2014</v>
      </c>
      <c r="H1955" t="s">
        <v>4429</v>
      </c>
      <c r="I1955">
        <v>47.777473000000001</v>
      </c>
      <c r="J1955">
        <v>-122.308295</v>
      </c>
      <c r="K1955" t="s">
        <v>3936</v>
      </c>
      <c r="L1955" t="s">
        <v>3946</v>
      </c>
      <c r="M1955" t="s">
        <v>5575</v>
      </c>
      <c r="P1955" t="s">
        <v>2630</v>
      </c>
    </row>
    <row r="1956" spans="1:16" x14ac:dyDescent="0.2">
      <c r="A1956" t="s">
        <v>2144</v>
      </c>
      <c r="B1956" t="s">
        <v>2631</v>
      </c>
      <c r="C1956" t="s">
        <v>2627</v>
      </c>
      <c r="D1956" t="s">
        <v>2307</v>
      </c>
      <c r="E1956">
        <v>98023</v>
      </c>
      <c r="F1956" t="s">
        <v>1583</v>
      </c>
      <c r="G1956" t="s">
        <v>1980</v>
      </c>
      <c r="H1956" t="s">
        <v>4430</v>
      </c>
      <c r="I1956">
        <v>47.778371999999997</v>
      </c>
      <c r="J1956">
        <v>-122.36253000000001</v>
      </c>
      <c r="K1956" t="s">
        <v>3936</v>
      </c>
      <c r="L1956" t="s">
        <v>3946</v>
      </c>
      <c r="M1956" t="s">
        <v>5575</v>
      </c>
      <c r="P1956" t="s">
        <v>2631</v>
      </c>
    </row>
    <row r="1957" spans="1:16" x14ac:dyDescent="0.2">
      <c r="A1957" t="s">
        <v>1694</v>
      </c>
      <c r="B1957" t="s">
        <v>2632</v>
      </c>
      <c r="C1957" t="s">
        <v>2627</v>
      </c>
      <c r="D1957" t="s">
        <v>2307</v>
      </c>
      <c r="E1957">
        <v>98020</v>
      </c>
      <c r="F1957" t="s">
        <v>1585</v>
      </c>
      <c r="G1957" t="s">
        <v>1989</v>
      </c>
      <c r="H1957" t="s">
        <v>4431</v>
      </c>
      <c r="I1957">
        <v>47.778422999999997</v>
      </c>
      <c r="J1957">
        <v>-122.3627</v>
      </c>
      <c r="K1957" t="s">
        <v>3936</v>
      </c>
      <c r="L1957" t="s">
        <v>3946</v>
      </c>
      <c r="M1957" t="s">
        <v>5575</v>
      </c>
      <c r="P1957" t="s">
        <v>2632</v>
      </c>
    </row>
    <row r="1958" spans="1:16" x14ac:dyDescent="0.2">
      <c r="A1958" t="s">
        <v>2011</v>
      </c>
      <c r="B1958" t="s">
        <v>2633</v>
      </c>
      <c r="C1958" t="s">
        <v>2586</v>
      </c>
      <c r="D1958" t="s">
        <v>2307</v>
      </c>
      <c r="E1958">
        <v>98052</v>
      </c>
      <c r="F1958" t="s">
        <v>1573</v>
      </c>
      <c r="G1958" t="s">
        <v>1986</v>
      </c>
      <c r="H1958" t="s">
        <v>4432</v>
      </c>
      <c r="I1958">
        <v>47.674844999999998</v>
      </c>
      <c r="J1958">
        <v>-122.127109</v>
      </c>
      <c r="K1958" t="s">
        <v>3936</v>
      </c>
      <c r="L1958" t="s">
        <v>3946</v>
      </c>
      <c r="M1958" t="s">
        <v>5575</v>
      </c>
      <c r="P1958" t="s">
        <v>2633</v>
      </c>
    </row>
    <row r="1959" spans="1:16" x14ac:dyDescent="0.2">
      <c r="A1959" t="s">
        <v>2011</v>
      </c>
      <c r="B1959" t="s">
        <v>2634</v>
      </c>
      <c r="C1959" t="s">
        <v>2548</v>
      </c>
      <c r="D1959" t="s">
        <v>2307</v>
      </c>
      <c r="E1959">
        <v>98011</v>
      </c>
      <c r="F1959" t="s">
        <v>1573</v>
      </c>
      <c r="G1959" t="s">
        <v>1986</v>
      </c>
      <c r="H1959" t="s">
        <v>4433</v>
      </c>
      <c r="I1959">
        <v>47.753124999999997</v>
      </c>
      <c r="J1959">
        <v>-122.211907</v>
      </c>
      <c r="K1959" t="s">
        <v>3936</v>
      </c>
      <c r="L1959" t="s">
        <v>3946</v>
      </c>
      <c r="M1959" t="s">
        <v>5575</v>
      </c>
      <c r="P1959" t="s">
        <v>2634</v>
      </c>
    </row>
    <row r="1960" spans="1:16" x14ac:dyDescent="0.2">
      <c r="A1960" t="s">
        <v>2059</v>
      </c>
      <c r="B1960" t="s">
        <v>2635</v>
      </c>
      <c r="C1960" t="s">
        <v>2636</v>
      </c>
      <c r="D1960" t="s">
        <v>2307</v>
      </c>
      <c r="E1960">
        <v>98168</v>
      </c>
      <c r="F1960" t="s">
        <v>1600</v>
      </c>
      <c r="G1960" t="s">
        <v>2135</v>
      </c>
      <c r="H1960" t="s">
        <v>5873</v>
      </c>
      <c r="I1960">
        <v>47.485633999999997</v>
      </c>
      <c r="J1960">
        <v>-122.273664</v>
      </c>
      <c r="K1960" t="s">
        <v>3936</v>
      </c>
      <c r="L1960" t="s">
        <v>3946</v>
      </c>
      <c r="M1960" t="s">
        <v>5575</v>
      </c>
      <c r="P1960" t="s">
        <v>2635</v>
      </c>
    </row>
    <row r="1961" spans="1:16" x14ac:dyDescent="0.2">
      <c r="A1961" t="s">
        <v>2011</v>
      </c>
      <c r="B1961" t="s">
        <v>6317</v>
      </c>
      <c r="C1961" t="s">
        <v>2506</v>
      </c>
      <c r="D1961" t="s">
        <v>2307</v>
      </c>
      <c r="E1961">
        <v>98034</v>
      </c>
      <c r="F1961" t="s">
        <v>1573</v>
      </c>
      <c r="G1961" t="s">
        <v>1986</v>
      </c>
      <c r="H1961" t="s">
        <v>4434</v>
      </c>
      <c r="I1961">
        <v>47.731079999999999</v>
      </c>
      <c r="J1961">
        <v>-122.173845</v>
      </c>
      <c r="K1961" t="s">
        <v>3936</v>
      </c>
      <c r="L1961" t="s">
        <v>3946</v>
      </c>
      <c r="M1961" t="s">
        <v>5575</v>
      </c>
      <c r="P1961" t="s">
        <v>6122</v>
      </c>
    </row>
    <row r="1962" spans="1:16" x14ac:dyDescent="0.2">
      <c r="A1962" t="s">
        <v>2018</v>
      </c>
      <c r="B1962" t="s">
        <v>2637</v>
      </c>
      <c r="C1962" t="s">
        <v>2586</v>
      </c>
      <c r="D1962" t="s">
        <v>2307</v>
      </c>
      <c r="E1962">
        <v>98052</v>
      </c>
      <c r="F1962" t="s">
        <v>2019</v>
      </c>
      <c r="G1962" t="s">
        <v>1991</v>
      </c>
      <c r="H1962" t="s">
        <v>5164</v>
      </c>
      <c r="I1962">
        <v>47.670605000000002</v>
      </c>
      <c r="J1962">
        <v>-122.122167</v>
      </c>
      <c r="K1962" t="s">
        <v>3936</v>
      </c>
      <c r="L1962" t="s">
        <v>3946</v>
      </c>
      <c r="M1962" t="s">
        <v>5575</v>
      </c>
      <c r="P1962" t="s">
        <v>2637</v>
      </c>
    </row>
    <row r="1963" spans="1:16" x14ac:dyDescent="0.2">
      <c r="A1963" t="s">
        <v>2007</v>
      </c>
      <c r="B1963" t="s">
        <v>2638</v>
      </c>
      <c r="C1963" t="s">
        <v>2586</v>
      </c>
      <c r="D1963" t="s">
        <v>2307</v>
      </c>
      <c r="E1963">
        <v>98052</v>
      </c>
      <c r="F1963" t="s">
        <v>1658</v>
      </c>
      <c r="G1963" t="s">
        <v>2066</v>
      </c>
      <c r="H1963" t="s">
        <v>5874</v>
      </c>
      <c r="I1963">
        <v>47.674528000000002</v>
      </c>
      <c r="J1963">
        <v>-122.12341600000001</v>
      </c>
      <c r="K1963" t="s">
        <v>3936</v>
      </c>
      <c r="L1963" t="s">
        <v>3946</v>
      </c>
      <c r="M1963" t="s">
        <v>5575</v>
      </c>
      <c r="P1963" t="s">
        <v>2638</v>
      </c>
    </row>
    <row r="1964" spans="1:16" x14ac:dyDescent="0.2">
      <c r="A1964" t="s">
        <v>5174</v>
      </c>
      <c r="B1964" t="s">
        <v>5175</v>
      </c>
      <c r="C1964" t="s">
        <v>2586</v>
      </c>
      <c r="D1964" t="s">
        <v>2307</v>
      </c>
      <c r="E1964">
        <v>98052</v>
      </c>
      <c r="F1964" t="s">
        <v>1716</v>
      </c>
      <c r="G1964" t="s">
        <v>1981</v>
      </c>
      <c r="H1964" t="s">
        <v>5176</v>
      </c>
      <c r="I1964">
        <v>47.679923000000002</v>
      </c>
      <c r="J1964">
        <v>-122.124971</v>
      </c>
      <c r="K1964" t="s">
        <v>3936</v>
      </c>
      <c r="L1964" t="s">
        <v>3946</v>
      </c>
      <c r="M1964" t="s">
        <v>5575</v>
      </c>
      <c r="P1964" t="s">
        <v>5175</v>
      </c>
    </row>
    <row r="1965" spans="1:16" x14ac:dyDescent="0.2">
      <c r="A1965" t="s">
        <v>2145</v>
      </c>
      <c r="B1965" t="s">
        <v>6223</v>
      </c>
      <c r="C1965" t="s">
        <v>2586</v>
      </c>
      <c r="D1965" t="s">
        <v>2307</v>
      </c>
      <c r="E1965">
        <v>98052</v>
      </c>
      <c r="F1965" t="s">
        <v>1591</v>
      </c>
      <c r="G1965" t="s">
        <v>1969</v>
      </c>
      <c r="H1965" t="s">
        <v>4951</v>
      </c>
      <c r="I1965">
        <v>47.678710000000002</v>
      </c>
      <c r="J1965">
        <v>-122.12465</v>
      </c>
      <c r="K1965" t="s">
        <v>3936</v>
      </c>
      <c r="L1965" t="s">
        <v>3946</v>
      </c>
      <c r="M1965" t="s">
        <v>5575</v>
      </c>
      <c r="P1965" t="s">
        <v>6024</v>
      </c>
    </row>
    <row r="1966" spans="1:16" x14ac:dyDescent="0.2">
      <c r="A1966" t="s">
        <v>3952</v>
      </c>
      <c r="B1966" t="s">
        <v>2639</v>
      </c>
      <c r="C1966" t="s">
        <v>2627</v>
      </c>
      <c r="D1966" t="s">
        <v>2307</v>
      </c>
      <c r="E1966">
        <v>98026</v>
      </c>
      <c r="F1966" t="s">
        <v>1573</v>
      </c>
      <c r="G1966" t="s">
        <v>2014</v>
      </c>
      <c r="H1966" t="s">
        <v>4435</v>
      </c>
      <c r="I1966">
        <v>47.782767</v>
      </c>
      <c r="J1966">
        <v>-122.34411799999999</v>
      </c>
      <c r="K1966" t="s">
        <v>3936</v>
      </c>
      <c r="L1966" t="s">
        <v>3946</v>
      </c>
      <c r="M1966" t="s">
        <v>5575</v>
      </c>
      <c r="P1966" t="s">
        <v>2639</v>
      </c>
    </row>
    <row r="1967" spans="1:16" x14ac:dyDescent="0.2">
      <c r="A1967" t="s">
        <v>2018</v>
      </c>
      <c r="B1967" t="s">
        <v>2640</v>
      </c>
      <c r="C1967" t="s">
        <v>2586</v>
      </c>
      <c r="D1967" t="s">
        <v>2307</v>
      </c>
      <c r="E1967">
        <v>98052</v>
      </c>
      <c r="F1967" t="s">
        <v>2019</v>
      </c>
      <c r="G1967" t="s">
        <v>1991</v>
      </c>
      <c r="H1967" t="s">
        <v>5475</v>
      </c>
      <c r="I1967">
        <v>47.681069999999998</v>
      </c>
      <c r="J1967">
        <v>-122.125304</v>
      </c>
      <c r="K1967" t="s">
        <v>3936</v>
      </c>
      <c r="L1967" t="s">
        <v>3946</v>
      </c>
      <c r="M1967" t="s">
        <v>5575</v>
      </c>
      <c r="P1967" t="s">
        <v>2640</v>
      </c>
    </row>
    <row r="1968" spans="1:16" x14ac:dyDescent="0.2">
      <c r="A1968" t="s">
        <v>2147</v>
      </c>
      <c r="B1968" t="s">
        <v>2641</v>
      </c>
      <c r="C1968" t="s">
        <v>2548</v>
      </c>
      <c r="D1968" t="s">
        <v>2307</v>
      </c>
      <c r="E1968">
        <v>98011</v>
      </c>
      <c r="F1968" t="s">
        <v>1716</v>
      </c>
      <c r="G1968" t="s">
        <v>2000</v>
      </c>
      <c r="H1968" t="s">
        <v>4436</v>
      </c>
      <c r="I1968">
        <v>47.756397999999997</v>
      </c>
      <c r="J1968">
        <v>-122.21181</v>
      </c>
      <c r="K1968" t="s">
        <v>3936</v>
      </c>
      <c r="L1968" t="s">
        <v>3946</v>
      </c>
      <c r="M1968" t="s">
        <v>5575</v>
      </c>
      <c r="P1968" t="s">
        <v>2641</v>
      </c>
    </row>
    <row r="1969" spans="1:16" x14ac:dyDescent="0.2">
      <c r="A1969" t="s">
        <v>2011</v>
      </c>
      <c r="B1969" t="s">
        <v>6318</v>
      </c>
      <c r="C1969" t="s">
        <v>2627</v>
      </c>
      <c r="D1969" t="s">
        <v>2307</v>
      </c>
      <c r="E1969">
        <v>98026</v>
      </c>
      <c r="F1969" t="s">
        <v>1573</v>
      </c>
      <c r="G1969" t="s">
        <v>1986</v>
      </c>
      <c r="H1969" t="s">
        <v>4437</v>
      </c>
      <c r="I1969">
        <v>47.782829999999997</v>
      </c>
      <c r="J1969">
        <v>-122.34372</v>
      </c>
      <c r="K1969" t="s">
        <v>3936</v>
      </c>
      <c r="L1969" t="s">
        <v>3946</v>
      </c>
      <c r="M1969" t="s">
        <v>5575</v>
      </c>
      <c r="P1969" t="s">
        <v>6124</v>
      </c>
    </row>
    <row r="1970" spans="1:16" x14ac:dyDescent="0.2">
      <c r="A1970" t="s">
        <v>2059</v>
      </c>
      <c r="B1970" t="s">
        <v>2642</v>
      </c>
      <c r="C1970" t="s">
        <v>2581</v>
      </c>
      <c r="D1970" t="s">
        <v>2307</v>
      </c>
      <c r="E1970">
        <v>98168</v>
      </c>
      <c r="F1970" t="s">
        <v>1600</v>
      </c>
      <c r="G1970" t="s">
        <v>2063</v>
      </c>
      <c r="H1970" t="s">
        <v>5876</v>
      </c>
      <c r="I1970">
        <v>47.476135999999997</v>
      </c>
      <c r="J1970">
        <v>-122.333623</v>
      </c>
      <c r="K1970" t="s">
        <v>3936</v>
      </c>
      <c r="L1970" t="s">
        <v>3946</v>
      </c>
      <c r="M1970" t="s">
        <v>5575</v>
      </c>
      <c r="P1970" t="s">
        <v>2642</v>
      </c>
    </row>
    <row r="1971" spans="1:16" x14ac:dyDescent="0.2">
      <c r="A1971" t="s">
        <v>2059</v>
      </c>
      <c r="B1971" t="s">
        <v>2643</v>
      </c>
      <c r="C1971" t="s">
        <v>2586</v>
      </c>
      <c r="D1971" t="s">
        <v>2307</v>
      </c>
      <c r="E1971">
        <v>98052</v>
      </c>
      <c r="F1971" t="s">
        <v>1600</v>
      </c>
      <c r="G1971" t="s">
        <v>2063</v>
      </c>
      <c r="H1971" t="s">
        <v>5254</v>
      </c>
      <c r="I1971">
        <v>47.679918999999998</v>
      </c>
      <c r="J1971">
        <v>-122.12324</v>
      </c>
      <c r="K1971" t="s">
        <v>3936</v>
      </c>
      <c r="L1971" t="s">
        <v>3946</v>
      </c>
      <c r="M1971" t="s">
        <v>5575</v>
      </c>
      <c r="P1971" t="s">
        <v>2643</v>
      </c>
    </row>
    <row r="1972" spans="1:16" x14ac:dyDescent="0.2">
      <c r="A1972" t="s">
        <v>3952</v>
      </c>
      <c r="B1972" t="s">
        <v>2644</v>
      </c>
      <c r="C1972" t="s">
        <v>2586</v>
      </c>
      <c r="D1972" t="s">
        <v>2307</v>
      </c>
      <c r="E1972">
        <v>98052</v>
      </c>
      <c r="F1972" t="s">
        <v>1573</v>
      </c>
      <c r="G1972" t="s">
        <v>2014</v>
      </c>
      <c r="H1972" t="s">
        <v>4438</v>
      </c>
      <c r="I1972">
        <v>47.672370000000001</v>
      </c>
      <c r="J1972">
        <v>-122.119595</v>
      </c>
      <c r="K1972" t="s">
        <v>3936</v>
      </c>
      <c r="L1972" t="s">
        <v>3946</v>
      </c>
      <c r="M1972" t="s">
        <v>5575</v>
      </c>
      <c r="P1972" t="s">
        <v>2644</v>
      </c>
    </row>
    <row r="1973" spans="1:16" x14ac:dyDescent="0.2">
      <c r="A1973" t="s">
        <v>3955</v>
      </c>
      <c r="B1973" t="s">
        <v>2645</v>
      </c>
      <c r="C1973" t="s">
        <v>2646</v>
      </c>
      <c r="D1973" t="s">
        <v>2307</v>
      </c>
      <c r="E1973">
        <v>98166</v>
      </c>
      <c r="F1973" t="s">
        <v>1658</v>
      </c>
      <c r="G1973" t="s">
        <v>2148</v>
      </c>
      <c r="H1973" t="s">
        <v>5877</v>
      </c>
      <c r="I1973">
        <v>47.474403000000002</v>
      </c>
      <c r="J1973">
        <v>-122.347345</v>
      </c>
      <c r="K1973" t="s">
        <v>3936</v>
      </c>
      <c r="L1973" t="s">
        <v>3946</v>
      </c>
      <c r="M1973" t="s">
        <v>5575</v>
      </c>
      <c r="P1973" t="s">
        <v>2645</v>
      </c>
    </row>
    <row r="1974" spans="1:16" x14ac:dyDescent="0.2">
      <c r="A1974" t="s">
        <v>2015</v>
      </c>
      <c r="B1974" t="s">
        <v>2647</v>
      </c>
      <c r="C1974" t="s">
        <v>2586</v>
      </c>
      <c r="D1974" t="s">
        <v>2307</v>
      </c>
      <c r="E1974">
        <v>98052</v>
      </c>
      <c r="F1974" t="s">
        <v>1573</v>
      </c>
      <c r="G1974" t="s">
        <v>2024</v>
      </c>
      <c r="H1974" t="s">
        <v>5878</v>
      </c>
      <c r="I1974">
        <v>47.671953000000002</v>
      </c>
      <c r="J1974">
        <v>-122.115139</v>
      </c>
      <c r="K1974" t="s">
        <v>3936</v>
      </c>
      <c r="L1974" t="s">
        <v>3946</v>
      </c>
      <c r="M1974" t="s">
        <v>5575</v>
      </c>
      <c r="P1974" t="s">
        <v>2647</v>
      </c>
    </row>
    <row r="1975" spans="1:16" x14ac:dyDescent="0.2">
      <c r="A1975" t="s">
        <v>3955</v>
      </c>
      <c r="B1975" t="s">
        <v>2648</v>
      </c>
      <c r="C1975" t="s">
        <v>2649</v>
      </c>
      <c r="D1975" t="s">
        <v>2307</v>
      </c>
      <c r="E1975">
        <v>98052</v>
      </c>
      <c r="F1975" t="s">
        <v>1658</v>
      </c>
      <c r="G1975" t="s">
        <v>2148</v>
      </c>
      <c r="H1975" t="s">
        <v>5879</v>
      </c>
      <c r="I1975">
        <v>47.671472999999999</v>
      </c>
      <c r="J1975">
        <v>-122.11363299999999</v>
      </c>
      <c r="K1975" t="s">
        <v>3936</v>
      </c>
      <c r="L1975" t="s">
        <v>3946</v>
      </c>
      <c r="M1975" t="s">
        <v>5575</v>
      </c>
      <c r="P1975" t="s">
        <v>2648</v>
      </c>
    </row>
    <row r="1976" spans="1:16" x14ac:dyDescent="0.2">
      <c r="A1976" t="s">
        <v>2013</v>
      </c>
      <c r="B1976" t="s">
        <v>2650</v>
      </c>
      <c r="C1976" t="s">
        <v>2597</v>
      </c>
      <c r="D1976" t="s">
        <v>2307</v>
      </c>
      <c r="E1976">
        <v>98056</v>
      </c>
      <c r="F1976" t="s">
        <v>1716</v>
      </c>
      <c r="G1976" t="s">
        <v>2000</v>
      </c>
      <c r="H1976" t="s">
        <v>4439</v>
      </c>
      <c r="I1976">
        <v>47.503585000000001</v>
      </c>
      <c r="J1976">
        <v>-122.199714</v>
      </c>
      <c r="K1976" t="s">
        <v>3936</v>
      </c>
      <c r="L1976" t="s">
        <v>3946</v>
      </c>
      <c r="M1976" t="s">
        <v>5575</v>
      </c>
      <c r="P1976" t="s">
        <v>2650</v>
      </c>
    </row>
    <row r="1977" spans="1:16" x14ac:dyDescent="0.2">
      <c r="A1977" t="s">
        <v>2111</v>
      </c>
      <c r="B1977" t="s">
        <v>6224</v>
      </c>
      <c r="C1977" t="s">
        <v>2586</v>
      </c>
      <c r="D1977" t="s">
        <v>2307</v>
      </c>
      <c r="E1977">
        <v>98052</v>
      </c>
      <c r="F1977" t="s">
        <v>1600</v>
      </c>
      <c r="G1977" t="s">
        <v>2186</v>
      </c>
      <c r="H1977" t="s">
        <v>5801</v>
      </c>
      <c r="I1977">
        <v>47.670851999999996</v>
      </c>
      <c r="J1977">
        <v>-122.111698</v>
      </c>
      <c r="K1977" t="s">
        <v>3936</v>
      </c>
      <c r="L1977" t="s">
        <v>3946</v>
      </c>
      <c r="M1977" t="s">
        <v>5575</v>
      </c>
      <c r="P1977" t="s">
        <v>6025</v>
      </c>
    </row>
    <row r="1978" spans="1:16" x14ac:dyDescent="0.2">
      <c r="A1978" t="s">
        <v>2073</v>
      </c>
      <c r="B1978" t="s">
        <v>2651</v>
      </c>
      <c r="C1978" t="s">
        <v>2586</v>
      </c>
      <c r="D1978" t="s">
        <v>2307</v>
      </c>
      <c r="E1978">
        <v>98052</v>
      </c>
      <c r="F1978" t="s">
        <v>1658</v>
      </c>
      <c r="G1978" t="s">
        <v>2074</v>
      </c>
      <c r="H1978" t="s">
        <v>4440</v>
      </c>
      <c r="I1978">
        <v>47.671064000000001</v>
      </c>
      <c r="J1978">
        <v>-122.11141600000001</v>
      </c>
      <c r="K1978" t="s">
        <v>3936</v>
      </c>
      <c r="L1978" t="s">
        <v>3946</v>
      </c>
      <c r="M1978" t="s">
        <v>5575</v>
      </c>
      <c r="P1978" t="s">
        <v>2651</v>
      </c>
    </row>
    <row r="1979" spans="1:16" x14ac:dyDescent="0.2">
      <c r="A1979" t="s">
        <v>2015</v>
      </c>
      <c r="B1979" t="s">
        <v>2652</v>
      </c>
      <c r="C1979" t="s">
        <v>2581</v>
      </c>
      <c r="D1979" t="s">
        <v>2307</v>
      </c>
      <c r="E1979">
        <v>98166</v>
      </c>
      <c r="F1979" t="s">
        <v>1573</v>
      </c>
      <c r="G1979" t="s">
        <v>2024</v>
      </c>
      <c r="H1979" t="s">
        <v>5011</v>
      </c>
      <c r="I1979">
        <v>47.470689</v>
      </c>
      <c r="J1979">
        <v>-122.334307</v>
      </c>
      <c r="K1979" t="s">
        <v>3936</v>
      </c>
      <c r="L1979" t="s">
        <v>3946</v>
      </c>
      <c r="M1979" t="s">
        <v>5575</v>
      </c>
      <c r="P1979" t="s">
        <v>2652</v>
      </c>
    </row>
    <row r="1980" spans="1:16" x14ac:dyDescent="0.2">
      <c r="A1980" t="s">
        <v>2059</v>
      </c>
      <c r="B1980" t="s">
        <v>2653</v>
      </c>
      <c r="C1980" t="s">
        <v>2636</v>
      </c>
      <c r="D1980" t="s">
        <v>2307</v>
      </c>
      <c r="E1980">
        <v>98168</v>
      </c>
      <c r="F1980" t="s">
        <v>1600</v>
      </c>
      <c r="G1980" t="s">
        <v>2060</v>
      </c>
      <c r="H1980" t="s">
        <v>5880</v>
      </c>
      <c r="I1980">
        <v>47.474418999999997</v>
      </c>
      <c r="J1980">
        <v>-122.28497900000001</v>
      </c>
      <c r="K1980" t="s">
        <v>3936</v>
      </c>
      <c r="L1980" t="s">
        <v>3946</v>
      </c>
      <c r="M1980" t="s">
        <v>5575</v>
      </c>
      <c r="P1980" t="s">
        <v>2653</v>
      </c>
    </row>
    <row r="1981" spans="1:16" x14ac:dyDescent="0.2">
      <c r="A1981" t="s">
        <v>2012</v>
      </c>
      <c r="B1981" t="s">
        <v>2654</v>
      </c>
      <c r="C1981" t="s">
        <v>2548</v>
      </c>
      <c r="D1981" t="s">
        <v>2307</v>
      </c>
      <c r="E1981">
        <v>98011</v>
      </c>
      <c r="F1981" t="s">
        <v>1600</v>
      </c>
      <c r="G1981" t="s">
        <v>2005</v>
      </c>
      <c r="H1981" t="s">
        <v>4441</v>
      </c>
      <c r="I1981">
        <v>47.762690999999997</v>
      </c>
      <c r="J1981">
        <v>-122.207328</v>
      </c>
      <c r="K1981" t="s">
        <v>3936</v>
      </c>
      <c r="L1981" t="s">
        <v>3946</v>
      </c>
      <c r="M1981" t="s">
        <v>5575</v>
      </c>
      <c r="P1981" t="s">
        <v>2654</v>
      </c>
    </row>
    <row r="1982" spans="1:16" x14ac:dyDescent="0.2">
      <c r="A1982" t="s">
        <v>2007</v>
      </c>
      <c r="B1982" t="s">
        <v>2655</v>
      </c>
      <c r="C1982" t="s">
        <v>2548</v>
      </c>
      <c r="D1982" t="s">
        <v>2307</v>
      </c>
      <c r="E1982">
        <v>98011</v>
      </c>
      <c r="F1982" t="s">
        <v>1658</v>
      </c>
      <c r="G1982" t="s">
        <v>2110</v>
      </c>
      <c r="H1982" t="s">
        <v>4442</v>
      </c>
      <c r="I1982">
        <v>47.764432999999997</v>
      </c>
      <c r="J1982">
        <v>-122.208716</v>
      </c>
      <c r="K1982" t="s">
        <v>3936</v>
      </c>
      <c r="L1982" t="s">
        <v>3946</v>
      </c>
      <c r="M1982" t="s">
        <v>5575</v>
      </c>
      <c r="P1982" t="s">
        <v>2655</v>
      </c>
    </row>
    <row r="1983" spans="1:16" x14ac:dyDescent="0.2">
      <c r="A1983" t="s">
        <v>2007</v>
      </c>
      <c r="B1983" t="s">
        <v>2656</v>
      </c>
      <c r="C1983" t="s">
        <v>2627</v>
      </c>
      <c r="D1983" t="s">
        <v>2307</v>
      </c>
      <c r="E1983">
        <v>98026</v>
      </c>
      <c r="F1983" t="s">
        <v>1658</v>
      </c>
      <c r="G1983" t="s">
        <v>2110</v>
      </c>
      <c r="H1983" t="s">
        <v>5881</v>
      </c>
      <c r="I1983">
        <v>47.791096000000003</v>
      </c>
      <c r="J1983">
        <v>-122.337675</v>
      </c>
      <c r="K1983" t="s">
        <v>3936</v>
      </c>
      <c r="L1983" t="s">
        <v>3946</v>
      </c>
      <c r="M1983" t="s">
        <v>5575</v>
      </c>
      <c r="P1983" t="s">
        <v>2656</v>
      </c>
    </row>
    <row r="1984" spans="1:16" x14ac:dyDescent="0.2">
      <c r="A1984" t="s">
        <v>2150</v>
      </c>
      <c r="B1984" t="s">
        <v>2657</v>
      </c>
      <c r="C1984" t="s">
        <v>2627</v>
      </c>
      <c r="D1984" t="s">
        <v>2307</v>
      </c>
      <c r="E1984">
        <v>98202</v>
      </c>
      <c r="F1984" t="s">
        <v>1591</v>
      </c>
      <c r="G1984" t="s">
        <v>1993</v>
      </c>
      <c r="H1984" t="s">
        <v>5519</v>
      </c>
      <c r="I1984">
        <v>47.790551000000001</v>
      </c>
      <c r="J1984">
        <v>-122.367491</v>
      </c>
      <c r="K1984" t="s">
        <v>3936</v>
      </c>
      <c r="L1984" t="s">
        <v>3946</v>
      </c>
      <c r="M1984" t="s">
        <v>5575</v>
      </c>
      <c r="P1984" t="s">
        <v>2657</v>
      </c>
    </row>
    <row r="1985" spans="1:16" x14ac:dyDescent="0.2">
      <c r="A1985" t="s">
        <v>3952</v>
      </c>
      <c r="B1985" t="s">
        <v>2658</v>
      </c>
      <c r="C1985" t="s">
        <v>66</v>
      </c>
      <c r="D1985" t="s">
        <v>2307</v>
      </c>
      <c r="E1985">
        <v>98148</v>
      </c>
      <c r="F1985" t="s">
        <v>1573</v>
      </c>
      <c r="G1985" t="s">
        <v>2014</v>
      </c>
      <c r="H1985" t="s">
        <v>4443</v>
      </c>
      <c r="I1985">
        <v>47.467816999999997</v>
      </c>
      <c r="J1985">
        <v>-122.333714</v>
      </c>
      <c r="K1985" t="s">
        <v>3936</v>
      </c>
      <c r="L1985" t="s">
        <v>3946</v>
      </c>
      <c r="M1985" t="s">
        <v>5575</v>
      </c>
      <c r="P1985" t="s">
        <v>2658</v>
      </c>
    </row>
    <row r="1986" spans="1:16" x14ac:dyDescent="0.2">
      <c r="A1986" t="s">
        <v>2116</v>
      </c>
      <c r="B1986" t="s">
        <v>2659</v>
      </c>
      <c r="C1986" t="s">
        <v>2586</v>
      </c>
      <c r="D1986" t="s">
        <v>2307</v>
      </c>
      <c r="E1986">
        <v>98052</v>
      </c>
      <c r="F1986" t="s">
        <v>1716</v>
      </c>
      <c r="G1986" t="s">
        <v>2000</v>
      </c>
      <c r="H1986" t="s">
        <v>5094</v>
      </c>
      <c r="I1986">
        <v>47.667107999999999</v>
      </c>
      <c r="J1986">
        <v>-122.105796</v>
      </c>
      <c r="K1986" t="s">
        <v>3936</v>
      </c>
      <c r="L1986" t="s">
        <v>3946</v>
      </c>
      <c r="M1986" t="s">
        <v>5575</v>
      </c>
      <c r="P1986" t="s">
        <v>2659</v>
      </c>
    </row>
    <row r="1987" spans="1:16" x14ac:dyDescent="0.2">
      <c r="A1987" t="s">
        <v>3952</v>
      </c>
      <c r="B1987" t="s">
        <v>2660</v>
      </c>
      <c r="C1987" t="s">
        <v>2636</v>
      </c>
      <c r="D1987" t="s">
        <v>2307</v>
      </c>
      <c r="E1987">
        <v>98168</v>
      </c>
      <c r="F1987" t="s">
        <v>1573</v>
      </c>
      <c r="G1987" t="s">
        <v>2014</v>
      </c>
      <c r="H1987" t="s">
        <v>4444</v>
      </c>
      <c r="I1987">
        <v>47.471645000000002</v>
      </c>
      <c r="J1987">
        <v>-122.285421</v>
      </c>
      <c r="K1987" t="s">
        <v>3936</v>
      </c>
      <c r="L1987" t="s">
        <v>3946</v>
      </c>
      <c r="M1987" t="s">
        <v>5575</v>
      </c>
      <c r="P1987" t="s">
        <v>2660</v>
      </c>
    </row>
    <row r="1988" spans="1:16" x14ac:dyDescent="0.2">
      <c r="A1988" t="s">
        <v>2151</v>
      </c>
      <c r="B1988" t="s">
        <v>2661</v>
      </c>
      <c r="C1988" t="s">
        <v>66</v>
      </c>
      <c r="D1988" t="s">
        <v>2307</v>
      </c>
      <c r="E1988">
        <v>98166</v>
      </c>
      <c r="F1988" t="s">
        <v>2146</v>
      </c>
      <c r="G1988" t="s">
        <v>2005</v>
      </c>
      <c r="H1988" t="s">
        <v>4445</v>
      </c>
      <c r="I1988">
        <v>47.466695999999999</v>
      </c>
      <c r="J1988">
        <v>-122.339963</v>
      </c>
      <c r="K1988" t="s">
        <v>3936</v>
      </c>
      <c r="L1988" t="s">
        <v>3946</v>
      </c>
      <c r="M1988" t="s">
        <v>5575</v>
      </c>
      <c r="P1988" t="s">
        <v>2661</v>
      </c>
    </row>
    <row r="1989" spans="1:16" x14ac:dyDescent="0.2">
      <c r="A1989" t="s">
        <v>2152</v>
      </c>
      <c r="B1989" t="s">
        <v>2662</v>
      </c>
      <c r="C1989" t="s">
        <v>2581</v>
      </c>
      <c r="D1989" t="s">
        <v>2307</v>
      </c>
      <c r="E1989">
        <v>98166</v>
      </c>
      <c r="F1989" t="s">
        <v>1583</v>
      </c>
      <c r="G1989" t="s">
        <v>1980</v>
      </c>
      <c r="H1989" t="s">
        <v>5095</v>
      </c>
      <c r="I1989">
        <v>47.466847999999999</v>
      </c>
      <c r="J1989">
        <v>-122.34512599999999</v>
      </c>
      <c r="K1989" t="s">
        <v>3936</v>
      </c>
      <c r="L1989" t="s">
        <v>3946</v>
      </c>
      <c r="M1989" t="s">
        <v>5575</v>
      </c>
      <c r="P1989" t="s">
        <v>2662</v>
      </c>
    </row>
    <row r="1990" spans="1:16" x14ac:dyDescent="0.2">
      <c r="A1990" t="s">
        <v>1711</v>
      </c>
      <c r="B1990" t="s">
        <v>2664</v>
      </c>
      <c r="C1990" t="s">
        <v>2597</v>
      </c>
      <c r="D1990" t="s">
        <v>2307</v>
      </c>
      <c r="E1990">
        <v>98056</v>
      </c>
      <c r="F1990" t="s">
        <v>1591</v>
      </c>
      <c r="G1990" t="s">
        <v>1969</v>
      </c>
      <c r="H1990" t="s">
        <v>4448</v>
      </c>
      <c r="I1990">
        <v>47.501044</v>
      </c>
      <c r="J1990">
        <v>-122.18602</v>
      </c>
      <c r="K1990" t="s">
        <v>3936</v>
      </c>
      <c r="L1990" t="s">
        <v>3946</v>
      </c>
      <c r="M1990" t="s">
        <v>5575</v>
      </c>
      <c r="P1990" t="s">
        <v>2664</v>
      </c>
    </row>
    <row r="1991" spans="1:16" x14ac:dyDescent="0.2">
      <c r="A1991" t="s">
        <v>2011</v>
      </c>
      <c r="B1991" t="s">
        <v>2665</v>
      </c>
      <c r="C1991" t="s">
        <v>2586</v>
      </c>
      <c r="D1991" t="s">
        <v>2307</v>
      </c>
      <c r="E1991">
        <v>98052</v>
      </c>
      <c r="F1991" t="s">
        <v>1573</v>
      </c>
      <c r="G1991" t="s">
        <v>1986</v>
      </c>
      <c r="H1991" t="s">
        <v>4449</v>
      </c>
      <c r="I1991">
        <v>47.664561999999997</v>
      </c>
      <c r="J1991">
        <v>-122.099676</v>
      </c>
      <c r="K1991" t="s">
        <v>3936</v>
      </c>
      <c r="L1991" t="s">
        <v>3946</v>
      </c>
      <c r="M1991" t="s">
        <v>5575</v>
      </c>
      <c r="P1991" t="s">
        <v>2665</v>
      </c>
    </row>
    <row r="1992" spans="1:16" x14ac:dyDescent="0.2">
      <c r="A1992" t="s">
        <v>2011</v>
      </c>
      <c r="B1992" t="s">
        <v>6319</v>
      </c>
      <c r="C1992" t="s">
        <v>66</v>
      </c>
      <c r="D1992" t="s">
        <v>2307</v>
      </c>
      <c r="E1992">
        <v>98166</v>
      </c>
      <c r="F1992" t="s">
        <v>1573</v>
      </c>
      <c r="G1992" t="s">
        <v>1986</v>
      </c>
      <c r="H1992" t="s">
        <v>4450</v>
      </c>
      <c r="I1992">
        <v>47.464162000000002</v>
      </c>
      <c r="J1992">
        <v>-122.333848</v>
      </c>
      <c r="K1992" t="s">
        <v>3936</v>
      </c>
      <c r="L1992" t="s">
        <v>3946</v>
      </c>
      <c r="M1992" t="s">
        <v>5575</v>
      </c>
      <c r="P1992" t="s">
        <v>6125</v>
      </c>
    </row>
    <row r="1993" spans="1:16" x14ac:dyDescent="0.2">
      <c r="A1993" t="s">
        <v>2048</v>
      </c>
      <c r="B1993" t="s">
        <v>2666</v>
      </c>
      <c r="C1993" t="s">
        <v>2597</v>
      </c>
      <c r="D1993" t="s">
        <v>2307</v>
      </c>
      <c r="E1993">
        <v>98055</v>
      </c>
      <c r="F1993" t="s">
        <v>1573</v>
      </c>
      <c r="G1993" t="s">
        <v>2014</v>
      </c>
      <c r="H1993" t="s">
        <v>4451</v>
      </c>
      <c r="I1993">
        <v>47.486147000000003</v>
      </c>
      <c r="J1993">
        <v>-122.21789800000001</v>
      </c>
      <c r="K1993" t="s">
        <v>3936</v>
      </c>
      <c r="L1993" t="s">
        <v>3946</v>
      </c>
      <c r="M1993" t="s">
        <v>5575</v>
      </c>
      <c r="P1993" t="s">
        <v>2666</v>
      </c>
    </row>
    <row r="1994" spans="1:16" x14ac:dyDescent="0.2">
      <c r="A1994" t="s">
        <v>2011</v>
      </c>
      <c r="B1994" t="s">
        <v>2667</v>
      </c>
      <c r="C1994" t="s">
        <v>2668</v>
      </c>
      <c r="D1994" t="s">
        <v>2307</v>
      </c>
      <c r="E1994">
        <v>98043</v>
      </c>
      <c r="F1994" t="s">
        <v>1573</v>
      </c>
      <c r="G1994" t="s">
        <v>1986</v>
      </c>
      <c r="H1994" t="s">
        <v>4452</v>
      </c>
      <c r="I1994">
        <v>47.792608000000001</v>
      </c>
      <c r="J1994">
        <v>-122.29243099999999</v>
      </c>
      <c r="K1994" t="s">
        <v>3936</v>
      </c>
      <c r="L1994" t="s">
        <v>3946</v>
      </c>
      <c r="M1994" t="s">
        <v>5575</v>
      </c>
      <c r="P1994" t="s">
        <v>2667</v>
      </c>
    </row>
    <row r="1995" spans="1:16" x14ac:dyDescent="0.2">
      <c r="A1995" t="s">
        <v>2153</v>
      </c>
      <c r="B1995" t="s">
        <v>2669</v>
      </c>
      <c r="C1995" t="s">
        <v>2597</v>
      </c>
      <c r="D1995" t="s">
        <v>2307</v>
      </c>
      <c r="E1995">
        <v>98056</v>
      </c>
      <c r="F1995" t="s">
        <v>2146</v>
      </c>
      <c r="G1995" t="s">
        <v>2005</v>
      </c>
      <c r="H1995" t="s">
        <v>4453</v>
      </c>
      <c r="I1995">
        <v>47.500943999999997</v>
      </c>
      <c r="J1995">
        <v>-122.18085000000001</v>
      </c>
      <c r="K1995" t="s">
        <v>3936</v>
      </c>
      <c r="L1995" t="s">
        <v>3946</v>
      </c>
      <c r="M1995" t="s">
        <v>5575</v>
      </c>
      <c r="P1995" t="s">
        <v>2669</v>
      </c>
    </row>
    <row r="1996" spans="1:16" x14ac:dyDescent="0.2">
      <c r="A1996" t="s">
        <v>1686</v>
      </c>
      <c r="B1996" t="s">
        <v>2670</v>
      </c>
      <c r="C1996" t="s">
        <v>2581</v>
      </c>
      <c r="D1996" t="s">
        <v>2307</v>
      </c>
      <c r="E1996">
        <v>98148</v>
      </c>
      <c r="F1996" t="s">
        <v>1573</v>
      </c>
      <c r="G1996" t="s">
        <v>2136</v>
      </c>
      <c r="H1996" t="s">
        <v>4454</v>
      </c>
      <c r="I1996">
        <v>47.462088999999999</v>
      </c>
      <c r="J1996">
        <v>-122.333703</v>
      </c>
      <c r="K1996" t="s">
        <v>3936</v>
      </c>
      <c r="L1996" t="s">
        <v>3946</v>
      </c>
      <c r="M1996" t="s">
        <v>5575</v>
      </c>
      <c r="P1996" t="s">
        <v>2670</v>
      </c>
    </row>
    <row r="1997" spans="1:16" x14ac:dyDescent="0.2">
      <c r="A1997" t="s">
        <v>2018</v>
      </c>
      <c r="B1997" t="s">
        <v>2671</v>
      </c>
      <c r="C1997" t="s">
        <v>2672</v>
      </c>
      <c r="D1997" t="s">
        <v>2307</v>
      </c>
      <c r="E1997">
        <v>98072</v>
      </c>
      <c r="F1997" t="s">
        <v>2019</v>
      </c>
      <c r="G1997" t="s">
        <v>1991</v>
      </c>
      <c r="H1997" t="s">
        <v>4968</v>
      </c>
      <c r="I1997">
        <v>47.732317999999999</v>
      </c>
      <c r="J1997">
        <v>-122.141825</v>
      </c>
      <c r="K1997" t="s">
        <v>3936</v>
      </c>
      <c r="L1997" t="s">
        <v>3946</v>
      </c>
      <c r="M1997" t="s">
        <v>5575</v>
      </c>
      <c r="P1997" t="s">
        <v>2671</v>
      </c>
    </row>
    <row r="1998" spans="1:16" x14ac:dyDescent="0.2">
      <c r="A1998" t="s">
        <v>2059</v>
      </c>
      <c r="B1998" t="s">
        <v>2673</v>
      </c>
      <c r="C1998" t="s">
        <v>2597</v>
      </c>
      <c r="D1998" t="s">
        <v>2307</v>
      </c>
      <c r="E1998">
        <v>98056</v>
      </c>
      <c r="F1998" t="s">
        <v>1600</v>
      </c>
      <c r="G1998" t="s">
        <v>2063</v>
      </c>
      <c r="H1998" t="s">
        <v>5882</v>
      </c>
      <c r="I1998">
        <v>47.500171000000002</v>
      </c>
      <c r="J1998">
        <v>-122.180177</v>
      </c>
      <c r="K1998" t="s">
        <v>3936</v>
      </c>
      <c r="L1998" t="s">
        <v>3946</v>
      </c>
      <c r="M1998" t="s">
        <v>5575</v>
      </c>
      <c r="P1998" t="s">
        <v>2673</v>
      </c>
    </row>
    <row r="1999" spans="1:16" x14ac:dyDescent="0.2">
      <c r="A1999" t="s">
        <v>3952</v>
      </c>
      <c r="B1999" t="s">
        <v>2674</v>
      </c>
      <c r="C1999" t="s">
        <v>2597</v>
      </c>
      <c r="D1999" t="s">
        <v>2307</v>
      </c>
      <c r="E1999">
        <v>98056</v>
      </c>
      <c r="F1999" t="s">
        <v>1573</v>
      </c>
      <c r="G1999" t="s">
        <v>2014</v>
      </c>
      <c r="H1999" t="s">
        <v>4455</v>
      </c>
      <c r="I1999">
        <v>47.498914999999997</v>
      </c>
      <c r="J1999">
        <v>-122.18162700000001</v>
      </c>
      <c r="K1999" t="s">
        <v>3936</v>
      </c>
      <c r="L1999" t="s">
        <v>3946</v>
      </c>
      <c r="M1999" t="s">
        <v>5575</v>
      </c>
      <c r="P1999" t="s">
        <v>2674</v>
      </c>
    </row>
    <row r="2000" spans="1:16" x14ac:dyDescent="0.2">
      <c r="A2000" t="s">
        <v>2101</v>
      </c>
      <c r="B2000" t="s">
        <v>2675</v>
      </c>
      <c r="C2000" t="s">
        <v>2581</v>
      </c>
      <c r="D2000" t="s">
        <v>2307</v>
      </c>
      <c r="E2000">
        <v>98148</v>
      </c>
      <c r="F2000" t="s">
        <v>1600</v>
      </c>
      <c r="G2000" t="s">
        <v>2102</v>
      </c>
      <c r="H2000" t="s">
        <v>4952</v>
      </c>
      <c r="I2000">
        <v>47.461132999999997</v>
      </c>
      <c r="J2000">
        <v>-122.33377400000001</v>
      </c>
      <c r="K2000" t="s">
        <v>3936</v>
      </c>
      <c r="L2000" t="s">
        <v>3946</v>
      </c>
      <c r="M2000" t="s">
        <v>5575</v>
      </c>
      <c r="P2000" t="s">
        <v>2675</v>
      </c>
    </row>
    <row r="2001" spans="1:16" x14ac:dyDescent="0.2">
      <c r="A2001" t="s">
        <v>2154</v>
      </c>
      <c r="B2001" t="s">
        <v>2676</v>
      </c>
      <c r="C2001" t="s">
        <v>2668</v>
      </c>
      <c r="D2001" t="s">
        <v>2307</v>
      </c>
      <c r="E2001">
        <v>98043</v>
      </c>
      <c r="F2001" t="s">
        <v>1583</v>
      </c>
      <c r="G2001" t="s">
        <v>1980</v>
      </c>
      <c r="H2001" t="s">
        <v>5394</v>
      </c>
      <c r="I2001">
        <v>47.799444000000001</v>
      </c>
      <c r="J2001">
        <v>-122.328193</v>
      </c>
      <c r="K2001" t="s">
        <v>3936</v>
      </c>
      <c r="L2001" t="s">
        <v>3946</v>
      </c>
      <c r="M2001" t="s">
        <v>5575</v>
      </c>
      <c r="P2001" t="s">
        <v>2676</v>
      </c>
    </row>
    <row r="2002" spans="1:16" x14ac:dyDescent="0.2">
      <c r="A2002" t="s">
        <v>2155</v>
      </c>
      <c r="B2002" t="s">
        <v>2677</v>
      </c>
      <c r="C2002" t="s">
        <v>2597</v>
      </c>
      <c r="D2002" t="s">
        <v>2307</v>
      </c>
      <c r="E2002">
        <v>98057</v>
      </c>
      <c r="F2002" t="s">
        <v>1716</v>
      </c>
      <c r="G2002" t="s">
        <v>2005</v>
      </c>
      <c r="H2002" t="s">
        <v>4456</v>
      </c>
      <c r="I2002">
        <v>47.487063999999997</v>
      </c>
      <c r="J2002">
        <v>-122.20201299999999</v>
      </c>
      <c r="K2002" t="s">
        <v>3936</v>
      </c>
      <c r="L2002" t="s">
        <v>3946</v>
      </c>
      <c r="M2002" t="s">
        <v>5575</v>
      </c>
      <c r="P2002" t="s">
        <v>5715</v>
      </c>
    </row>
    <row r="2003" spans="1:16" x14ac:dyDescent="0.2">
      <c r="A2003" t="s">
        <v>2011</v>
      </c>
      <c r="B2003" t="s">
        <v>6320</v>
      </c>
      <c r="C2003" t="s">
        <v>2597</v>
      </c>
      <c r="D2003" t="s">
        <v>2307</v>
      </c>
      <c r="E2003">
        <v>98055</v>
      </c>
      <c r="F2003" t="s">
        <v>1573</v>
      </c>
      <c r="G2003" t="s">
        <v>1986</v>
      </c>
      <c r="H2003" t="s">
        <v>4457</v>
      </c>
      <c r="I2003">
        <v>47.481099</v>
      </c>
      <c r="J2003">
        <v>-122.217403</v>
      </c>
      <c r="K2003" t="s">
        <v>3936</v>
      </c>
      <c r="L2003" t="s">
        <v>3946</v>
      </c>
      <c r="M2003" t="s">
        <v>5575</v>
      </c>
      <c r="P2003" t="s">
        <v>6126</v>
      </c>
    </row>
    <row r="2004" spans="1:16" x14ac:dyDescent="0.2">
      <c r="A2004" t="s">
        <v>2059</v>
      </c>
      <c r="B2004" t="s">
        <v>2678</v>
      </c>
      <c r="C2004" t="s">
        <v>2672</v>
      </c>
      <c r="D2004" t="s">
        <v>2307</v>
      </c>
      <c r="E2004">
        <v>98072</v>
      </c>
      <c r="F2004" t="s">
        <v>1600</v>
      </c>
      <c r="G2004" t="s">
        <v>2063</v>
      </c>
      <c r="H2004" t="s">
        <v>5883</v>
      </c>
      <c r="I2004">
        <v>47.753289000000002</v>
      </c>
      <c r="J2004">
        <v>-122.165537</v>
      </c>
      <c r="K2004" t="s">
        <v>3936</v>
      </c>
      <c r="L2004" t="s">
        <v>3946</v>
      </c>
      <c r="M2004" t="s">
        <v>5575</v>
      </c>
      <c r="P2004" t="s">
        <v>2678</v>
      </c>
    </row>
    <row r="2005" spans="1:16" x14ac:dyDescent="0.2">
      <c r="A2005" t="s">
        <v>3952</v>
      </c>
      <c r="B2005" t="s">
        <v>2679</v>
      </c>
      <c r="C2005" t="s">
        <v>2597</v>
      </c>
      <c r="D2005" t="s">
        <v>2307</v>
      </c>
      <c r="E2005">
        <v>98055</v>
      </c>
      <c r="F2005" t="s">
        <v>1573</v>
      </c>
      <c r="G2005" t="s">
        <v>2014</v>
      </c>
      <c r="H2005" t="s">
        <v>4458</v>
      </c>
      <c r="I2005">
        <v>47.480646999999998</v>
      </c>
      <c r="J2005">
        <v>-122.21742999999999</v>
      </c>
      <c r="K2005" t="s">
        <v>3936</v>
      </c>
      <c r="L2005" t="s">
        <v>3946</v>
      </c>
      <c r="M2005" t="s">
        <v>5575</v>
      </c>
      <c r="P2005" t="s">
        <v>2679</v>
      </c>
    </row>
    <row r="2006" spans="1:16" x14ac:dyDescent="0.2">
      <c r="A2006" t="s">
        <v>2011</v>
      </c>
      <c r="B2006" t="s">
        <v>2680</v>
      </c>
      <c r="C2006" t="s">
        <v>2668</v>
      </c>
      <c r="D2006" t="s">
        <v>2307</v>
      </c>
      <c r="E2006">
        <v>98032</v>
      </c>
      <c r="F2006" t="s">
        <v>1573</v>
      </c>
      <c r="G2006" t="s">
        <v>1986</v>
      </c>
      <c r="H2006" t="s">
        <v>4459</v>
      </c>
      <c r="I2006">
        <v>47.800235000000001</v>
      </c>
      <c r="J2006">
        <v>-122.321729</v>
      </c>
      <c r="K2006" t="s">
        <v>3936</v>
      </c>
      <c r="L2006" t="s">
        <v>3946</v>
      </c>
      <c r="M2006" t="s">
        <v>5575</v>
      </c>
      <c r="P2006" t="s">
        <v>5767</v>
      </c>
    </row>
    <row r="2007" spans="1:16" x14ac:dyDescent="0.2">
      <c r="A2007" t="s">
        <v>2048</v>
      </c>
      <c r="B2007" t="s">
        <v>2681</v>
      </c>
      <c r="C2007" t="s">
        <v>2672</v>
      </c>
      <c r="D2007" t="s">
        <v>2307</v>
      </c>
      <c r="E2007">
        <v>98072</v>
      </c>
      <c r="F2007" t="s">
        <v>1573</v>
      </c>
      <c r="G2007" t="s">
        <v>2014</v>
      </c>
      <c r="H2007" t="s">
        <v>4460</v>
      </c>
      <c r="I2007">
        <v>47.754393</v>
      </c>
      <c r="J2007">
        <v>-122.166011</v>
      </c>
      <c r="K2007" t="s">
        <v>3936</v>
      </c>
      <c r="L2007" t="s">
        <v>3946</v>
      </c>
      <c r="M2007" t="s">
        <v>5575</v>
      </c>
      <c r="P2007" t="s">
        <v>2681</v>
      </c>
    </row>
    <row r="2008" spans="1:16" x14ac:dyDescent="0.2">
      <c r="A2008" t="s">
        <v>2015</v>
      </c>
      <c r="B2008" t="s">
        <v>2682</v>
      </c>
      <c r="C2008" t="s">
        <v>2636</v>
      </c>
      <c r="D2008" t="s">
        <v>2307</v>
      </c>
      <c r="E2008">
        <v>98188</v>
      </c>
      <c r="F2008" t="s">
        <v>1573</v>
      </c>
      <c r="G2008" t="s">
        <v>2024</v>
      </c>
      <c r="H2008" t="s">
        <v>5255</v>
      </c>
      <c r="I2008">
        <v>47.468601999999997</v>
      </c>
      <c r="J2008">
        <v>-122.249653</v>
      </c>
      <c r="K2008" t="s">
        <v>3936</v>
      </c>
      <c r="L2008" t="s">
        <v>3946</v>
      </c>
      <c r="M2008" t="s">
        <v>5575</v>
      </c>
      <c r="P2008" t="s">
        <v>2682</v>
      </c>
    </row>
    <row r="2009" spans="1:16" x14ac:dyDescent="0.2">
      <c r="A2009" t="s">
        <v>3955</v>
      </c>
      <c r="B2009" t="s">
        <v>2683</v>
      </c>
      <c r="C2009" t="s">
        <v>2684</v>
      </c>
      <c r="D2009" t="s">
        <v>2307</v>
      </c>
      <c r="E2009">
        <v>98072</v>
      </c>
      <c r="F2009" t="s">
        <v>1658</v>
      </c>
      <c r="G2009" t="s">
        <v>2148</v>
      </c>
      <c r="H2009" t="s">
        <v>5884</v>
      </c>
      <c r="I2009">
        <v>47.756146000000001</v>
      </c>
      <c r="J2009">
        <v>-122.165524</v>
      </c>
      <c r="K2009" t="s">
        <v>3936</v>
      </c>
      <c r="L2009" t="s">
        <v>3946</v>
      </c>
      <c r="M2009" t="s">
        <v>5575</v>
      </c>
      <c r="P2009" t="s">
        <v>2683</v>
      </c>
    </row>
    <row r="2010" spans="1:16" x14ac:dyDescent="0.2">
      <c r="A2010" t="s">
        <v>2011</v>
      </c>
      <c r="B2010" t="s">
        <v>2685</v>
      </c>
      <c r="C2010" t="s">
        <v>2686</v>
      </c>
      <c r="D2010" t="s">
        <v>2307</v>
      </c>
      <c r="E2010">
        <v>98188</v>
      </c>
      <c r="F2010" t="s">
        <v>1573</v>
      </c>
      <c r="G2010" t="s">
        <v>1986</v>
      </c>
      <c r="H2010" t="s">
        <v>4461</v>
      </c>
      <c r="I2010">
        <v>47.459074999999999</v>
      </c>
      <c r="J2010">
        <v>-122.291692</v>
      </c>
      <c r="K2010" t="s">
        <v>3936</v>
      </c>
      <c r="L2010" t="s">
        <v>3946</v>
      </c>
      <c r="M2010" t="s">
        <v>5575</v>
      </c>
      <c r="P2010" t="s">
        <v>2685</v>
      </c>
    </row>
    <row r="2011" spans="1:16" x14ac:dyDescent="0.2">
      <c r="A2011" t="s">
        <v>2011</v>
      </c>
      <c r="B2011" t="s">
        <v>2687</v>
      </c>
      <c r="C2011" t="s">
        <v>2597</v>
      </c>
      <c r="D2011" t="s">
        <v>2307</v>
      </c>
      <c r="E2011">
        <v>98055</v>
      </c>
      <c r="F2011" t="s">
        <v>1573</v>
      </c>
      <c r="G2011" t="s">
        <v>1986</v>
      </c>
      <c r="H2011" t="s">
        <v>4462</v>
      </c>
      <c r="I2011">
        <v>47.483390999999997</v>
      </c>
      <c r="J2011">
        <v>-122.20122600000001</v>
      </c>
      <c r="K2011" t="s">
        <v>3936</v>
      </c>
      <c r="L2011" t="s">
        <v>3946</v>
      </c>
      <c r="M2011" t="s">
        <v>5575</v>
      </c>
      <c r="P2011" t="s">
        <v>5768</v>
      </c>
    </row>
    <row r="2012" spans="1:16" x14ac:dyDescent="0.2">
      <c r="A2012" t="s">
        <v>2048</v>
      </c>
      <c r="B2012" t="s">
        <v>2688</v>
      </c>
      <c r="C2012" t="s">
        <v>2636</v>
      </c>
      <c r="D2012" t="s">
        <v>2307</v>
      </c>
      <c r="E2012">
        <v>98188</v>
      </c>
      <c r="F2012" t="s">
        <v>1573</v>
      </c>
      <c r="G2012" t="s">
        <v>2014</v>
      </c>
      <c r="H2012" t="s">
        <v>4463</v>
      </c>
      <c r="I2012">
        <v>47.463897000000003</v>
      </c>
      <c r="J2012">
        <v>-122.25986399999999</v>
      </c>
      <c r="K2012" t="s">
        <v>3936</v>
      </c>
      <c r="L2012" t="s">
        <v>3946</v>
      </c>
      <c r="M2012" t="s">
        <v>5575</v>
      </c>
      <c r="P2012" t="s">
        <v>2688</v>
      </c>
    </row>
    <row r="2013" spans="1:16" x14ac:dyDescent="0.2">
      <c r="A2013" t="s">
        <v>2059</v>
      </c>
      <c r="B2013" t="s">
        <v>2689</v>
      </c>
      <c r="C2013" t="s">
        <v>2597</v>
      </c>
      <c r="D2013" t="s">
        <v>2307</v>
      </c>
      <c r="E2013">
        <v>98055</v>
      </c>
      <c r="F2013" t="s">
        <v>1600</v>
      </c>
      <c r="G2013" t="s">
        <v>2060</v>
      </c>
      <c r="H2013" t="s">
        <v>5256</v>
      </c>
      <c r="I2013">
        <v>47.476829000000002</v>
      </c>
      <c r="J2013">
        <v>-122.215664</v>
      </c>
      <c r="K2013" t="s">
        <v>3936</v>
      </c>
      <c r="L2013" t="s">
        <v>3946</v>
      </c>
      <c r="M2013" t="s">
        <v>5575</v>
      </c>
      <c r="P2013" t="s">
        <v>2689</v>
      </c>
    </row>
    <row r="2014" spans="1:16" x14ac:dyDescent="0.2">
      <c r="A2014" t="s">
        <v>2048</v>
      </c>
      <c r="B2014" t="s">
        <v>2690</v>
      </c>
      <c r="C2014" t="s">
        <v>2597</v>
      </c>
      <c r="D2014" t="s">
        <v>2307</v>
      </c>
      <c r="E2014">
        <v>98059</v>
      </c>
      <c r="F2014" t="s">
        <v>1573</v>
      </c>
      <c r="G2014" t="s">
        <v>2014</v>
      </c>
      <c r="H2014" t="s">
        <v>4464</v>
      </c>
      <c r="I2014">
        <v>47.505985000000003</v>
      </c>
      <c r="J2014">
        <v>-122.15671399999999</v>
      </c>
      <c r="K2014" t="s">
        <v>3936</v>
      </c>
      <c r="L2014" t="s">
        <v>3946</v>
      </c>
      <c r="M2014" t="s">
        <v>5575</v>
      </c>
      <c r="P2014" t="s">
        <v>2690</v>
      </c>
    </row>
    <row r="2015" spans="1:16" x14ac:dyDescent="0.2">
      <c r="A2015" t="s">
        <v>2156</v>
      </c>
      <c r="B2015" t="s">
        <v>2691</v>
      </c>
      <c r="C2015" t="s">
        <v>2597</v>
      </c>
      <c r="D2015" t="s">
        <v>2307</v>
      </c>
      <c r="E2015">
        <v>98057</v>
      </c>
      <c r="F2015" t="s">
        <v>2044</v>
      </c>
      <c r="G2015" t="s">
        <v>2005</v>
      </c>
      <c r="H2015" t="s">
        <v>4465</v>
      </c>
      <c r="I2015">
        <v>47.479807999999998</v>
      </c>
      <c r="J2015">
        <v>-122.205051</v>
      </c>
      <c r="K2015" t="s">
        <v>3936</v>
      </c>
      <c r="L2015" t="s">
        <v>3946</v>
      </c>
      <c r="M2015" t="s">
        <v>5575</v>
      </c>
      <c r="P2015" t="s">
        <v>2691</v>
      </c>
    </row>
    <row r="2016" spans="1:16" x14ac:dyDescent="0.2">
      <c r="A2016" t="s">
        <v>2157</v>
      </c>
      <c r="B2016" t="s">
        <v>6225</v>
      </c>
      <c r="C2016" t="s">
        <v>2672</v>
      </c>
      <c r="D2016" t="s">
        <v>2307</v>
      </c>
      <c r="E2016">
        <v>98072</v>
      </c>
      <c r="F2016" t="s">
        <v>1716</v>
      </c>
      <c r="G2016" t="s">
        <v>1992</v>
      </c>
      <c r="H2016" t="s">
        <v>4466</v>
      </c>
      <c r="I2016">
        <v>47.758254000000001</v>
      </c>
      <c r="J2016">
        <v>-122.160583</v>
      </c>
      <c r="K2016" t="s">
        <v>3936</v>
      </c>
      <c r="L2016" t="s">
        <v>3946</v>
      </c>
      <c r="M2016" t="s">
        <v>5575</v>
      </c>
      <c r="P2016" t="s">
        <v>6026</v>
      </c>
    </row>
    <row r="2017" spans="1:16" x14ac:dyDescent="0.2">
      <c r="A2017" t="s">
        <v>2158</v>
      </c>
      <c r="B2017" t="s">
        <v>2692</v>
      </c>
      <c r="C2017" t="s">
        <v>2597</v>
      </c>
      <c r="D2017" t="s">
        <v>2307</v>
      </c>
      <c r="E2017">
        <v>98055</v>
      </c>
      <c r="F2017" t="s">
        <v>1716</v>
      </c>
      <c r="G2017" t="s">
        <v>2000</v>
      </c>
      <c r="H2017" t="s">
        <v>4467</v>
      </c>
      <c r="I2017">
        <v>47.473613999999998</v>
      </c>
      <c r="J2017">
        <v>-122.218468</v>
      </c>
      <c r="K2017" t="s">
        <v>3936</v>
      </c>
      <c r="L2017" t="s">
        <v>3946</v>
      </c>
      <c r="M2017" t="s">
        <v>5575</v>
      </c>
      <c r="P2017" t="s">
        <v>2692</v>
      </c>
    </row>
    <row r="2018" spans="1:16" x14ac:dyDescent="0.2">
      <c r="A2018" t="s">
        <v>3954</v>
      </c>
      <c r="B2018" t="s">
        <v>2693</v>
      </c>
      <c r="C2018" t="s">
        <v>2597</v>
      </c>
      <c r="D2018" t="s">
        <v>2307</v>
      </c>
      <c r="E2018">
        <v>98055</v>
      </c>
      <c r="F2018" t="s">
        <v>1573</v>
      </c>
      <c r="G2018" t="s">
        <v>2222</v>
      </c>
      <c r="H2018" t="s">
        <v>5012</v>
      </c>
      <c r="I2018">
        <v>47.474294</v>
      </c>
      <c r="J2018">
        <v>-122.215335</v>
      </c>
      <c r="K2018" t="s">
        <v>3936</v>
      </c>
      <c r="L2018" t="s">
        <v>3946</v>
      </c>
      <c r="M2018" t="s">
        <v>5575</v>
      </c>
      <c r="P2018" t="s">
        <v>2693</v>
      </c>
    </row>
    <row r="2019" spans="1:16" x14ac:dyDescent="0.2">
      <c r="A2019" t="s">
        <v>2007</v>
      </c>
      <c r="B2019" t="s">
        <v>2694</v>
      </c>
      <c r="C2019" t="s">
        <v>2686</v>
      </c>
      <c r="D2019" t="s">
        <v>2307</v>
      </c>
      <c r="E2019">
        <v>98188</v>
      </c>
      <c r="F2019" t="s">
        <v>1658</v>
      </c>
      <c r="G2019" t="s">
        <v>2110</v>
      </c>
      <c r="H2019" t="s">
        <v>4468</v>
      </c>
      <c r="I2019">
        <v>47.457245999999998</v>
      </c>
      <c r="J2019">
        <v>-122.28238399999999</v>
      </c>
      <c r="K2019" t="s">
        <v>3936</v>
      </c>
      <c r="L2019" t="s">
        <v>3946</v>
      </c>
      <c r="M2019" t="s">
        <v>5575</v>
      </c>
      <c r="P2019" t="s">
        <v>2694</v>
      </c>
    </row>
    <row r="2020" spans="1:16" x14ac:dyDescent="0.2">
      <c r="A2020" t="s">
        <v>2160</v>
      </c>
      <c r="B2020" t="s">
        <v>2695</v>
      </c>
      <c r="C2020" t="s">
        <v>2636</v>
      </c>
      <c r="D2020" t="s">
        <v>2307</v>
      </c>
      <c r="E2020">
        <v>98188</v>
      </c>
      <c r="F2020" t="s">
        <v>1600</v>
      </c>
      <c r="G2020" t="s">
        <v>5396</v>
      </c>
      <c r="H2020" t="s">
        <v>5397</v>
      </c>
      <c r="I2020">
        <v>47.464998999999999</v>
      </c>
      <c r="J2020">
        <v>-122.24538800000001</v>
      </c>
      <c r="K2020" t="s">
        <v>3936</v>
      </c>
      <c r="L2020" t="s">
        <v>3946</v>
      </c>
      <c r="M2020" t="s">
        <v>5575</v>
      </c>
      <c r="P2020" t="s">
        <v>2695</v>
      </c>
    </row>
    <row r="2021" spans="1:16" x14ac:dyDescent="0.2">
      <c r="A2021" t="s">
        <v>5576</v>
      </c>
      <c r="B2021" t="s">
        <v>5583</v>
      </c>
      <c r="C2021" t="s">
        <v>2672</v>
      </c>
      <c r="D2021" t="s">
        <v>2307</v>
      </c>
      <c r="E2021">
        <v>98072</v>
      </c>
      <c r="F2021" t="s">
        <v>1573</v>
      </c>
      <c r="G2021" t="s">
        <v>5584</v>
      </c>
      <c r="H2021" t="s">
        <v>5885</v>
      </c>
      <c r="I2021">
        <v>47.756005999999999</v>
      </c>
      <c r="J2021">
        <v>-122.155304</v>
      </c>
      <c r="K2021" t="s">
        <v>3936</v>
      </c>
      <c r="L2021" t="s">
        <v>3946</v>
      </c>
      <c r="M2021" t="s">
        <v>5575</v>
      </c>
      <c r="P2021" t="s">
        <v>5583</v>
      </c>
    </row>
    <row r="2022" spans="1:16" x14ac:dyDescent="0.2">
      <c r="A2022" t="s">
        <v>3955</v>
      </c>
      <c r="B2022" t="s">
        <v>2697</v>
      </c>
      <c r="C2022" t="s">
        <v>2698</v>
      </c>
      <c r="D2022" t="s">
        <v>2307</v>
      </c>
      <c r="E2022">
        <v>98026</v>
      </c>
      <c r="F2022" t="s">
        <v>1658</v>
      </c>
      <c r="G2022" t="s">
        <v>2148</v>
      </c>
      <c r="H2022" t="s">
        <v>5887</v>
      </c>
      <c r="I2022">
        <v>47.806784999999998</v>
      </c>
      <c r="J2022">
        <v>-122.33477499999999</v>
      </c>
      <c r="K2022" t="s">
        <v>3936</v>
      </c>
      <c r="L2022" t="s">
        <v>3946</v>
      </c>
      <c r="M2022" t="s">
        <v>5575</v>
      </c>
      <c r="P2022" t="s">
        <v>2697</v>
      </c>
    </row>
    <row r="2023" spans="1:16" x14ac:dyDescent="0.2">
      <c r="A2023" t="s">
        <v>2103</v>
      </c>
      <c r="B2023" t="s">
        <v>2699</v>
      </c>
      <c r="C2023" t="s">
        <v>66</v>
      </c>
      <c r="D2023" t="s">
        <v>2307</v>
      </c>
      <c r="E2023">
        <v>98188</v>
      </c>
      <c r="F2023" t="s">
        <v>1600</v>
      </c>
      <c r="G2023" t="s">
        <v>2107</v>
      </c>
      <c r="H2023" t="s">
        <v>5888</v>
      </c>
      <c r="I2023">
        <v>47.460695000000001</v>
      </c>
      <c r="J2023">
        <v>-122.26093400000001</v>
      </c>
      <c r="K2023" t="s">
        <v>3936</v>
      </c>
      <c r="L2023" t="s">
        <v>3946</v>
      </c>
      <c r="M2023" t="s">
        <v>5575</v>
      </c>
      <c r="P2023" t="s">
        <v>2699</v>
      </c>
    </row>
    <row r="2024" spans="1:16" x14ac:dyDescent="0.2">
      <c r="A2024" t="s">
        <v>2025</v>
      </c>
      <c r="B2024" t="s">
        <v>6321</v>
      </c>
      <c r="C2024" t="s">
        <v>66</v>
      </c>
      <c r="D2024" t="s">
        <v>2307</v>
      </c>
      <c r="E2024">
        <v>98188</v>
      </c>
      <c r="F2024" t="s">
        <v>1573</v>
      </c>
      <c r="G2024" t="s">
        <v>2026</v>
      </c>
      <c r="H2024" t="s">
        <v>4469</v>
      </c>
      <c r="I2024">
        <v>47.460690999999997</v>
      </c>
      <c r="J2024">
        <v>-122.259964</v>
      </c>
      <c r="K2024" t="s">
        <v>3936</v>
      </c>
      <c r="L2024" t="s">
        <v>3946</v>
      </c>
      <c r="M2024" t="s">
        <v>5575</v>
      </c>
      <c r="P2024" t="s">
        <v>6127</v>
      </c>
    </row>
    <row r="2025" spans="1:16" x14ac:dyDescent="0.2">
      <c r="A2025" t="s">
        <v>2012</v>
      </c>
      <c r="B2025" t="s">
        <v>2700</v>
      </c>
      <c r="C2025" t="s">
        <v>2627</v>
      </c>
      <c r="D2025" t="s">
        <v>2307</v>
      </c>
      <c r="E2025">
        <v>98026</v>
      </c>
      <c r="F2025" t="s">
        <v>1600</v>
      </c>
      <c r="G2025" t="s">
        <v>2005</v>
      </c>
      <c r="H2025" t="s">
        <v>4470</v>
      </c>
      <c r="I2025">
        <v>47.807031000000002</v>
      </c>
      <c r="J2025">
        <v>-122.346582</v>
      </c>
      <c r="K2025" t="s">
        <v>3936</v>
      </c>
      <c r="L2025" t="s">
        <v>3946</v>
      </c>
      <c r="M2025" t="s">
        <v>5575</v>
      </c>
      <c r="P2025" t="s">
        <v>2700</v>
      </c>
    </row>
    <row r="2026" spans="1:16" x14ac:dyDescent="0.2">
      <c r="A2026" t="s">
        <v>2059</v>
      </c>
      <c r="B2026" t="s">
        <v>2701</v>
      </c>
      <c r="C2026" t="s">
        <v>2627</v>
      </c>
      <c r="D2026" t="s">
        <v>2307</v>
      </c>
      <c r="E2026">
        <v>98026</v>
      </c>
      <c r="F2026" t="s">
        <v>1600</v>
      </c>
      <c r="G2026" t="s">
        <v>2063</v>
      </c>
      <c r="H2026" t="s">
        <v>5889</v>
      </c>
      <c r="I2026">
        <v>47.807332000000002</v>
      </c>
      <c r="J2026">
        <v>-122.32641599999999</v>
      </c>
      <c r="K2026" t="s">
        <v>3936</v>
      </c>
      <c r="L2026" t="s">
        <v>3946</v>
      </c>
      <c r="M2026" t="s">
        <v>5575</v>
      </c>
      <c r="P2026" t="s">
        <v>2701</v>
      </c>
    </row>
    <row r="2027" spans="1:16" x14ac:dyDescent="0.2">
      <c r="A2027" t="s">
        <v>1686</v>
      </c>
      <c r="B2027" t="s">
        <v>2702</v>
      </c>
      <c r="C2027" t="s">
        <v>2672</v>
      </c>
      <c r="D2027" t="s">
        <v>2307</v>
      </c>
      <c r="E2027">
        <v>98072</v>
      </c>
      <c r="F2027" t="s">
        <v>1573</v>
      </c>
      <c r="G2027" t="s">
        <v>2136</v>
      </c>
      <c r="H2027" t="s">
        <v>4471</v>
      </c>
      <c r="I2027">
        <v>47.755251000000001</v>
      </c>
      <c r="J2027">
        <v>-122.15257800000001</v>
      </c>
      <c r="K2027" t="s">
        <v>3936</v>
      </c>
      <c r="L2027" t="s">
        <v>3946</v>
      </c>
      <c r="M2027" t="s">
        <v>5575</v>
      </c>
      <c r="P2027" t="s">
        <v>2702</v>
      </c>
    </row>
    <row r="2028" spans="1:16" x14ac:dyDescent="0.2">
      <c r="A2028" t="s">
        <v>2022</v>
      </c>
      <c r="B2028" t="s">
        <v>2703</v>
      </c>
      <c r="C2028" t="s">
        <v>2636</v>
      </c>
      <c r="D2028" t="s">
        <v>2307</v>
      </c>
      <c r="E2028">
        <v>98188</v>
      </c>
      <c r="F2028" t="s">
        <v>1573</v>
      </c>
      <c r="G2028" t="s">
        <v>2187</v>
      </c>
      <c r="H2028" t="s">
        <v>5890</v>
      </c>
      <c r="I2028">
        <v>47.460656999999998</v>
      </c>
      <c r="J2028">
        <v>-122.257818</v>
      </c>
      <c r="K2028" t="s">
        <v>3936</v>
      </c>
      <c r="L2028" t="s">
        <v>3946</v>
      </c>
      <c r="M2028" t="s">
        <v>5575</v>
      </c>
      <c r="P2028" t="s">
        <v>2703</v>
      </c>
    </row>
    <row r="2029" spans="1:16" x14ac:dyDescent="0.2">
      <c r="A2029" t="s">
        <v>2011</v>
      </c>
      <c r="B2029" t="s">
        <v>2704</v>
      </c>
      <c r="C2029" t="s">
        <v>2705</v>
      </c>
      <c r="D2029" t="s">
        <v>2307</v>
      </c>
      <c r="E2029">
        <v>98392</v>
      </c>
      <c r="F2029" t="s">
        <v>1573</v>
      </c>
      <c r="G2029" t="s">
        <v>1986</v>
      </c>
      <c r="H2029" t="s">
        <v>4472</v>
      </c>
      <c r="I2029">
        <v>47.728740000000002</v>
      </c>
      <c r="J2029">
        <v>-122.559449</v>
      </c>
      <c r="K2029" t="s">
        <v>3936</v>
      </c>
      <c r="L2029" t="s">
        <v>3946</v>
      </c>
      <c r="M2029" t="s">
        <v>5575</v>
      </c>
      <c r="P2029" t="s">
        <v>2704</v>
      </c>
    </row>
    <row r="2030" spans="1:16" x14ac:dyDescent="0.2">
      <c r="A2030" t="s">
        <v>2163</v>
      </c>
      <c r="B2030" t="s">
        <v>2706</v>
      </c>
      <c r="C2030" t="s">
        <v>2548</v>
      </c>
      <c r="D2030" t="s">
        <v>2307</v>
      </c>
      <c r="E2030">
        <v>98021</v>
      </c>
      <c r="F2030" t="s">
        <v>1585</v>
      </c>
      <c r="G2030" t="s">
        <v>1989</v>
      </c>
      <c r="H2030" t="s">
        <v>4982</v>
      </c>
      <c r="I2030">
        <v>47.792963</v>
      </c>
      <c r="J2030">
        <v>-122.233204</v>
      </c>
      <c r="K2030" t="s">
        <v>3936</v>
      </c>
      <c r="L2030" t="s">
        <v>3946</v>
      </c>
      <c r="M2030" t="s">
        <v>5575</v>
      </c>
      <c r="P2030" t="s">
        <v>2706</v>
      </c>
    </row>
    <row r="2031" spans="1:16" x14ac:dyDescent="0.2">
      <c r="A2031" t="s">
        <v>2048</v>
      </c>
      <c r="B2031" t="s">
        <v>2707</v>
      </c>
      <c r="C2031" t="s">
        <v>2597</v>
      </c>
      <c r="D2031" t="s">
        <v>2307</v>
      </c>
      <c r="E2031">
        <v>98056</v>
      </c>
      <c r="F2031" t="s">
        <v>1573</v>
      </c>
      <c r="G2031" t="s">
        <v>2014</v>
      </c>
      <c r="H2031" t="s">
        <v>4474</v>
      </c>
      <c r="I2031">
        <v>47.487560999999999</v>
      </c>
      <c r="J2031">
        <v>-122.180126</v>
      </c>
      <c r="K2031" t="s">
        <v>3936</v>
      </c>
      <c r="L2031" t="s">
        <v>3946</v>
      </c>
      <c r="M2031" t="s">
        <v>5575</v>
      </c>
      <c r="P2031" t="s">
        <v>2707</v>
      </c>
    </row>
    <row r="2032" spans="1:16" x14ac:dyDescent="0.2">
      <c r="A2032" t="s">
        <v>2103</v>
      </c>
      <c r="B2032" t="s">
        <v>2708</v>
      </c>
      <c r="C2032" t="s">
        <v>66</v>
      </c>
      <c r="D2032" t="s">
        <v>2307</v>
      </c>
      <c r="E2032">
        <v>98188</v>
      </c>
      <c r="F2032" t="s">
        <v>1573</v>
      </c>
      <c r="G2032" t="s">
        <v>2104</v>
      </c>
      <c r="H2032" t="s">
        <v>5891</v>
      </c>
      <c r="I2032">
        <v>47.459969999999998</v>
      </c>
      <c r="J2032">
        <v>-122.255522</v>
      </c>
      <c r="K2032" t="s">
        <v>3936</v>
      </c>
      <c r="L2032" t="s">
        <v>3946</v>
      </c>
      <c r="M2032" t="s">
        <v>5575</v>
      </c>
      <c r="P2032" t="s">
        <v>2708</v>
      </c>
    </row>
    <row r="2033" spans="1:16" x14ac:dyDescent="0.2">
      <c r="A2033" t="s">
        <v>2164</v>
      </c>
      <c r="B2033" t="s">
        <v>2709</v>
      </c>
      <c r="C2033" t="s">
        <v>2627</v>
      </c>
      <c r="D2033" t="s">
        <v>2307</v>
      </c>
      <c r="E2033">
        <v>98020</v>
      </c>
      <c r="F2033" t="s">
        <v>1600</v>
      </c>
      <c r="G2033" t="s">
        <v>2165</v>
      </c>
      <c r="H2033" t="s">
        <v>4475</v>
      </c>
      <c r="I2033">
        <v>47.807144999999998</v>
      </c>
      <c r="J2033">
        <v>-122.37863299999999</v>
      </c>
      <c r="K2033" t="s">
        <v>3936</v>
      </c>
      <c r="L2033" t="s">
        <v>3946</v>
      </c>
      <c r="M2033" t="s">
        <v>5575</v>
      </c>
      <c r="P2033" t="s">
        <v>2709</v>
      </c>
    </row>
    <row r="2034" spans="1:16" x14ac:dyDescent="0.2">
      <c r="A2034" t="s">
        <v>2011</v>
      </c>
      <c r="B2034" t="s">
        <v>2710</v>
      </c>
      <c r="C2034" t="s">
        <v>2672</v>
      </c>
      <c r="D2034" t="s">
        <v>2307</v>
      </c>
      <c r="E2034">
        <v>98072</v>
      </c>
      <c r="F2034" t="s">
        <v>1573</v>
      </c>
      <c r="G2034" t="s">
        <v>1986</v>
      </c>
      <c r="H2034" t="s">
        <v>4476</v>
      </c>
      <c r="I2034">
        <v>47.755198</v>
      </c>
      <c r="J2034">
        <v>-122.14933000000001</v>
      </c>
      <c r="K2034" t="s">
        <v>3936</v>
      </c>
      <c r="L2034" t="s">
        <v>3946</v>
      </c>
      <c r="M2034" t="s">
        <v>5575</v>
      </c>
      <c r="P2034" t="s">
        <v>5729</v>
      </c>
    </row>
    <row r="2035" spans="1:16" x14ac:dyDescent="0.2">
      <c r="A2035" t="s">
        <v>2166</v>
      </c>
      <c r="B2035" t="s">
        <v>2711</v>
      </c>
      <c r="C2035" t="s">
        <v>2712</v>
      </c>
      <c r="D2035" t="s">
        <v>2307</v>
      </c>
      <c r="E2035">
        <v>98043</v>
      </c>
      <c r="F2035" t="s">
        <v>1591</v>
      </c>
      <c r="G2035" t="s">
        <v>1969</v>
      </c>
      <c r="H2035" t="s">
        <v>4477</v>
      </c>
      <c r="I2035">
        <v>47.806184999999999</v>
      </c>
      <c r="J2035">
        <v>-122.29250399999999</v>
      </c>
      <c r="K2035" t="s">
        <v>3936</v>
      </c>
      <c r="L2035" t="s">
        <v>3946</v>
      </c>
      <c r="M2035" t="s">
        <v>5575</v>
      </c>
      <c r="P2035" t="s">
        <v>2711</v>
      </c>
    </row>
    <row r="2036" spans="1:16" x14ac:dyDescent="0.2">
      <c r="A2036" t="s">
        <v>2048</v>
      </c>
      <c r="B2036" t="s">
        <v>2713</v>
      </c>
      <c r="C2036" t="s">
        <v>2668</v>
      </c>
      <c r="D2036" t="s">
        <v>2307</v>
      </c>
      <c r="E2036">
        <v>98043</v>
      </c>
      <c r="F2036" t="s">
        <v>1573</v>
      </c>
      <c r="G2036" t="s">
        <v>2014</v>
      </c>
      <c r="H2036" t="s">
        <v>4478</v>
      </c>
      <c r="I2036">
        <v>47.806258999999997</v>
      </c>
      <c r="J2036">
        <v>-122.29223399999999</v>
      </c>
      <c r="K2036" t="s">
        <v>3936</v>
      </c>
      <c r="L2036" t="s">
        <v>3946</v>
      </c>
      <c r="M2036" t="s">
        <v>5575</v>
      </c>
      <c r="P2036" t="s">
        <v>2713</v>
      </c>
    </row>
    <row r="2037" spans="1:16" x14ac:dyDescent="0.2">
      <c r="A2037" t="s">
        <v>2048</v>
      </c>
      <c r="B2037" t="s">
        <v>2714</v>
      </c>
      <c r="C2037" t="s">
        <v>2597</v>
      </c>
      <c r="D2037" t="s">
        <v>2307</v>
      </c>
      <c r="E2037">
        <v>98055</v>
      </c>
      <c r="F2037" t="s">
        <v>1573</v>
      </c>
      <c r="G2037" t="s">
        <v>2014</v>
      </c>
      <c r="H2037" t="s">
        <v>4479</v>
      </c>
      <c r="I2037">
        <v>47.472661000000002</v>
      </c>
      <c r="J2037">
        <v>-122.209598</v>
      </c>
      <c r="K2037" t="s">
        <v>3936</v>
      </c>
      <c r="L2037" t="s">
        <v>3946</v>
      </c>
      <c r="M2037" t="s">
        <v>5575</v>
      </c>
      <c r="P2037" t="s">
        <v>2714</v>
      </c>
    </row>
    <row r="2038" spans="1:16" x14ac:dyDescent="0.2">
      <c r="A2038" t="s">
        <v>2011</v>
      </c>
      <c r="B2038" t="s">
        <v>2715</v>
      </c>
      <c r="C2038" t="s">
        <v>2597</v>
      </c>
      <c r="D2038" t="s">
        <v>2307</v>
      </c>
      <c r="E2038">
        <v>98055</v>
      </c>
      <c r="F2038" t="s">
        <v>1573</v>
      </c>
      <c r="G2038" t="s">
        <v>1986</v>
      </c>
      <c r="H2038" t="s">
        <v>4480</v>
      </c>
      <c r="I2038">
        <v>47.473011999999997</v>
      </c>
      <c r="J2038">
        <v>-122.20885</v>
      </c>
      <c r="K2038" t="s">
        <v>3936</v>
      </c>
      <c r="L2038" t="s">
        <v>3946</v>
      </c>
      <c r="M2038" t="s">
        <v>5575</v>
      </c>
      <c r="P2038" t="s">
        <v>2715</v>
      </c>
    </row>
    <row r="2039" spans="1:16" x14ac:dyDescent="0.2">
      <c r="A2039" t="s">
        <v>2011</v>
      </c>
      <c r="B2039" t="s">
        <v>2716</v>
      </c>
      <c r="C2039" t="s">
        <v>2548</v>
      </c>
      <c r="D2039" t="s">
        <v>2307</v>
      </c>
      <c r="E2039">
        <v>98021</v>
      </c>
      <c r="F2039" t="s">
        <v>1573</v>
      </c>
      <c r="G2039" t="s">
        <v>1986</v>
      </c>
      <c r="H2039" t="s">
        <v>4481</v>
      </c>
      <c r="I2039">
        <v>47.790044999999999</v>
      </c>
      <c r="J2039">
        <v>-122.21800399999999</v>
      </c>
      <c r="K2039" t="s">
        <v>3936</v>
      </c>
      <c r="L2039" t="s">
        <v>3946</v>
      </c>
      <c r="M2039" t="s">
        <v>5575</v>
      </c>
      <c r="P2039" t="s">
        <v>5769</v>
      </c>
    </row>
    <row r="2040" spans="1:16" x14ac:dyDescent="0.2">
      <c r="A2040" t="s">
        <v>2168</v>
      </c>
      <c r="B2040" t="s">
        <v>2718</v>
      </c>
      <c r="C2040" t="s">
        <v>2717</v>
      </c>
      <c r="D2040" t="s">
        <v>2307</v>
      </c>
      <c r="E2040">
        <v>98036</v>
      </c>
      <c r="F2040" t="s">
        <v>1716</v>
      </c>
      <c r="G2040" t="s">
        <v>2005</v>
      </c>
      <c r="H2040" t="s">
        <v>3981</v>
      </c>
      <c r="I2040">
        <v>47.809697</v>
      </c>
      <c r="J2040">
        <v>-122.32426700000001</v>
      </c>
      <c r="K2040" t="s">
        <v>3936</v>
      </c>
      <c r="L2040" t="s">
        <v>3946</v>
      </c>
      <c r="M2040" t="s">
        <v>5575</v>
      </c>
      <c r="P2040" t="s">
        <v>2718</v>
      </c>
    </row>
    <row r="2041" spans="1:16" x14ac:dyDescent="0.2">
      <c r="A2041" t="s">
        <v>2167</v>
      </c>
      <c r="B2041" t="s">
        <v>6254</v>
      </c>
      <c r="C2041" t="s">
        <v>2717</v>
      </c>
      <c r="D2041" t="s">
        <v>2307</v>
      </c>
      <c r="E2041">
        <v>98036</v>
      </c>
      <c r="F2041" t="s">
        <v>1600</v>
      </c>
      <c r="G2041" t="s">
        <v>1995</v>
      </c>
      <c r="H2041" t="s">
        <v>4482</v>
      </c>
      <c r="I2041">
        <v>47.809697</v>
      </c>
      <c r="J2041">
        <v>-122.32426700000001</v>
      </c>
      <c r="K2041" t="s">
        <v>3936</v>
      </c>
      <c r="L2041" t="s">
        <v>3946</v>
      </c>
      <c r="M2041" t="s">
        <v>5575</v>
      </c>
      <c r="P2041" t="s">
        <v>6054</v>
      </c>
    </row>
    <row r="2042" spans="1:16" x14ac:dyDescent="0.2">
      <c r="A2042" t="s">
        <v>2011</v>
      </c>
      <c r="B2042" t="s">
        <v>2719</v>
      </c>
      <c r="C2042" t="s">
        <v>2636</v>
      </c>
      <c r="D2042" t="s">
        <v>2307</v>
      </c>
      <c r="E2042">
        <v>98188</v>
      </c>
      <c r="F2042" t="s">
        <v>1573</v>
      </c>
      <c r="G2042" t="s">
        <v>1986</v>
      </c>
      <c r="H2042" t="s">
        <v>4483</v>
      </c>
      <c r="I2042">
        <v>47.458240000000004</v>
      </c>
      <c r="J2042">
        <v>-122.255289</v>
      </c>
      <c r="K2042" t="s">
        <v>3936</v>
      </c>
      <c r="L2042" t="s">
        <v>3946</v>
      </c>
      <c r="M2042" t="s">
        <v>5575</v>
      </c>
      <c r="P2042" t="s">
        <v>5730</v>
      </c>
    </row>
    <row r="2043" spans="1:16" x14ac:dyDescent="0.2">
      <c r="A2043" t="s">
        <v>2018</v>
      </c>
      <c r="B2043" t="s">
        <v>2720</v>
      </c>
      <c r="C2043" t="s">
        <v>2627</v>
      </c>
      <c r="D2043" t="s">
        <v>2307</v>
      </c>
      <c r="E2043">
        <v>98020</v>
      </c>
      <c r="F2043" t="s">
        <v>2019</v>
      </c>
      <c r="G2043" t="s">
        <v>1991</v>
      </c>
      <c r="H2043" t="s">
        <v>5476</v>
      </c>
      <c r="I2043">
        <v>47.808816999999998</v>
      </c>
      <c r="J2043">
        <v>-122.377634</v>
      </c>
      <c r="K2043" t="s">
        <v>3936</v>
      </c>
      <c r="L2043" t="s">
        <v>3946</v>
      </c>
      <c r="M2043" t="s">
        <v>5575</v>
      </c>
      <c r="P2043" t="s">
        <v>2720</v>
      </c>
    </row>
    <row r="2044" spans="1:16" x14ac:dyDescent="0.2">
      <c r="A2044" t="s">
        <v>5050</v>
      </c>
      <c r="B2044" t="s">
        <v>5051</v>
      </c>
      <c r="C2044" t="s">
        <v>2597</v>
      </c>
      <c r="D2044" t="s">
        <v>2307</v>
      </c>
      <c r="E2044">
        <v>98059</v>
      </c>
      <c r="F2044" t="s">
        <v>1600</v>
      </c>
      <c r="G2044" t="s">
        <v>1973</v>
      </c>
      <c r="H2044" t="s">
        <v>5350</v>
      </c>
      <c r="I2044">
        <v>47.488689999999998</v>
      </c>
      <c r="J2044">
        <v>-122.171837</v>
      </c>
      <c r="K2044" t="s">
        <v>3936</v>
      </c>
      <c r="L2044" t="s">
        <v>3946</v>
      </c>
      <c r="M2044" t="s">
        <v>5575</v>
      </c>
      <c r="P2044" t="s">
        <v>5051</v>
      </c>
    </row>
    <row r="2045" spans="1:16" x14ac:dyDescent="0.2">
      <c r="A2045" t="s">
        <v>2081</v>
      </c>
      <c r="B2045" t="s">
        <v>2721</v>
      </c>
      <c r="C2045" t="s">
        <v>2586</v>
      </c>
      <c r="D2045" t="s">
        <v>2307</v>
      </c>
      <c r="E2045">
        <v>98052</v>
      </c>
      <c r="F2045" t="s">
        <v>1600</v>
      </c>
      <c r="G2045" t="s">
        <v>1968</v>
      </c>
      <c r="H2045" t="s">
        <v>4485</v>
      </c>
      <c r="I2045">
        <v>47.702323</v>
      </c>
      <c r="J2045">
        <v>-122.093081</v>
      </c>
      <c r="K2045" t="s">
        <v>3936</v>
      </c>
      <c r="L2045" t="s">
        <v>3946</v>
      </c>
      <c r="M2045" t="s">
        <v>5575</v>
      </c>
      <c r="P2045" t="s">
        <v>2721</v>
      </c>
    </row>
    <row r="2046" spans="1:16" x14ac:dyDescent="0.2">
      <c r="A2046" t="s">
        <v>2011</v>
      </c>
      <c r="B2046" t="s">
        <v>2722</v>
      </c>
      <c r="C2046" t="s">
        <v>2586</v>
      </c>
      <c r="D2046" t="s">
        <v>2307</v>
      </c>
      <c r="E2046">
        <v>98052</v>
      </c>
      <c r="F2046" t="s">
        <v>1573</v>
      </c>
      <c r="G2046" t="s">
        <v>1986</v>
      </c>
      <c r="H2046" t="s">
        <v>4486</v>
      </c>
      <c r="I2046">
        <v>47.702323</v>
      </c>
      <c r="J2046">
        <v>-122.093081</v>
      </c>
      <c r="K2046" t="s">
        <v>3936</v>
      </c>
      <c r="L2046" t="s">
        <v>3946</v>
      </c>
      <c r="M2046" t="s">
        <v>5575</v>
      </c>
      <c r="P2046" t="s">
        <v>5770</v>
      </c>
    </row>
    <row r="2047" spans="1:16" x14ac:dyDescent="0.2">
      <c r="A2047" t="s">
        <v>2161</v>
      </c>
      <c r="B2047" t="s">
        <v>2723</v>
      </c>
      <c r="C2047" t="s">
        <v>2548</v>
      </c>
      <c r="D2047" t="s">
        <v>2307</v>
      </c>
      <c r="E2047">
        <v>98021</v>
      </c>
      <c r="F2047" t="s">
        <v>1600</v>
      </c>
      <c r="G2047" t="s">
        <v>2162</v>
      </c>
      <c r="H2047" t="s">
        <v>5260</v>
      </c>
      <c r="I2047">
        <v>47.778722000000002</v>
      </c>
      <c r="J2047">
        <v>-122.18454</v>
      </c>
      <c r="K2047" t="s">
        <v>3936</v>
      </c>
      <c r="L2047" t="s">
        <v>3946</v>
      </c>
      <c r="M2047" t="s">
        <v>5575</v>
      </c>
      <c r="P2047" t="s">
        <v>2723</v>
      </c>
    </row>
    <row r="2048" spans="1:16" x14ac:dyDescent="0.2">
      <c r="A2048" t="s">
        <v>2059</v>
      </c>
      <c r="B2048" t="s">
        <v>2724</v>
      </c>
      <c r="C2048" t="s">
        <v>2548</v>
      </c>
      <c r="D2048" t="s">
        <v>2307</v>
      </c>
      <c r="E2048">
        <v>98021</v>
      </c>
      <c r="F2048" t="s">
        <v>1600</v>
      </c>
      <c r="G2048" t="s">
        <v>2135</v>
      </c>
      <c r="H2048" t="s">
        <v>5892</v>
      </c>
      <c r="I2048">
        <v>47.791759999999996</v>
      </c>
      <c r="J2048">
        <v>-122.216543</v>
      </c>
      <c r="K2048" t="s">
        <v>3936</v>
      </c>
      <c r="L2048" t="s">
        <v>3946</v>
      </c>
      <c r="M2048" t="s">
        <v>5575</v>
      </c>
      <c r="P2048" t="s">
        <v>2724</v>
      </c>
    </row>
    <row r="2049" spans="1:16" x14ac:dyDescent="0.2">
      <c r="A2049" t="s">
        <v>2171</v>
      </c>
      <c r="B2049" t="s">
        <v>2725</v>
      </c>
      <c r="C2049" t="s">
        <v>2548</v>
      </c>
      <c r="D2049" t="s">
        <v>2307</v>
      </c>
      <c r="E2049">
        <v>98021</v>
      </c>
      <c r="F2049" t="s">
        <v>1716</v>
      </c>
      <c r="G2049" t="s">
        <v>2000</v>
      </c>
      <c r="H2049" t="s">
        <v>4487</v>
      </c>
      <c r="I2049">
        <v>47.781889999999997</v>
      </c>
      <c r="J2049">
        <v>-122.22175799999999</v>
      </c>
      <c r="K2049" t="s">
        <v>3936</v>
      </c>
      <c r="L2049" t="s">
        <v>3946</v>
      </c>
      <c r="M2049" t="s">
        <v>5575</v>
      </c>
      <c r="P2049" t="s">
        <v>5746</v>
      </c>
    </row>
    <row r="2050" spans="1:16" x14ac:dyDescent="0.2">
      <c r="A2050" t="s">
        <v>2172</v>
      </c>
      <c r="B2050" t="s">
        <v>2726</v>
      </c>
      <c r="C2050" t="s">
        <v>2627</v>
      </c>
      <c r="D2050" t="s">
        <v>2307</v>
      </c>
      <c r="E2050">
        <v>98020</v>
      </c>
      <c r="F2050" t="s">
        <v>1716</v>
      </c>
      <c r="G2050" t="s">
        <v>1981</v>
      </c>
      <c r="H2050" t="s">
        <v>4488</v>
      </c>
      <c r="I2050">
        <v>47.810389000000001</v>
      </c>
      <c r="J2050">
        <v>-122.37734</v>
      </c>
      <c r="K2050" t="s">
        <v>3936</v>
      </c>
      <c r="L2050" t="s">
        <v>3946</v>
      </c>
      <c r="M2050" t="s">
        <v>5575</v>
      </c>
      <c r="P2050" t="s">
        <v>5691</v>
      </c>
    </row>
    <row r="2051" spans="1:16" x14ac:dyDescent="0.2">
      <c r="A2051" t="s">
        <v>2018</v>
      </c>
      <c r="B2051" t="s">
        <v>2727</v>
      </c>
      <c r="C2051" t="s">
        <v>2548</v>
      </c>
      <c r="D2051" t="s">
        <v>2307</v>
      </c>
      <c r="E2051">
        <v>98021</v>
      </c>
      <c r="F2051" t="s">
        <v>2019</v>
      </c>
      <c r="G2051" t="s">
        <v>1991</v>
      </c>
      <c r="H2051" t="s">
        <v>5477</v>
      </c>
      <c r="I2051">
        <v>47.792118000000002</v>
      </c>
      <c r="J2051">
        <v>-122.21577000000001</v>
      </c>
      <c r="K2051" t="s">
        <v>3936</v>
      </c>
      <c r="L2051" t="s">
        <v>3946</v>
      </c>
      <c r="M2051" t="s">
        <v>5575</v>
      </c>
      <c r="P2051" t="s">
        <v>2727</v>
      </c>
    </row>
    <row r="2052" spans="1:16" x14ac:dyDescent="0.2">
      <c r="A2052" t="s">
        <v>2015</v>
      </c>
      <c r="B2052" t="s">
        <v>2728</v>
      </c>
      <c r="C2052" t="s">
        <v>2627</v>
      </c>
      <c r="D2052" t="s">
        <v>2307</v>
      </c>
      <c r="E2052">
        <v>98020</v>
      </c>
      <c r="F2052" t="s">
        <v>1573</v>
      </c>
      <c r="G2052" t="s">
        <v>1999</v>
      </c>
      <c r="H2052" t="s">
        <v>5893</v>
      </c>
      <c r="I2052">
        <v>47.809584000000001</v>
      </c>
      <c r="J2052">
        <v>-122.38533099999999</v>
      </c>
      <c r="K2052" t="s">
        <v>3936</v>
      </c>
      <c r="L2052" t="s">
        <v>3946</v>
      </c>
      <c r="M2052" t="s">
        <v>5575</v>
      </c>
      <c r="P2052" t="s">
        <v>2728</v>
      </c>
    </row>
    <row r="2053" spans="1:16" x14ac:dyDescent="0.2">
      <c r="A2053" t="s">
        <v>2011</v>
      </c>
      <c r="B2053" t="s">
        <v>2729</v>
      </c>
      <c r="C2053" t="s">
        <v>2597</v>
      </c>
      <c r="D2053" t="s">
        <v>2307</v>
      </c>
      <c r="E2053">
        <v>98056</v>
      </c>
      <c r="F2053" t="s">
        <v>1573</v>
      </c>
      <c r="G2053" t="s">
        <v>1986</v>
      </c>
      <c r="H2053" t="s">
        <v>4489</v>
      </c>
      <c r="I2053">
        <v>47.489803000000002</v>
      </c>
      <c r="J2053">
        <v>-122.16542</v>
      </c>
      <c r="K2053" t="s">
        <v>3936</v>
      </c>
      <c r="L2053" t="s">
        <v>3946</v>
      </c>
      <c r="M2053" t="s">
        <v>5575</v>
      </c>
      <c r="P2053" t="s">
        <v>2729</v>
      </c>
    </row>
    <row r="2054" spans="1:16" x14ac:dyDescent="0.2">
      <c r="A2054" t="s">
        <v>2175</v>
      </c>
      <c r="B2054" t="s">
        <v>2731</v>
      </c>
      <c r="C2054" t="s">
        <v>66</v>
      </c>
      <c r="D2054" t="s">
        <v>2307</v>
      </c>
      <c r="E2054">
        <v>98188</v>
      </c>
      <c r="F2054" t="s">
        <v>1600</v>
      </c>
      <c r="G2054" t="s">
        <v>2207</v>
      </c>
      <c r="H2054" t="s">
        <v>5398</v>
      </c>
      <c r="I2054">
        <v>47.460656</v>
      </c>
      <c r="J2054">
        <v>-122.257769</v>
      </c>
      <c r="K2054" t="s">
        <v>3936</v>
      </c>
      <c r="L2054" t="s">
        <v>3946</v>
      </c>
      <c r="M2054" t="s">
        <v>5575</v>
      </c>
      <c r="P2054" t="s">
        <v>2731</v>
      </c>
    </row>
    <row r="2055" spans="1:16" x14ac:dyDescent="0.2">
      <c r="A2055" t="s">
        <v>2048</v>
      </c>
      <c r="B2055" t="s">
        <v>2732</v>
      </c>
      <c r="C2055" t="s">
        <v>66</v>
      </c>
      <c r="D2055" t="s">
        <v>2307</v>
      </c>
      <c r="E2055">
        <v>98188</v>
      </c>
      <c r="F2055" t="s">
        <v>1573</v>
      </c>
      <c r="G2055" t="s">
        <v>2014</v>
      </c>
      <c r="H2055" t="s">
        <v>4490</v>
      </c>
      <c r="I2055">
        <v>47.466012999999997</v>
      </c>
      <c r="J2055">
        <v>-122.28840599999999</v>
      </c>
      <c r="K2055" t="s">
        <v>3936</v>
      </c>
      <c r="L2055" t="s">
        <v>3946</v>
      </c>
      <c r="M2055" t="s">
        <v>5575</v>
      </c>
      <c r="P2055" t="s">
        <v>2732</v>
      </c>
    </row>
    <row r="2056" spans="1:16" x14ac:dyDescent="0.2">
      <c r="A2056" t="s">
        <v>2015</v>
      </c>
      <c r="B2056" t="s">
        <v>2733</v>
      </c>
      <c r="C2056" t="s">
        <v>2597</v>
      </c>
      <c r="D2056" t="s">
        <v>2307</v>
      </c>
      <c r="E2056">
        <v>98056</v>
      </c>
      <c r="F2056" t="s">
        <v>1573</v>
      </c>
      <c r="G2056" t="s">
        <v>2071</v>
      </c>
      <c r="H2056" t="s">
        <v>5894</v>
      </c>
      <c r="I2056">
        <v>47.488714000000002</v>
      </c>
      <c r="J2056">
        <v>-122.165538</v>
      </c>
      <c r="K2056" t="s">
        <v>3936</v>
      </c>
      <c r="L2056" t="s">
        <v>3946</v>
      </c>
      <c r="M2056" t="s">
        <v>5575</v>
      </c>
      <c r="P2056" t="s">
        <v>2733</v>
      </c>
    </row>
    <row r="2057" spans="1:16" x14ac:dyDescent="0.2">
      <c r="A2057" t="s">
        <v>2007</v>
      </c>
      <c r="B2057" t="s">
        <v>2734</v>
      </c>
      <c r="C2057" t="s">
        <v>2597</v>
      </c>
      <c r="D2057" t="s">
        <v>2307</v>
      </c>
      <c r="E2057">
        <v>98056</v>
      </c>
      <c r="F2057" t="s">
        <v>1658</v>
      </c>
      <c r="G2057" t="s">
        <v>2008</v>
      </c>
      <c r="H2057" t="s">
        <v>5261</v>
      </c>
      <c r="I2057">
        <v>47.488714999999999</v>
      </c>
      <c r="J2057">
        <v>-122.16537099999999</v>
      </c>
      <c r="K2057" t="s">
        <v>3936</v>
      </c>
      <c r="L2057" t="s">
        <v>3946</v>
      </c>
      <c r="M2057" t="s">
        <v>5575</v>
      </c>
      <c r="P2057" t="s">
        <v>2734</v>
      </c>
    </row>
    <row r="2058" spans="1:16" x14ac:dyDescent="0.2">
      <c r="A2058" t="s">
        <v>2059</v>
      </c>
      <c r="B2058" t="s">
        <v>2735</v>
      </c>
      <c r="C2058" t="s">
        <v>2636</v>
      </c>
      <c r="D2058" t="s">
        <v>2307</v>
      </c>
      <c r="E2058">
        <v>98188</v>
      </c>
      <c r="F2058" t="s">
        <v>1573</v>
      </c>
      <c r="G2058" t="s">
        <v>2067</v>
      </c>
      <c r="H2058" t="s">
        <v>5895</v>
      </c>
      <c r="I2058">
        <v>47.456195999999998</v>
      </c>
      <c r="J2058">
        <v>-122.243504</v>
      </c>
      <c r="K2058" t="s">
        <v>3936</v>
      </c>
      <c r="L2058" t="s">
        <v>3946</v>
      </c>
      <c r="M2058" t="s">
        <v>5575</v>
      </c>
      <c r="P2058" t="s">
        <v>2735</v>
      </c>
    </row>
    <row r="2059" spans="1:16" x14ac:dyDescent="0.2">
      <c r="A2059" t="s">
        <v>2177</v>
      </c>
      <c r="B2059" t="s">
        <v>2736</v>
      </c>
      <c r="C2059" t="s">
        <v>2737</v>
      </c>
      <c r="D2059" t="s">
        <v>2307</v>
      </c>
      <c r="E2059">
        <v>98148</v>
      </c>
      <c r="F2059" t="s">
        <v>1716</v>
      </c>
      <c r="G2059" t="s">
        <v>1973</v>
      </c>
      <c r="H2059" t="s">
        <v>5401</v>
      </c>
      <c r="I2059">
        <v>47.443052000000002</v>
      </c>
      <c r="J2059">
        <v>-122.334419</v>
      </c>
      <c r="K2059" t="s">
        <v>3936</v>
      </c>
      <c r="L2059" t="s">
        <v>3946</v>
      </c>
      <c r="M2059" t="s">
        <v>5575</v>
      </c>
      <c r="P2059" t="s">
        <v>2736</v>
      </c>
    </row>
    <row r="2060" spans="1:16" x14ac:dyDescent="0.2">
      <c r="A2060" t="s">
        <v>2178</v>
      </c>
      <c r="B2060" t="s">
        <v>2738</v>
      </c>
      <c r="C2060" t="s">
        <v>2737</v>
      </c>
      <c r="D2060" t="s">
        <v>2307</v>
      </c>
      <c r="E2060">
        <v>98148</v>
      </c>
      <c r="F2060" t="s">
        <v>1716</v>
      </c>
      <c r="G2060" t="s">
        <v>1981</v>
      </c>
      <c r="H2060" t="s">
        <v>4491</v>
      </c>
      <c r="I2060">
        <v>47.442526000000001</v>
      </c>
      <c r="J2060">
        <v>-122.334397</v>
      </c>
      <c r="K2060" t="s">
        <v>3936</v>
      </c>
      <c r="L2060" t="s">
        <v>3946</v>
      </c>
      <c r="M2060" t="s">
        <v>5575</v>
      </c>
      <c r="P2060" t="s">
        <v>2738</v>
      </c>
    </row>
    <row r="2061" spans="1:16" x14ac:dyDescent="0.2">
      <c r="A2061" t="s">
        <v>2011</v>
      </c>
      <c r="B2061" t="s">
        <v>2739</v>
      </c>
      <c r="C2061" t="s">
        <v>2636</v>
      </c>
      <c r="D2061" t="s">
        <v>2307</v>
      </c>
      <c r="E2061">
        <v>98188</v>
      </c>
      <c r="F2061" t="s">
        <v>1573</v>
      </c>
      <c r="G2061" t="s">
        <v>1986</v>
      </c>
      <c r="H2061" t="s">
        <v>4492</v>
      </c>
      <c r="I2061">
        <v>47.450074999999998</v>
      </c>
      <c r="J2061">
        <v>-122.262681</v>
      </c>
      <c r="K2061" t="s">
        <v>3936</v>
      </c>
      <c r="L2061" t="s">
        <v>3946</v>
      </c>
      <c r="M2061" t="s">
        <v>5575</v>
      </c>
      <c r="P2061" t="s">
        <v>2739</v>
      </c>
    </row>
    <row r="2062" spans="1:16" x14ac:dyDescent="0.2">
      <c r="A2062" t="s">
        <v>3955</v>
      </c>
      <c r="B2062" t="s">
        <v>2740</v>
      </c>
      <c r="C2062" t="s">
        <v>2741</v>
      </c>
      <c r="D2062" t="s">
        <v>2307</v>
      </c>
      <c r="E2062">
        <v>98059</v>
      </c>
      <c r="F2062" t="s">
        <v>1658</v>
      </c>
      <c r="G2062" t="s">
        <v>2148</v>
      </c>
      <c r="H2062" t="s">
        <v>5896</v>
      </c>
      <c r="I2062">
        <v>47.488455000000002</v>
      </c>
      <c r="J2062">
        <v>-122.156239</v>
      </c>
      <c r="K2062" t="s">
        <v>3936</v>
      </c>
      <c r="L2062" t="s">
        <v>3946</v>
      </c>
      <c r="M2062" t="s">
        <v>5575</v>
      </c>
      <c r="P2062" t="s">
        <v>2740</v>
      </c>
    </row>
    <row r="2063" spans="1:16" x14ac:dyDescent="0.2">
      <c r="A2063" t="s">
        <v>5576</v>
      </c>
      <c r="B2063" t="s">
        <v>5585</v>
      </c>
      <c r="C2063" t="s">
        <v>2636</v>
      </c>
      <c r="D2063" t="s">
        <v>2307</v>
      </c>
      <c r="E2063">
        <v>98188</v>
      </c>
      <c r="F2063" t="s">
        <v>1573</v>
      </c>
      <c r="G2063" t="s">
        <v>5578</v>
      </c>
      <c r="H2063" t="s">
        <v>5897</v>
      </c>
      <c r="I2063">
        <v>47.448403999999996</v>
      </c>
      <c r="J2063">
        <v>-122.26236400000001</v>
      </c>
      <c r="K2063" t="s">
        <v>3936</v>
      </c>
      <c r="L2063" t="s">
        <v>3946</v>
      </c>
      <c r="M2063" t="s">
        <v>5575</v>
      </c>
      <c r="P2063" t="s">
        <v>5585</v>
      </c>
    </row>
    <row r="2064" spans="1:16" x14ac:dyDescent="0.2">
      <c r="A2064" t="s">
        <v>2059</v>
      </c>
      <c r="B2064" t="s">
        <v>2742</v>
      </c>
      <c r="C2064" t="s">
        <v>2597</v>
      </c>
      <c r="D2064" t="s">
        <v>2307</v>
      </c>
      <c r="E2064">
        <v>98059</v>
      </c>
      <c r="F2064" t="s">
        <v>1600</v>
      </c>
      <c r="G2064" t="s">
        <v>2063</v>
      </c>
      <c r="H2064" t="s">
        <v>5898</v>
      </c>
      <c r="I2064">
        <v>47.488607999999999</v>
      </c>
      <c r="J2064">
        <v>-122.15452399999999</v>
      </c>
      <c r="K2064" t="s">
        <v>3936</v>
      </c>
      <c r="L2064" t="s">
        <v>3946</v>
      </c>
      <c r="M2064" t="s">
        <v>5575</v>
      </c>
      <c r="P2064" t="s">
        <v>2742</v>
      </c>
    </row>
    <row r="2065" spans="1:16" x14ac:dyDescent="0.2">
      <c r="A2065" t="s">
        <v>2011</v>
      </c>
      <c r="B2065" t="s">
        <v>2743</v>
      </c>
      <c r="C2065" t="s">
        <v>2744</v>
      </c>
      <c r="D2065" t="s">
        <v>2307</v>
      </c>
      <c r="E2065">
        <v>98366</v>
      </c>
      <c r="F2065" t="s">
        <v>1573</v>
      </c>
      <c r="G2065" t="s">
        <v>1986</v>
      </c>
      <c r="H2065" t="s">
        <v>4493</v>
      </c>
      <c r="I2065">
        <v>47.533741999999997</v>
      </c>
      <c r="J2065">
        <v>-122.56780500000001</v>
      </c>
      <c r="K2065" t="s">
        <v>3936</v>
      </c>
      <c r="L2065" t="s">
        <v>3946</v>
      </c>
      <c r="M2065" t="s">
        <v>5575</v>
      </c>
      <c r="P2065" t="s">
        <v>2743</v>
      </c>
    </row>
    <row r="2066" spans="1:16" x14ac:dyDescent="0.2">
      <c r="A2066" t="s">
        <v>2179</v>
      </c>
      <c r="B2066" t="s">
        <v>6226</v>
      </c>
      <c r="C2066" t="s">
        <v>2548</v>
      </c>
      <c r="D2066" t="s">
        <v>2307</v>
      </c>
      <c r="E2066">
        <v>98021</v>
      </c>
      <c r="F2066" t="s">
        <v>1716</v>
      </c>
      <c r="G2066" t="s">
        <v>1973</v>
      </c>
      <c r="H2066" t="s">
        <v>4494</v>
      </c>
      <c r="I2066">
        <v>47.797553999999998</v>
      </c>
      <c r="J2066">
        <v>-122.205439</v>
      </c>
      <c r="K2066" t="s">
        <v>3936</v>
      </c>
      <c r="L2066" t="s">
        <v>3946</v>
      </c>
      <c r="M2066" t="s">
        <v>5575</v>
      </c>
      <c r="P2066" t="s">
        <v>6027</v>
      </c>
    </row>
    <row r="2067" spans="1:16" x14ac:dyDescent="0.2">
      <c r="A2067" t="s">
        <v>6322</v>
      </c>
      <c r="B2067" t="s">
        <v>6323</v>
      </c>
      <c r="C2067" t="s">
        <v>66</v>
      </c>
      <c r="D2067" t="s">
        <v>2307</v>
      </c>
      <c r="E2067">
        <v>98158</v>
      </c>
      <c r="F2067" t="s">
        <v>1573</v>
      </c>
      <c r="G2067" t="s">
        <v>5586</v>
      </c>
      <c r="H2067" t="s">
        <v>5899</v>
      </c>
      <c r="I2067">
        <v>47.440480000000001</v>
      </c>
      <c r="J2067">
        <v>-122.296049</v>
      </c>
      <c r="K2067" t="s">
        <v>3936</v>
      </c>
      <c r="L2067" t="s">
        <v>3946</v>
      </c>
      <c r="M2067" t="s">
        <v>5575</v>
      </c>
      <c r="P2067" t="s">
        <v>6129</v>
      </c>
    </row>
    <row r="2068" spans="1:16" x14ac:dyDescent="0.2">
      <c r="A2068" t="s">
        <v>2011</v>
      </c>
      <c r="B2068" t="s">
        <v>6324</v>
      </c>
      <c r="C2068" t="s">
        <v>2717</v>
      </c>
      <c r="D2068" t="s">
        <v>2307</v>
      </c>
      <c r="E2068">
        <v>98036</v>
      </c>
      <c r="F2068" t="s">
        <v>1573</v>
      </c>
      <c r="G2068" t="s">
        <v>1986</v>
      </c>
      <c r="H2068" t="s">
        <v>4495</v>
      </c>
      <c r="I2068">
        <v>47.821323999999997</v>
      </c>
      <c r="J2068">
        <v>-122.336037</v>
      </c>
      <c r="K2068" t="s">
        <v>3936</v>
      </c>
      <c r="L2068" t="s">
        <v>3946</v>
      </c>
      <c r="M2068" t="s">
        <v>5575</v>
      </c>
      <c r="P2068" t="s">
        <v>6130</v>
      </c>
    </row>
    <row r="2069" spans="1:16" x14ac:dyDescent="0.2">
      <c r="A2069" t="s">
        <v>2180</v>
      </c>
      <c r="B2069" t="s">
        <v>2745</v>
      </c>
      <c r="C2069" t="s">
        <v>2717</v>
      </c>
      <c r="D2069" t="s">
        <v>2307</v>
      </c>
      <c r="E2069">
        <v>98036</v>
      </c>
      <c r="F2069" t="s">
        <v>1716</v>
      </c>
      <c r="G2069" t="s">
        <v>2000</v>
      </c>
      <c r="H2069" t="s">
        <v>4496</v>
      </c>
      <c r="I2069">
        <v>47.821201000000002</v>
      </c>
      <c r="J2069">
        <v>-122.32533100000001</v>
      </c>
      <c r="K2069" t="s">
        <v>3936</v>
      </c>
      <c r="L2069" t="s">
        <v>3946</v>
      </c>
      <c r="M2069" t="s">
        <v>5575</v>
      </c>
      <c r="P2069" t="s">
        <v>2745</v>
      </c>
    </row>
    <row r="2070" spans="1:16" x14ac:dyDescent="0.2">
      <c r="A2070" t="s">
        <v>3952</v>
      </c>
      <c r="B2070" t="s">
        <v>2746</v>
      </c>
      <c r="C2070" t="s">
        <v>2717</v>
      </c>
      <c r="D2070" t="s">
        <v>2307</v>
      </c>
      <c r="E2070">
        <v>98036</v>
      </c>
      <c r="F2070" t="s">
        <v>1573</v>
      </c>
      <c r="G2070" t="s">
        <v>2014</v>
      </c>
      <c r="H2070" t="s">
        <v>4497</v>
      </c>
      <c r="I2070">
        <v>47.821472</v>
      </c>
      <c r="J2070">
        <v>-122.325413</v>
      </c>
      <c r="K2070" t="s">
        <v>3936</v>
      </c>
      <c r="L2070" t="s">
        <v>3946</v>
      </c>
      <c r="M2070" t="s">
        <v>5575</v>
      </c>
      <c r="P2070" t="s">
        <v>5771</v>
      </c>
    </row>
    <row r="2071" spans="1:16" x14ac:dyDescent="0.2">
      <c r="A2071" t="s">
        <v>2012</v>
      </c>
      <c r="B2071" t="s">
        <v>2747</v>
      </c>
      <c r="C2071" t="s">
        <v>2717</v>
      </c>
      <c r="D2071" t="s">
        <v>2307</v>
      </c>
      <c r="E2071">
        <v>98036</v>
      </c>
      <c r="F2071" t="s">
        <v>1600</v>
      </c>
      <c r="G2071" t="s">
        <v>2005</v>
      </c>
      <c r="H2071" t="s">
        <v>4498</v>
      </c>
      <c r="I2071">
        <v>47.821100000000001</v>
      </c>
      <c r="J2071">
        <v>-122.318557</v>
      </c>
      <c r="K2071" t="s">
        <v>3936</v>
      </c>
      <c r="L2071" t="s">
        <v>3946</v>
      </c>
      <c r="M2071" t="s">
        <v>5575</v>
      </c>
      <c r="P2071" t="s">
        <v>5705</v>
      </c>
    </row>
    <row r="2072" spans="1:16" x14ac:dyDescent="0.2">
      <c r="A2072" t="s">
        <v>2048</v>
      </c>
      <c r="B2072" t="s">
        <v>2748</v>
      </c>
      <c r="C2072" t="s">
        <v>2672</v>
      </c>
      <c r="D2072" t="s">
        <v>2307</v>
      </c>
      <c r="E2072">
        <v>98072</v>
      </c>
      <c r="F2072" t="s">
        <v>1573</v>
      </c>
      <c r="G2072" t="s">
        <v>2014</v>
      </c>
      <c r="H2072" t="s">
        <v>4499</v>
      </c>
      <c r="I2072">
        <v>47.761750999999997</v>
      </c>
      <c r="J2072">
        <v>-122.13225</v>
      </c>
      <c r="K2072" t="s">
        <v>3936</v>
      </c>
      <c r="L2072" t="s">
        <v>3946</v>
      </c>
      <c r="M2072" t="s">
        <v>5575</v>
      </c>
      <c r="P2072" t="s">
        <v>2748</v>
      </c>
    </row>
    <row r="2073" spans="1:16" x14ac:dyDescent="0.2">
      <c r="A2073" t="s">
        <v>2011</v>
      </c>
      <c r="B2073" t="s">
        <v>6325</v>
      </c>
      <c r="C2073" t="s">
        <v>2717</v>
      </c>
      <c r="D2073" t="s">
        <v>2307</v>
      </c>
      <c r="E2073">
        <v>98036</v>
      </c>
      <c r="F2073" t="s">
        <v>1573</v>
      </c>
      <c r="G2073" t="s">
        <v>1986</v>
      </c>
      <c r="H2073" t="s">
        <v>4500</v>
      </c>
      <c r="I2073">
        <v>47.820041000000003</v>
      </c>
      <c r="J2073">
        <v>-122.29259399999999</v>
      </c>
      <c r="K2073" t="s">
        <v>3936</v>
      </c>
      <c r="L2073" t="s">
        <v>3946</v>
      </c>
      <c r="M2073" t="s">
        <v>5575</v>
      </c>
      <c r="P2073" t="s">
        <v>6131</v>
      </c>
    </row>
    <row r="2074" spans="1:16" x14ac:dyDescent="0.2">
      <c r="A2074" t="s">
        <v>2181</v>
      </c>
      <c r="B2074" t="s">
        <v>2749</v>
      </c>
      <c r="C2074" t="s">
        <v>2717</v>
      </c>
      <c r="D2074" t="s">
        <v>2307</v>
      </c>
      <c r="E2074">
        <v>98036</v>
      </c>
      <c r="F2074" t="s">
        <v>2035</v>
      </c>
      <c r="G2074" t="s">
        <v>2005</v>
      </c>
      <c r="H2074" t="s">
        <v>4954</v>
      </c>
      <c r="I2074">
        <v>47.820996999999998</v>
      </c>
      <c r="J2074">
        <v>-122.301925</v>
      </c>
      <c r="K2074" t="s">
        <v>3936</v>
      </c>
      <c r="L2074" t="s">
        <v>3946</v>
      </c>
      <c r="M2074" t="s">
        <v>5575</v>
      </c>
      <c r="P2074" t="s">
        <v>2749</v>
      </c>
    </row>
    <row r="2075" spans="1:16" x14ac:dyDescent="0.2">
      <c r="A2075" t="s">
        <v>2101</v>
      </c>
      <c r="B2075" t="s">
        <v>2750</v>
      </c>
      <c r="C2075" t="s">
        <v>2717</v>
      </c>
      <c r="D2075" t="s">
        <v>2307</v>
      </c>
      <c r="E2075">
        <v>98036</v>
      </c>
      <c r="F2075" t="s">
        <v>1600</v>
      </c>
      <c r="G2075" t="s">
        <v>2056</v>
      </c>
      <c r="H2075" t="s">
        <v>5402</v>
      </c>
      <c r="I2075">
        <v>47.820953000000003</v>
      </c>
      <c r="J2075">
        <v>-122.299262</v>
      </c>
      <c r="K2075" t="s">
        <v>3936</v>
      </c>
      <c r="L2075" t="s">
        <v>3946</v>
      </c>
      <c r="M2075" t="s">
        <v>5575</v>
      </c>
      <c r="P2075" t="s">
        <v>2750</v>
      </c>
    </row>
    <row r="2076" spans="1:16" x14ac:dyDescent="0.2">
      <c r="A2076" t="s">
        <v>2048</v>
      </c>
      <c r="B2076" t="s">
        <v>2751</v>
      </c>
      <c r="C2076" t="s">
        <v>2717</v>
      </c>
      <c r="D2076" t="s">
        <v>2307</v>
      </c>
      <c r="E2076">
        <v>98036</v>
      </c>
      <c r="F2076" t="s">
        <v>1573</v>
      </c>
      <c r="G2076" t="s">
        <v>2014</v>
      </c>
      <c r="H2076" t="s">
        <v>4501</v>
      </c>
      <c r="I2076">
        <v>47.820932999999997</v>
      </c>
      <c r="J2076">
        <v>-122.29821200000001</v>
      </c>
      <c r="K2076" t="s">
        <v>3936</v>
      </c>
      <c r="L2076" t="s">
        <v>3946</v>
      </c>
      <c r="M2076" t="s">
        <v>5575</v>
      </c>
      <c r="P2076" t="s">
        <v>2751</v>
      </c>
    </row>
    <row r="2077" spans="1:16" x14ac:dyDescent="0.2">
      <c r="A2077" t="s">
        <v>2059</v>
      </c>
      <c r="B2077" t="s">
        <v>2752</v>
      </c>
      <c r="C2077" t="s">
        <v>2717</v>
      </c>
      <c r="D2077" t="s">
        <v>2307</v>
      </c>
      <c r="E2077">
        <v>98036</v>
      </c>
      <c r="F2077" t="s">
        <v>1573</v>
      </c>
      <c r="G2077" t="s">
        <v>2067</v>
      </c>
      <c r="H2077" t="s">
        <v>5262</v>
      </c>
      <c r="I2077">
        <v>47.821170000000002</v>
      </c>
      <c r="J2077">
        <v>-122.291045</v>
      </c>
      <c r="K2077" t="s">
        <v>3936</v>
      </c>
      <c r="L2077" t="s">
        <v>3946</v>
      </c>
      <c r="M2077" t="s">
        <v>5575</v>
      </c>
      <c r="P2077" t="s">
        <v>2752</v>
      </c>
    </row>
    <row r="2078" spans="1:16" x14ac:dyDescent="0.2">
      <c r="A2078" t="s">
        <v>2007</v>
      </c>
      <c r="B2078" t="s">
        <v>2753</v>
      </c>
      <c r="C2078" t="s">
        <v>2754</v>
      </c>
      <c r="D2078" t="s">
        <v>2307</v>
      </c>
      <c r="E2078">
        <v>98311</v>
      </c>
      <c r="F2078" t="s">
        <v>1658</v>
      </c>
      <c r="G2078" t="s">
        <v>2066</v>
      </c>
      <c r="H2078" t="s">
        <v>5263</v>
      </c>
      <c r="I2078">
        <v>47.626437000000003</v>
      </c>
      <c r="J2078">
        <v>-122.628658</v>
      </c>
      <c r="K2078" t="s">
        <v>3936</v>
      </c>
      <c r="L2078" t="s">
        <v>3946</v>
      </c>
      <c r="M2078" t="s">
        <v>5575</v>
      </c>
      <c r="P2078" t="s">
        <v>2753</v>
      </c>
    </row>
    <row r="2079" spans="1:16" x14ac:dyDescent="0.2">
      <c r="A2079" t="s">
        <v>2182</v>
      </c>
      <c r="B2079" t="s">
        <v>2755</v>
      </c>
      <c r="C2079" t="s">
        <v>2717</v>
      </c>
      <c r="D2079" t="s">
        <v>2307</v>
      </c>
      <c r="E2079">
        <v>98036</v>
      </c>
      <c r="F2079" t="s">
        <v>1716</v>
      </c>
      <c r="G2079" t="s">
        <v>2005</v>
      </c>
      <c r="H2079" t="s">
        <v>5096</v>
      </c>
      <c r="I2079">
        <v>47.821815000000001</v>
      </c>
      <c r="J2079">
        <v>-122.292208</v>
      </c>
      <c r="K2079" t="s">
        <v>3936</v>
      </c>
      <c r="L2079" t="s">
        <v>3946</v>
      </c>
      <c r="M2079" t="s">
        <v>5575</v>
      </c>
      <c r="P2079" t="s">
        <v>2755</v>
      </c>
    </row>
    <row r="2080" spans="1:16" x14ac:dyDescent="0.2">
      <c r="A2080" t="s">
        <v>2048</v>
      </c>
      <c r="B2080" t="s">
        <v>2756</v>
      </c>
      <c r="C2080" t="s">
        <v>2754</v>
      </c>
      <c r="D2080" t="s">
        <v>2307</v>
      </c>
      <c r="E2080">
        <v>98311</v>
      </c>
      <c r="F2080" t="s">
        <v>1573</v>
      </c>
      <c r="G2080" t="s">
        <v>2014</v>
      </c>
      <c r="H2080" t="s">
        <v>4502</v>
      </c>
      <c r="I2080">
        <v>47.631825999999997</v>
      </c>
      <c r="J2080">
        <v>-122.629098</v>
      </c>
      <c r="K2080" t="s">
        <v>3936</v>
      </c>
      <c r="L2080" t="s">
        <v>3946</v>
      </c>
      <c r="M2080" t="s">
        <v>5575</v>
      </c>
      <c r="P2080" t="s">
        <v>2756</v>
      </c>
    </row>
    <row r="2081" spans="1:16" x14ac:dyDescent="0.2">
      <c r="A2081" t="s">
        <v>2011</v>
      </c>
      <c r="B2081" t="s">
        <v>2757</v>
      </c>
      <c r="C2081" t="s">
        <v>2754</v>
      </c>
      <c r="D2081" t="s">
        <v>2307</v>
      </c>
      <c r="E2081">
        <v>98403</v>
      </c>
      <c r="F2081" t="s">
        <v>1573</v>
      </c>
      <c r="G2081" t="s">
        <v>1986</v>
      </c>
      <c r="H2081" t="s">
        <v>4503</v>
      </c>
      <c r="I2081">
        <v>47.632449999999999</v>
      </c>
      <c r="J2081">
        <v>-122.62970799999999</v>
      </c>
      <c r="K2081" t="s">
        <v>3936</v>
      </c>
      <c r="L2081" t="s">
        <v>3946</v>
      </c>
      <c r="M2081" t="s">
        <v>5575</v>
      </c>
      <c r="P2081" t="s">
        <v>2757</v>
      </c>
    </row>
    <row r="2082" spans="1:16" x14ac:dyDescent="0.2">
      <c r="A2082" t="s">
        <v>2011</v>
      </c>
      <c r="B2082" t="s">
        <v>2758</v>
      </c>
      <c r="C2082" t="s">
        <v>2754</v>
      </c>
      <c r="D2082" t="s">
        <v>2307</v>
      </c>
      <c r="E2082">
        <v>98312</v>
      </c>
      <c r="F2082" t="s">
        <v>1573</v>
      </c>
      <c r="G2082" t="s">
        <v>1986</v>
      </c>
      <c r="H2082" t="s">
        <v>4504</v>
      </c>
      <c r="I2082">
        <v>47.610275000000001</v>
      </c>
      <c r="J2082">
        <v>-122.628601</v>
      </c>
      <c r="K2082" t="s">
        <v>3936</v>
      </c>
      <c r="L2082" t="s">
        <v>3946</v>
      </c>
      <c r="M2082" t="s">
        <v>5575</v>
      </c>
      <c r="P2082" t="s">
        <v>2758</v>
      </c>
    </row>
    <row r="2083" spans="1:16" x14ac:dyDescent="0.2">
      <c r="A2083" t="s">
        <v>2011</v>
      </c>
      <c r="B2083" t="s">
        <v>2759</v>
      </c>
      <c r="C2083" t="s">
        <v>2754</v>
      </c>
      <c r="D2083" t="s">
        <v>2307</v>
      </c>
      <c r="E2083">
        <v>98310</v>
      </c>
      <c r="F2083" t="s">
        <v>1573</v>
      </c>
      <c r="G2083" t="s">
        <v>1986</v>
      </c>
      <c r="H2083" t="s">
        <v>4505</v>
      </c>
      <c r="I2083">
        <v>47.570843000000004</v>
      </c>
      <c r="J2083">
        <v>-122.61684200000001</v>
      </c>
      <c r="K2083" t="s">
        <v>3936</v>
      </c>
      <c r="L2083" t="s">
        <v>3946</v>
      </c>
      <c r="M2083" t="s">
        <v>5575</v>
      </c>
      <c r="P2083" t="s">
        <v>2759</v>
      </c>
    </row>
    <row r="2084" spans="1:16" x14ac:dyDescent="0.2">
      <c r="A2084" t="s">
        <v>3952</v>
      </c>
      <c r="B2084" t="s">
        <v>2760</v>
      </c>
      <c r="C2084" t="s">
        <v>2754</v>
      </c>
      <c r="D2084" t="s">
        <v>2307</v>
      </c>
      <c r="E2084">
        <v>98310</v>
      </c>
      <c r="F2084" t="s">
        <v>1573</v>
      </c>
      <c r="G2084" t="s">
        <v>2014</v>
      </c>
      <c r="H2084" t="s">
        <v>4506</v>
      </c>
      <c r="I2084">
        <v>47.606955999999997</v>
      </c>
      <c r="J2084">
        <v>-122.628089</v>
      </c>
      <c r="K2084" t="s">
        <v>3936</v>
      </c>
      <c r="L2084" t="s">
        <v>3946</v>
      </c>
      <c r="M2084" t="s">
        <v>5575</v>
      </c>
      <c r="P2084" t="s">
        <v>2760</v>
      </c>
    </row>
    <row r="2085" spans="1:16" x14ac:dyDescent="0.2">
      <c r="A2085" t="s">
        <v>2119</v>
      </c>
      <c r="B2085" t="s">
        <v>2761</v>
      </c>
      <c r="C2085" t="s">
        <v>2762</v>
      </c>
      <c r="D2085" t="s">
        <v>2307</v>
      </c>
      <c r="E2085">
        <v>98036</v>
      </c>
      <c r="F2085" t="s">
        <v>1658</v>
      </c>
      <c r="G2085" t="s">
        <v>1969</v>
      </c>
      <c r="H2085" t="s">
        <v>5264</v>
      </c>
      <c r="I2085">
        <v>47.820787000000003</v>
      </c>
      <c r="J2085">
        <v>-122.274523</v>
      </c>
      <c r="K2085" t="s">
        <v>3936</v>
      </c>
      <c r="L2085" t="s">
        <v>3946</v>
      </c>
      <c r="M2085" t="s">
        <v>5575</v>
      </c>
      <c r="P2085" t="s">
        <v>2761</v>
      </c>
    </row>
    <row r="2086" spans="1:16" x14ac:dyDescent="0.2">
      <c r="A2086" t="s">
        <v>2118</v>
      </c>
      <c r="B2086" t="s">
        <v>2761</v>
      </c>
      <c r="C2086" t="s">
        <v>2762</v>
      </c>
      <c r="D2086" t="s">
        <v>2307</v>
      </c>
      <c r="E2086">
        <v>98036</v>
      </c>
      <c r="F2086" t="s">
        <v>1600</v>
      </c>
      <c r="G2086" t="s">
        <v>2255</v>
      </c>
      <c r="H2086" t="s">
        <v>5265</v>
      </c>
      <c r="I2086">
        <v>47.820787000000003</v>
      </c>
      <c r="J2086">
        <v>-122.274523</v>
      </c>
      <c r="K2086" t="s">
        <v>3936</v>
      </c>
      <c r="L2086" t="s">
        <v>3946</v>
      </c>
      <c r="M2086" t="s">
        <v>5575</v>
      </c>
      <c r="P2086" t="s">
        <v>2761</v>
      </c>
    </row>
    <row r="2087" spans="1:16" x14ac:dyDescent="0.2">
      <c r="A2087" t="s">
        <v>2059</v>
      </c>
      <c r="B2087" t="s">
        <v>2763</v>
      </c>
      <c r="C2087" t="s">
        <v>2754</v>
      </c>
      <c r="D2087" t="s">
        <v>2307</v>
      </c>
      <c r="E2087">
        <v>98310</v>
      </c>
      <c r="F2087" t="s">
        <v>1573</v>
      </c>
      <c r="G2087" t="s">
        <v>2067</v>
      </c>
      <c r="H2087" t="s">
        <v>5266</v>
      </c>
      <c r="I2087">
        <v>47.604185999999999</v>
      </c>
      <c r="J2087">
        <v>-122.629256</v>
      </c>
      <c r="K2087" t="s">
        <v>3936</v>
      </c>
      <c r="L2087" t="s">
        <v>3946</v>
      </c>
      <c r="M2087" t="s">
        <v>5575</v>
      </c>
      <c r="P2087" t="s">
        <v>2763</v>
      </c>
    </row>
    <row r="2088" spans="1:16" x14ac:dyDescent="0.2">
      <c r="A2088" t="s">
        <v>2059</v>
      </c>
      <c r="B2088" t="s">
        <v>2764</v>
      </c>
      <c r="C2088" t="s">
        <v>2686</v>
      </c>
      <c r="D2088" t="s">
        <v>2307</v>
      </c>
      <c r="E2088">
        <v>98188</v>
      </c>
      <c r="F2088" t="s">
        <v>1600</v>
      </c>
      <c r="G2088" t="s">
        <v>2135</v>
      </c>
      <c r="H2088" t="s">
        <v>5900</v>
      </c>
      <c r="I2088">
        <v>47.434645000000003</v>
      </c>
      <c r="J2088">
        <v>-122.296869</v>
      </c>
      <c r="K2088" t="s">
        <v>3936</v>
      </c>
      <c r="L2088" t="s">
        <v>3946</v>
      </c>
      <c r="M2088" t="s">
        <v>5575</v>
      </c>
      <c r="P2088" t="s">
        <v>2764</v>
      </c>
    </row>
    <row r="2089" spans="1:16" x14ac:dyDescent="0.2">
      <c r="A2089" t="s">
        <v>2011</v>
      </c>
      <c r="B2089" t="s">
        <v>2765</v>
      </c>
      <c r="C2089" t="s">
        <v>2766</v>
      </c>
      <c r="D2089" t="s">
        <v>2307</v>
      </c>
      <c r="E2089">
        <v>98070</v>
      </c>
      <c r="F2089" t="s">
        <v>1573</v>
      </c>
      <c r="G2089" t="s">
        <v>1986</v>
      </c>
      <c r="H2089" t="s">
        <v>4507</v>
      </c>
      <c r="I2089">
        <v>47.448579000000002</v>
      </c>
      <c r="J2089">
        <v>-122.46028699999999</v>
      </c>
      <c r="K2089" t="s">
        <v>3936</v>
      </c>
      <c r="L2089" t="s">
        <v>3946</v>
      </c>
      <c r="M2089" t="s">
        <v>5575</v>
      </c>
      <c r="P2089" t="s">
        <v>2765</v>
      </c>
    </row>
    <row r="2090" spans="1:16" x14ac:dyDescent="0.2">
      <c r="A2090" t="s">
        <v>2183</v>
      </c>
      <c r="B2090" t="s">
        <v>2767</v>
      </c>
      <c r="C2090" t="s">
        <v>2754</v>
      </c>
      <c r="D2090" t="s">
        <v>2307</v>
      </c>
      <c r="E2090">
        <v>98310</v>
      </c>
      <c r="F2090" t="s">
        <v>1716</v>
      </c>
      <c r="G2090" t="s">
        <v>2000</v>
      </c>
      <c r="H2090" t="s">
        <v>4508</v>
      </c>
      <c r="I2090">
        <v>47.597299</v>
      </c>
      <c r="J2090">
        <v>-122.629234</v>
      </c>
      <c r="K2090" t="s">
        <v>3936</v>
      </c>
      <c r="L2090" t="s">
        <v>3946</v>
      </c>
      <c r="M2090" t="s">
        <v>5575</v>
      </c>
      <c r="P2090" t="s">
        <v>2767</v>
      </c>
    </row>
    <row r="2091" spans="1:16" x14ac:dyDescent="0.2">
      <c r="A2091" t="s">
        <v>2007</v>
      </c>
      <c r="B2091" t="s">
        <v>2768</v>
      </c>
      <c r="C2091" t="s">
        <v>2717</v>
      </c>
      <c r="D2091" t="s">
        <v>2307</v>
      </c>
      <c r="E2091">
        <v>98036</v>
      </c>
      <c r="F2091" t="s">
        <v>1658</v>
      </c>
      <c r="G2091" t="s">
        <v>2066</v>
      </c>
      <c r="H2091" t="s">
        <v>5901</v>
      </c>
      <c r="I2091">
        <v>47.820762999999999</v>
      </c>
      <c r="J2091">
        <v>-122.261123</v>
      </c>
      <c r="K2091" t="s">
        <v>3936</v>
      </c>
      <c r="L2091" t="s">
        <v>3946</v>
      </c>
      <c r="M2091" t="s">
        <v>5575</v>
      </c>
      <c r="P2091" t="s">
        <v>2768</v>
      </c>
    </row>
    <row r="2092" spans="1:16" x14ac:dyDescent="0.2">
      <c r="A2092" t="s">
        <v>3952</v>
      </c>
      <c r="B2092" t="s">
        <v>2770</v>
      </c>
      <c r="C2092" t="s">
        <v>2548</v>
      </c>
      <c r="D2092" t="s">
        <v>2307</v>
      </c>
      <c r="E2092">
        <v>98021</v>
      </c>
      <c r="F2092" t="s">
        <v>1573</v>
      </c>
      <c r="G2092" t="s">
        <v>2014</v>
      </c>
      <c r="H2092" t="s">
        <v>4509</v>
      </c>
      <c r="I2092">
        <v>47.809089999999998</v>
      </c>
      <c r="J2092">
        <v>-122.207843</v>
      </c>
      <c r="K2092" t="s">
        <v>3936</v>
      </c>
      <c r="L2092" t="s">
        <v>3946</v>
      </c>
      <c r="M2092" t="s">
        <v>5575</v>
      </c>
      <c r="P2092" t="s">
        <v>5731</v>
      </c>
    </row>
    <row r="2093" spans="1:16" x14ac:dyDescent="0.2">
      <c r="A2093" t="s">
        <v>2184</v>
      </c>
      <c r="B2093" t="s">
        <v>2771</v>
      </c>
      <c r="C2093" t="s">
        <v>2597</v>
      </c>
      <c r="D2093" t="s">
        <v>2307</v>
      </c>
      <c r="E2093">
        <v>98057</v>
      </c>
      <c r="F2093" t="s">
        <v>1583</v>
      </c>
      <c r="G2093" t="s">
        <v>1980</v>
      </c>
      <c r="H2093" t="s">
        <v>5097</v>
      </c>
      <c r="I2093">
        <v>47.441378999999998</v>
      </c>
      <c r="J2093">
        <v>-122.235164</v>
      </c>
      <c r="K2093" t="s">
        <v>3936</v>
      </c>
      <c r="L2093" t="s">
        <v>3946</v>
      </c>
      <c r="M2093" t="s">
        <v>5575</v>
      </c>
      <c r="P2093" t="s">
        <v>2771</v>
      </c>
    </row>
    <row r="2094" spans="1:16" x14ac:dyDescent="0.2">
      <c r="A2094" t="s">
        <v>2011</v>
      </c>
      <c r="B2094" t="s">
        <v>6326</v>
      </c>
      <c r="C2094" t="s">
        <v>2548</v>
      </c>
      <c r="D2094" t="s">
        <v>2307</v>
      </c>
      <c r="E2094">
        <v>98012</v>
      </c>
      <c r="F2094" t="s">
        <v>1573</v>
      </c>
      <c r="G2094" t="s">
        <v>1986</v>
      </c>
      <c r="H2094" t="s">
        <v>4510</v>
      </c>
      <c r="I2094">
        <v>47.810991000000001</v>
      </c>
      <c r="J2094">
        <v>-122.20742199999999</v>
      </c>
      <c r="K2094" t="s">
        <v>3936</v>
      </c>
      <c r="L2094" t="s">
        <v>3946</v>
      </c>
      <c r="M2094" t="s">
        <v>5575</v>
      </c>
      <c r="P2094" t="s">
        <v>6132</v>
      </c>
    </row>
    <row r="2095" spans="1:16" x14ac:dyDescent="0.2">
      <c r="A2095" t="s">
        <v>2011</v>
      </c>
      <c r="B2095" t="s">
        <v>2772</v>
      </c>
      <c r="C2095" t="s">
        <v>2597</v>
      </c>
      <c r="D2095" t="s">
        <v>2307</v>
      </c>
      <c r="E2095">
        <v>98055</v>
      </c>
      <c r="F2095" t="s">
        <v>1573</v>
      </c>
      <c r="G2095" t="s">
        <v>1986</v>
      </c>
      <c r="H2095" t="s">
        <v>4511</v>
      </c>
      <c r="I2095">
        <v>47.441308999999997</v>
      </c>
      <c r="J2095">
        <v>-122.232331</v>
      </c>
      <c r="K2095" t="s">
        <v>3936</v>
      </c>
      <c r="L2095" t="s">
        <v>3946</v>
      </c>
      <c r="M2095" t="s">
        <v>5575</v>
      </c>
      <c r="P2095" t="s">
        <v>6011</v>
      </c>
    </row>
    <row r="2096" spans="1:16" x14ac:dyDescent="0.2">
      <c r="A2096" t="s">
        <v>2185</v>
      </c>
      <c r="B2096" t="s">
        <v>6227</v>
      </c>
      <c r="C2096" t="s">
        <v>2627</v>
      </c>
      <c r="D2096" t="s">
        <v>2307</v>
      </c>
      <c r="E2096">
        <v>98026</v>
      </c>
      <c r="F2096" t="s">
        <v>1716</v>
      </c>
      <c r="G2096" t="s">
        <v>1995</v>
      </c>
      <c r="H2096" t="s">
        <v>4512</v>
      </c>
      <c r="I2096">
        <v>47.832023999999997</v>
      </c>
      <c r="J2096">
        <v>-122.33752</v>
      </c>
      <c r="K2096" t="s">
        <v>3936</v>
      </c>
      <c r="L2096" t="s">
        <v>3946</v>
      </c>
      <c r="M2096" t="s">
        <v>5575</v>
      </c>
      <c r="P2096" t="s">
        <v>6028</v>
      </c>
    </row>
    <row r="2097" spans="1:16" x14ac:dyDescent="0.2">
      <c r="A2097" t="s">
        <v>3955</v>
      </c>
      <c r="B2097" t="s">
        <v>2773</v>
      </c>
      <c r="C2097" t="s">
        <v>2774</v>
      </c>
      <c r="D2097" t="s">
        <v>2307</v>
      </c>
      <c r="E2097">
        <v>98012</v>
      </c>
      <c r="F2097" t="s">
        <v>1658</v>
      </c>
      <c r="G2097" t="s">
        <v>2125</v>
      </c>
      <c r="H2097" t="s">
        <v>5902</v>
      </c>
      <c r="I2097">
        <v>47.811968</v>
      </c>
      <c r="J2097">
        <v>-122.207461</v>
      </c>
      <c r="K2097" t="s">
        <v>3936</v>
      </c>
      <c r="L2097" t="s">
        <v>3946</v>
      </c>
      <c r="M2097" t="s">
        <v>5575</v>
      </c>
      <c r="P2097" t="s">
        <v>2773</v>
      </c>
    </row>
    <row r="2098" spans="1:16" x14ac:dyDescent="0.2">
      <c r="A2098" t="s">
        <v>2011</v>
      </c>
      <c r="B2098" t="s">
        <v>2777</v>
      </c>
      <c r="C2098" t="s">
        <v>2776</v>
      </c>
      <c r="D2098" t="s">
        <v>2307</v>
      </c>
      <c r="E2098">
        <v>98346</v>
      </c>
      <c r="F2098" t="s">
        <v>1573</v>
      </c>
      <c r="G2098" t="s">
        <v>1986</v>
      </c>
      <c r="H2098" t="s">
        <v>4514</v>
      </c>
      <c r="I2098">
        <v>47.801696</v>
      </c>
      <c r="J2098">
        <v>-122.500658</v>
      </c>
      <c r="K2098" t="s">
        <v>3936</v>
      </c>
      <c r="L2098" t="s">
        <v>3946</v>
      </c>
      <c r="M2098" t="s">
        <v>5575</v>
      </c>
      <c r="P2098" t="s">
        <v>2777</v>
      </c>
    </row>
    <row r="2099" spans="1:16" x14ac:dyDescent="0.2">
      <c r="A2099" t="s">
        <v>1874</v>
      </c>
      <c r="B2099" t="s">
        <v>2775</v>
      </c>
      <c r="C2099" t="s">
        <v>2776</v>
      </c>
      <c r="D2099" t="s">
        <v>2307</v>
      </c>
      <c r="E2099">
        <v>98346</v>
      </c>
      <c r="F2099" t="s">
        <v>1571</v>
      </c>
      <c r="G2099" t="s">
        <v>1991</v>
      </c>
      <c r="H2099" t="s">
        <v>4513</v>
      </c>
      <c r="I2099">
        <v>47.801696</v>
      </c>
      <c r="J2099">
        <v>-122.500658</v>
      </c>
      <c r="K2099" t="s">
        <v>3936</v>
      </c>
      <c r="L2099" t="s">
        <v>3946</v>
      </c>
      <c r="M2099" t="s">
        <v>5575</v>
      </c>
      <c r="P2099" t="s">
        <v>2775</v>
      </c>
    </row>
    <row r="2100" spans="1:16" x14ac:dyDescent="0.2">
      <c r="A2100" t="s">
        <v>2011</v>
      </c>
      <c r="B2100" t="s">
        <v>2778</v>
      </c>
      <c r="C2100" t="s">
        <v>2754</v>
      </c>
      <c r="D2100" t="s">
        <v>2307</v>
      </c>
      <c r="E2100">
        <v>98337</v>
      </c>
      <c r="F2100" t="s">
        <v>1573</v>
      </c>
      <c r="G2100" t="s">
        <v>1986</v>
      </c>
      <c r="H2100" t="s">
        <v>4515</v>
      </c>
      <c r="I2100">
        <v>47.563718999999999</v>
      </c>
      <c r="J2100">
        <v>-122.62511499999999</v>
      </c>
      <c r="K2100" t="s">
        <v>3936</v>
      </c>
      <c r="L2100" t="s">
        <v>3946</v>
      </c>
      <c r="M2100" t="s">
        <v>5575</v>
      </c>
      <c r="P2100" t="s">
        <v>2778</v>
      </c>
    </row>
    <row r="2101" spans="1:16" x14ac:dyDescent="0.2">
      <c r="A2101" t="s">
        <v>5576</v>
      </c>
      <c r="B2101" t="s">
        <v>5587</v>
      </c>
      <c r="C2101" t="s">
        <v>2754</v>
      </c>
      <c r="D2101" t="s">
        <v>2307</v>
      </c>
      <c r="E2101">
        <v>98337</v>
      </c>
      <c r="F2101" t="s">
        <v>1573</v>
      </c>
      <c r="G2101" t="s">
        <v>5584</v>
      </c>
      <c r="H2101" t="s">
        <v>5903</v>
      </c>
      <c r="I2101">
        <v>47.563679999999998</v>
      </c>
      <c r="J2101">
        <v>-122.625156</v>
      </c>
      <c r="K2101" t="s">
        <v>3936</v>
      </c>
      <c r="L2101" t="s">
        <v>3946</v>
      </c>
      <c r="M2101" t="s">
        <v>5575</v>
      </c>
      <c r="P2101" t="s">
        <v>5587</v>
      </c>
    </row>
    <row r="2102" spans="1:16" x14ac:dyDescent="0.2">
      <c r="A2102" t="s">
        <v>2059</v>
      </c>
      <c r="B2102" t="s">
        <v>2779</v>
      </c>
      <c r="C2102" t="s">
        <v>2780</v>
      </c>
      <c r="D2102" t="s">
        <v>2307</v>
      </c>
      <c r="E2102">
        <v>98032</v>
      </c>
      <c r="F2102" t="s">
        <v>1573</v>
      </c>
      <c r="G2102" t="s">
        <v>2067</v>
      </c>
      <c r="H2102" t="s">
        <v>5904</v>
      </c>
      <c r="I2102">
        <v>47.441001</v>
      </c>
      <c r="J2102">
        <v>-122.224903</v>
      </c>
      <c r="K2102" t="s">
        <v>3936</v>
      </c>
      <c r="L2102" t="s">
        <v>3946</v>
      </c>
      <c r="M2102" t="s">
        <v>5575</v>
      </c>
      <c r="P2102" t="s">
        <v>2779</v>
      </c>
    </row>
    <row r="2103" spans="1:16" x14ac:dyDescent="0.2">
      <c r="A2103" t="s">
        <v>2011</v>
      </c>
      <c r="B2103" t="s">
        <v>2781</v>
      </c>
      <c r="C2103" t="s">
        <v>2597</v>
      </c>
      <c r="D2103" t="s">
        <v>2307</v>
      </c>
      <c r="E2103">
        <v>98056</v>
      </c>
      <c r="F2103" t="s">
        <v>1573</v>
      </c>
      <c r="G2103" t="s">
        <v>1986</v>
      </c>
      <c r="H2103" t="s">
        <v>4516</v>
      </c>
      <c r="I2103">
        <v>47.488199000000002</v>
      </c>
      <c r="J2103">
        <v>-122.121128</v>
      </c>
      <c r="K2103" t="s">
        <v>3936</v>
      </c>
      <c r="L2103" t="s">
        <v>3946</v>
      </c>
      <c r="M2103" t="s">
        <v>5575</v>
      </c>
      <c r="P2103" t="s">
        <v>2781</v>
      </c>
    </row>
    <row r="2104" spans="1:16" x14ac:dyDescent="0.2">
      <c r="A2104" t="s">
        <v>2018</v>
      </c>
      <c r="B2104" t="s">
        <v>2782</v>
      </c>
      <c r="C2104" t="s">
        <v>2783</v>
      </c>
      <c r="D2104" t="s">
        <v>2307</v>
      </c>
      <c r="E2104">
        <v>98074</v>
      </c>
      <c r="F2104" t="s">
        <v>2019</v>
      </c>
      <c r="G2104" t="s">
        <v>1991</v>
      </c>
      <c r="H2104" t="s">
        <v>5165</v>
      </c>
      <c r="I2104">
        <v>47.615546999999999</v>
      </c>
      <c r="J2104">
        <v>-122.03751</v>
      </c>
      <c r="K2104" t="s">
        <v>3936</v>
      </c>
      <c r="L2104" t="s">
        <v>3946</v>
      </c>
      <c r="M2104" t="s">
        <v>5575</v>
      </c>
      <c r="P2104" t="s">
        <v>2782</v>
      </c>
    </row>
    <row r="2105" spans="1:16" x14ac:dyDescent="0.2">
      <c r="A2105" t="s">
        <v>2111</v>
      </c>
      <c r="B2105" t="s">
        <v>6228</v>
      </c>
      <c r="C2105" t="s">
        <v>2717</v>
      </c>
      <c r="D2105" t="s">
        <v>2307</v>
      </c>
      <c r="E2105">
        <v>98037</v>
      </c>
      <c r="F2105" t="s">
        <v>1600</v>
      </c>
      <c r="G2105" t="s">
        <v>2186</v>
      </c>
      <c r="H2105" t="s">
        <v>5803</v>
      </c>
      <c r="I2105">
        <v>47.830350000000003</v>
      </c>
      <c r="J2105">
        <v>-122.277889</v>
      </c>
      <c r="K2105" t="s">
        <v>3936</v>
      </c>
      <c r="L2105" t="s">
        <v>3946</v>
      </c>
      <c r="M2105" t="s">
        <v>5575</v>
      </c>
      <c r="P2105" t="s">
        <v>6029</v>
      </c>
    </row>
    <row r="2106" spans="1:16" x14ac:dyDescent="0.2">
      <c r="A2106" t="s">
        <v>2048</v>
      </c>
      <c r="B2106" t="s">
        <v>2784</v>
      </c>
      <c r="C2106" t="s">
        <v>2785</v>
      </c>
      <c r="D2106" t="s">
        <v>2307</v>
      </c>
      <c r="E2106">
        <v>98027</v>
      </c>
      <c r="F2106" t="s">
        <v>1573</v>
      </c>
      <c r="G2106" t="s">
        <v>2014</v>
      </c>
      <c r="H2106" t="s">
        <v>4517</v>
      </c>
      <c r="I2106">
        <v>47.551738</v>
      </c>
      <c r="J2106">
        <v>-122.059144</v>
      </c>
      <c r="K2106" t="s">
        <v>3936</v>
      </c>
      <c r="L2106" t="s">
        <v>3946</v>
      </c>
      <c r="M2106" t="s">
        <v>5575</v>
      </c>
      <c r="P2106" t="s">
        <v>2784</v>
      </c>
    </row>
    <row r="2107" spans="1:16" x14ac:dyDescent="0.2">
      <c r="A2107" t="s">
        <v>2059</v>
      </c>
      <c r="B2107" t="s">
        <v>2786</v>
      </c>
      <c r="C2107" t="s">
        <v>2744</v>
      </c>
      <c r="D2107" t="s">
        <v>2307</v>
      </c>
      <c r="E2107">
        <v>98366</v>
      </c>
      <c r="F2107" t="s">
        <v>1600</v>
      </c>
      <c r="G2107" t="s">
        <v>2060</v>
      </c>
      <c r="H2107" t="s">
        <v>5905</v>
      </c>
      <c r="I2107">
        <v>47.535153000000001</v>
      </c>
      <c r="J2107">
        <v>-122.60943899999999</v>
      </c>
      <c r="K2107" t="s">
        <v>3936</v>
      </c>
      <c r="L2107" t="s">
        <v>3946</v>
      </c>
      <c r="M2107" t="s">
        <v>5575</v>
      </c>
      <c r="P2107" t="s">
        <v>2786</v>
      </c>
    </row>
    <row r="2108" spans="1:16" x14ac:dyDescent="0.2">
      <c r="A2108" t="s">
        <v>2018</v>
      </c>
      <c r="B2108" t="s">
        <v>2787</v>
      </c>
      <c r="C2108" t="s">
        <v>2785</v>
      </c>
      <c r="D2108" t="s">
        <v>2307</v>
      </c>
      <c r="E2108">
        <v>98027</v>
      </c>
      <c r="F2108" t="s">
        <v>1600</v>
      </c>
      <c r="G2108" t="s">
        <v>2027</v>
      </c>
      <c r="H2108" t="s">
        <v>5478</v>
      </c>
      <c r="I2108">
        <v>47.551820999999997</v>
      </c>
      <c r="J2108">
        <v>-122.057683</v>
      </c>
      <c r="K2108" t="s">
        <v>3936</v>
      </c>
      <c r="L2108" t="s">
        <v>3946</v>
      </c>
      <c r="M2108" t="s">
        <v>5575</v>
      </c>
      <c r="P2108" t="s">
        <v>2787</v>
      </c>
    </row>
    <row r="2109" spans="1:16" x14ac:dyDescent="0.2">
      <c r="A2109" t="s">
        <v>2011</v>
      </c>
      <c r="B2109" t="s">
        <v>2788</v>
      </c>
      <c r="C2109" t="s">
        <v>2783</v>
      </c>
      <c r="D2109" t="s">
        <v>2307</v>
      </c>
      <c r="E2109">
        <v>98074</v>
      </c>
      <c r="F2109" t="s">
        <v>1573</v>
      </c>
      <c r="G2109" t="s">
        <v>1986</v>
      </c>
      <c r="H2109" t="s">
        <v>4518</v>
      </c>
      <c r="I2109">
        <v>47.615467000000002</v>
      </c>
      <c r="J2109">
        <v>-122.035634</v>
      </c>
      <c r="K2109" t="s">
        <v>3936</v>
      </c>
      <c r="L2109" t="s">
        <v>3946</v>
      </c>
      <c r="M2109" t="s">
        <v>5575</v>
      </c>
      <c r="P2109" t="s">
        <v>2788</v>
      </c>
    </row>
    <row r="2110" spans="1:16" x14ac:dyDescent="0.2">
      <c r="A2110" t="s">
        <v>2059</v>
      </c>
      <c r="B2110" t="s">
        <v>2789</v>
      </c>
      <c r="C2110" t="s">
        <v>2783</v>
      </c>
      <c r="D2110" t="s">
        <v>2307</v>
      </c>
      <c r="E2110">
        <v>98074</v>
      </c>
      <c r="F2110" t="s">
        <v>1600</v>
      </c>
      <c r="G2110" t="s">
        <v>2060</v>
      </c>
      <c r="H2110" t="s">
        <v>5906</v>
      </c>
      <c r="I2110">
        <v>47.614725</v>
      </c>
      <c r="J2110">
        <v>-122.035364</v>
      </c>
      <c r="K2110" t="s">
        <v>3936</v>
      </c>
      <c r="L2110" t="s">
        <v>3946</v>
      </c>
      <c r="M2110" t="s">
        <v>5575</v>
      </c>
      <c r="P2110" t="s">
        <v>2789</v>
      </c>
    </row>
    <row r="2111" spans="1:16" x14ac:dyDescent="0.2">
      <c r="A2111" t="s">
        <v>2011</v>
      </c>
      <c r="B2111" t="s">
        <v>6327</v>
      </c>
      <c r="C2111" t="s">
        <v>2717</v>
      </c>
      <c r="D2111" t="s">
        <v>2307</v>
      </c>
      <c r="E2111">
        <v>98037</v>
      </c>
      <c r="F2111" t="s">
        <v>1573</v>
      </c>
      <c r="G2111" t="s">
        <v>1986</v>
      </c>
      <c r="H2111" t="s">
        <v>4519</v>
      </c>
      <c r="I2111">
        <v>47.831785000000004</v>
      </c>
      <c r="J2111">
        <v>-122.27747599999999</v>
      </c>
      <c r="K2111" t="s">
        <v>3936</v>
      </c>
      <c r="L2111" t="s">
        <v>3946</v>
      </c>
      <c r="M2111" t="s">
        <v>5575</v>
      </c>
      <c r="P2111" t="s">
        <v>6133</v>
      </c>
    </row>
    <row r="2112" spans="1:16" x14ac:dyDescent="0.2">
      <c r="A2112" t="s">
        <v>3953</v>
      </c>
      <c r="B2112" t="s">
        <v>2790</v>
      </c>
      <c r="C2112" t="s">
        <v>2785</v>
      </c>
      <c r="D2112" t="s">
        <v>2307</v>
      </c>
      <c r="E2112">
        <v>98027</v>
      </c>
      <c r="F2112" t="s">
        <v>1600</v>
      </c>
      <c r="G2112" t="s">
        <v>2112</v>
      </c>
      <c r="H2112" t="s">
        <v>5403</v>
      </c>
      <c r="I2112">
        <v>47.545836000000001</v>
      </c>
      <c r="J2112">
        <v>-122.060906</v>
      </c>
      <c r="K2112" t="s">
        <v>3936</v>
      </c>
      <c r="L2112" t="s">
        <v>3946</v>
      </c>
      <c r="M2112" t="s">
        <v>5575</v>
      </c>
      <c r="P2112" t="s">
        <v>2790</v>
      </c>
    </row>
    <row r="2113" spans="1:16" x14ac:dyDescent="0.2">
      <c r="A2113" t="s">
        <v>2007</v>
      </c>
      <c r="B2113" t="s">
        <v>2791</v>
      </c>
      <c r="C2113" t="s">
        <v>2783</v>
      </c>
      <c r="D2113" t="s">
        <v>2307</v>
      </c>
      <c r="E2113">
        <v>98074</v>
      </c>
      <c r="F2113" t="s">
        <v>1658</v>
      </c>
      <c r="G2113" t="s">
        <v>2110</v>
      </c>
      <c r="H2113" t="s">
        <v>5268</v>
      </c>
      <c r="I2113">
        <v>47.613408999999997</v>
      </c>
      <c r="J2113">
        <v>-122.03529399999999</v>
      </c>
      <c r="K2113" t="s">
        <v>3936</v>
      </c>
      <c r="L2113" t="s">
        <v>3946</v>
      </c>
      <c r="M2113" t="s">
        <v>5575</v>
      </c>
      <c r="P2113" t="s">
        <v>2791</v>
      </c>
    </row>
    <row r="2114" spans="1:16" x14ac:dyDescent="0.2">
      <c r="A2114" t="s">
        <v>5576</v>
      </c>
      <c r="B2114" t="s">
        <v>6328</v>
      </c>
      <c r="C2114" t="s">
        <v>2783</v>
      </c>
      <c r="D2114" t="s">
        <v>2307</v>
      </c>
      <c r="E2114">
        <v>98074</v>
      </c>
      <c r="F2114" t="s">
        <v>1573</v>
      </c>
      <c r="G2114" t="s">
        <v>5581</v>
      </c>
      <c r="H2114" t="s">
        <v>5907</v>
      </c>
      <c r="I2114">
        <v>47.616719000000003</v>
      </c>
      <c r="J2114">
        <v>-122.03493400000001</v>
      </c>
      <c r="K2114" t="s">
        <v>3936</v>
      </c>
      <c r="L2114" t="s">
        <v>3946</v>
      </c>
      <c r="M2114" t="s">
        <v>5575</v>
      </c>
      <c r="P2114" t="s">
        <v>6134</v>
      </c>
    </row>
    <row r="2115" spans="1:16" x14ac:dyDescent="0.2">
      <c r="A2115" t="s">
        <v>2007</v>
      </c>
      <c r="B2115" t="s">
        <v>2792</v>
      </c>
      <c r="C2115" t="s">
        <v>2597</v>
      </c>
      <c r="D2115" t="s">
        <v>2307</v>
      </c>
      <c r="E2115">
        <v>98058</v>
      </c>
      <c r="F2115" t="s">
        <v>1658</v>
      </c>
      <c r="G2115" t="s">
        <v>2008</v>
      </c>
      <c r="H2115" t="s">
        <v>5269</v>
      </c>
      <c r="I2115">
        <v>47.451901999999997</v>
      </c>
      <c r="J2115">
        <v>-122.185884</v>
      </c>
      <c r="K2115" t="s">
        <v>3936</v>
      </c>
      <c r="L2115" t="s">
        <v>3946</v>
      </c>
      <c r="M2115" t="s">
        <v>5575</v>
      </c>
      <c r="P2115" t="s">
        <v>2792</v>
      </c>
    </row>
    <row r="2116" spans="1:16" x14ac:dyDescent="0.2">
      <c r="A2116" t="s">
        <v>2011</v>
      </c>
      <c r="B2116" t="s">
        <v>2793</v>
      </c>
      <c r="C2116" t="s">
        <v>2744</v>
      </c>
      <c r="D2116" t="s">
        <v>2307</v>
      </c>
      <c r="E2116">
        <v>98366</v>
      </c>
      <c r="F2116" t="s">
        <v>1573</v>
      </c>
      <c r="G2116" t="s">
        <v>1986</v>
      </c>
      <c r="H2116" t="s">
        <v>4520</v>
      </c>
      <c r="I2116">
        <v>47.534084999999997</v>
      </c>
      <c r="J2116">
        <v>-122.61156099999999</v>
      </c>
      <c r="K2116" t="s">
        <v>3936</v>
      </c>
      <c r="L2116" t="s">
        <v>3946</v>
      </c>
      <c r="M2116" t="s">
        <v>5575</v>
      </c>
      <c r="P2116" t="s">
        <v>5772</v>
      </c>
    </row>
    <row r="2117" spans="1:16" x14ac:dyDescent="0.2">
      <c r="A2117" t="s">
        <v>2183</v>
      </c>
      <c r="B2117" t="s">
        <v>2794</v>
      </c>
      <c r="C2117" t="s">
        <v>2744</v>
      </c>
      <c r="D2117" t="s">
        <v>2307</v>
      </c>
      <c r="E2117">
        <v>98366</v>
      </c>
      <c r="F2117" t="s">
        <v>1716</v>
      </c>
      <c r="G2117" t="s">
        <v>2000</v>
      </c>
      <c r="H2117" t="s">
        <v>4521</v>
      </c>
      <c r="I2117">
        <v>47.534084999999997</v>
      </c>
      <c r="J2117">
        <v>-122.61156099999999</v>
      </c>
      <c r="K2117" t="s">
        <v>3936</v>
      </c>
      <c r="L2117" t="s">
        <v>3946</v>
      </c>
      <c r="M2117" t="s">
        <v>5575</v>
      </c>
      <c r="P2117" t="s">
        <v>2794</v>
      </c>
    </row>
    <row r="2118" spans="1:16" x14ac:dyDescent="0.2">
      <c r="A2118" t="s">
        <v>2103</v>
      </c>
      <c r="B2118" t="s">
        <v>6329</v>
      </c>
      <c r="C2118" t="s">
        <v>2717</v>
      </c>
      <c r="D2118" t="s">
        <v>2307</v>
      </c>
      <c r="E2118">
        <v>98037</v>
      </c>
      <c r="F2118" t="s">
        <v>1600</v>
      </c>
      <c r="G2118" t="s">
        <v>2107</v>
      </c>
      <c r="H2118" t="s">
        <v>5909</v>
      </c>
      <c r="I2118">
        <v>47.831702</v>
      </c>
      <c r="J2118">
        <v>-122.273607</v>
      </c>
      <c r="K2118" t="s">
        <v>3936</v>
      </c>
      <c r="L2118" t="s">
        <v>3946</v>
      </c>
      <c r="M2118" t="s">
        <v>5575</v>
      </c>
      <c r="P2118" t="s">
        <v>6136</v>
      </c>
    </row>
    <row r="2119" spans="1:16" x14ac:dyDescent="0.2">
      <c r="A2119" t="s">
        <v>2103</v>
      </c>
      <c r="B2119" t="s">
        <v>6330</v>
      </c>
      <c r="C2119" t="s">
        <v>2717</v>
      </c>
      <c r="D2119" t="s">
        <v>2307</v>
      </c>
      <c r="E2119">
        <v>98037</v>
      </c>
      <c r="F2119" t="s">
        <v>1600</v>
      </c>
      <c r="G2119" t="s">
        <v>2107</v>
      </c>
      <c r="H2119" t="s">
        <v>5910</v>
      </c>
      <c r="I2119">
        <v>47.831702</v>
      </c>
      <c r="J2119">
        <v>-122.273607</v>
      </c>
      <c r="K2119" t="s">
        <v>3936</v>
      </c>
      <c r="L2119" t="s">
        <v>3946</v>
      </c>
      <c r="M2119" t="s">
        <v>5575</v>
      </c>
      <c r="P2119" t="s">
        <v>6136</v>
      </c>
    </row>
    <row r="2120" spans="1:16" x14ac:dyDescent="0.2">
      <c r="A2120" t="s">
        <v>2025</v>
      </c>
      <c r="B2120" t="s">
        <v>2796</v>
      </c>
      <c r="C2120" t="s">
        <v>2717</v>
      </c>
      <c r="D2120" t="s">
        <v>2307</v>
      </c>
      <c r="E2120">
        <v>98037</v>
      </c>
      <c r="F2120" t="s">
        <v>1573</v>
      </c>
      <c r="G2120" t="s">
        <v>2026</v>
      </c>
      <c r="H2120" t="s">
        <v>4522</v>
      </c>
      <c r="I2120">
        <v>47.831702</v>
      </c>
      <c r="J2120">
        <v>-122.273607</v>
      </c>
      <c r="K2120" t="s">
        <v>3936</v>
      </c>
      <c r="L2120" t="s">
        <v>3946</v>
      </c>
      <c r="M2120" t="s">
        <v>5575</v>
      </c>
      <c r="P2120" t="s">
        <v>2796</v>
      </c>
    </row>
    <row r="2121" spans="1:16" x14ac:dyDescent="0.2">
      <c r="A2121" t="s">
        <v>5576</v>
      </c>
      <c r="B2121" t="s">
        <v>5588</v>
      </c>
      <c r="C2121" t="s">
        <v>2717</v>
      </c>
      <c r="D2121" t="s">
        <v>2307</v>
      </c>
      <c r="E2121">
        <v>98037</v>
      </c>
      <c r="F2121" t="s">
        <v>1573</v>
      </c>
      <c r="G2121" t="s">
        <v>5581</v>
      </c>
      <c r="H2121" t="s">
        <v>5911</v>
      </c>
      <c r="I2121">
        <v>47.831702</v>
      </c>
      <c r="J2121">
        <v>-122.273607</v>
      </c>
      <c r="K2121" t="s">
        <v>3936</v>
      </c>
      <c r="L2121" t="s">
        <v>3946</v>
      </c>
      <c r="M2121" t="s">
        <v>5575</v>
      </c>
      <c r="P2121" t="s">
        <v>5588</v>
      </c>
    </row>
    <row r="2122" spans="1:16" x14ac:dyDescent="0.2">
      <c r="A2122" t="s">
        <v>2022</v>
      </c>
      <c r="B2122" t="s">
        <v>2795</v>
      </c>
      <c r="C2122" t="s">
        <v>2717</v>
      </c>
      <c r="D2122" t="s">
        <v>2307</v>
      </c>
      <c r="E2122">
        <v>98037</v>
      </c>
      <c r="F2122" t="s">
        <v>1573</v>
      </c>
      <c r="G2122" t="s">
        <v>2187</v>
      </c>
      <c r="H2122" t="s">
        <v>5270</v>
      </c>
      <c r="I2122">
        <v>47.831702</v>
      </c>
      <c r="J2122">
        <v>-122.273607</v>
      </c>
      <c r="K2122" t="s">
        <v>3936</v>
      </c>
      <c r="L2122" t="s">
        <v>3946</v>
      </c>
      <c r="M2122" t="s">
        <v>5575</v>
      </c>
      <c r="P2122" t="s">
        <v>2795</v>
      </c>
    </row>
    <row r="2123" spans="1:16" x14ac:dyDescent="0.2">
      <c r="A2123" t="s">
        <v>2188</v>
      </c>
      <c r="B2123" t="s">
        <v>2797</v>
      </c>
      <c r="C2123" t="s">
        <v>2754</v>
      </c>
      <c r="D2123" t="s">
        <v>2307</v>
      </c>
      <c r="E2123">
        <v>98337</v>
      </c>
      <c r="F2123" t="s">
        <v>1583</v>
      </c>
      <c r="G2123" t="s">
        <v>1980</v>
      </c>
      <c r="H2123" t="s">
        <v>4523</v>
      </c>
      <c r="I2123">
        <v>47.565139000000002</v>
      </c>
      <c r="J2123">
        <v>-122.631843</v>
      </c>
      <c r="K2123" t="s">
        <v>3936</v>
      </c>
      <c r="L2123" t="s">
        <v>3946</v>
      </c>
      <c r="M2123" t="s">
        <v>5575</v>
      </c>
      <c r="P2123" t="s">
        <v>2797</v>
      </c>
    </row>
    <row r="2124" spans="1:16" x14ac:dyDescent="0.2">
      <c r="A2124" t="s">
        <v>2129</v>
      </c>
      <c r="B2124" t="s">
        <v>2798</v>
      </c>
      <c r="C2124" t="s">
        <v>2717</v>
      </c>
      <c r="D2124" t="s">
        <v>2307</v>
      </c>
      <c r="E2124">
        <v>98037</v>
      </c>
      <c r="F2124" t="s">
        <v>1573</v>
      </c>
      <c r="G2124" t="s">
        <v>2000</v>
      </c>
      <c r="H2124" t="s">
        <v>5271</v>
      </c>
      <c r="I2124">
        <v>47.831983000000001</v>
      </c>
      <c r="J2124">
        <v>-122.26894299999999</v>
      </c>
      <c r="K2124" t="s">
        <v>3936</v>
      </c>
      <c r="L2124" t="s">
        <v>3946</v>
      </c>
      <c r="M2124" t="s">
        <v>5575</v>
      </c>
      <c r="P2124" t="s">
        <v>2798</v>
      </c>
    </row>
    <row r="2125" spans="1:16" x14ac:dyDescent="0.2">
      <c r="A2125" t="s">
        <v>2189</v>
      </c>
      <c r="B2125" t="s">
        <v>2799</v>
      </c>
      <c r="C2125" t="s">
        <v>2597</v>
      </c>
      <c r="D2125" t="s">
        <v>2307</v>
      </c>
      <c r="E2125">
        <v>98055</v>
      </c>
      <c r="F2125" t="s">
        <v>1583</v>
      </c>
      <c r="G2125" t="s">
        <v>1980</v>
      </c>
      <c r="H2125" t="s">
        <v>4524</v>
      </c>
      <c r="I2125">
        <v>47.445279999999997</v>
      </c>
      <c r="J2125">
        <v>-122.198787</v>
      </c>
      <c r="K2125" t="s">
        <v>3936</v>
      </c>
      <c r="L2125" t="s">
        <v>3946</v>
      </c>
      <c r="M2125" t="s">
        <v>5575</v>
      </c>
      <c r="P2125" t="s">
        <v>2799</v>
      </c>
    </row>
    <row r="2126" spans="1:16" x14ac:dyDescent="0.2">
      <c r="A2126" t="s">
        <v>2129</v>
      </c>
      <c r="B2126" t="s">
        <v>6331</v>
      </c>
      <c r="C2126" t="s">
        <v>2717</v>
      </c>
      <c r="D2126" t="s">
        <v>2307</v>
      </c>
      <c r="E2126">
        <v>98037</v>
      </c>
      <c r="F2126" t="s">
        <v>1600</v>
      </c>
      <c r="G2126" t="s">
        <v>6332</v>
      </c>
      <c r="H2126" t="s">
        <v>5272</v>
      </c>
      <c r="I2126">
        <v>47.831983000000001</v>
      </c>
      <c r="J2126">
        <v>-122.26894299999999</v>
      </c>
      <c r="K2126" t="s">
        <v>3936</v>
      </c>
      <c r="L2126" t="s">
        <v>3946</v>
      </c>
      <c r="M2126" t="s">
        <v>5575</v>
      </c>
      <c r="P2126" t="s">
        <v>6137</v>
      </c>
    </row>
    <row r="2127" spans="1:16" x14ac:dyDescent="0.2">
      <c r="A2127" t="s">
        <v>2011</v>
      </c>
      <c r="B2127" t="s">
        <v>6333</v>
      </c>
      <c r="C2127" t="s">
        <v>2785</v>
      </c>
      <c r="D2127" t="s">
        <v>2307</v>
      </c>
      <c r="E2127">
        <v>98027</v>
      </c>
      <c r="F2127" t="s">
        <v>1573</v>
      </c>
      <c r="G2127" t="s">
        <v>1986</v>
      </c>
      <c r="H2127" t="s">
        <v>4525</v>
      </c>
      <c r="I2127">
        <v>47.545568000000003</v>
      </c>
      <c r="J2127">
        <v>-122.056122</v>
      </c>
      <c r="K2127" t="s">
        <v>3936</v>
      </c>
      <c r="L2127" t="s">
        <v>3946</v>
      </c>
      <c r="M2127" t="s">
        <v>5575</v>
      </c>
      <c r="P2127" t="s">
        <v>6138</v>
      </c>
    </row>
    <row r="2128" spans="1:16" x14ac:dyDescent="0.2">
      <c r="A2128" t="s">
        <v>2011</v>
      </c>
      <c r="B2128" t="s">
        <v>6334</v>
      </c>
      <c r="C2128" t="s">
        <v>2597</v>
      </c>
      <c r="D2128" t="s">
        <v>2307</v>
      </c>
      <c r="E2128">
        <v>98055</v>
      </c>
      <c r="F2128" t="s">
        <v>1573</v>
      </c>
      <c r="G2128" t="s">
        <v>1986</v>
      </c>
      <c r="H2128" t="s">
        <v>4526</v>
      </c>
      <c r="I2128">
        <v>47.444405000000003</v>
      </c>
      <c r="J2128">
        <v>-122.197123</v>
      </c>
      <c r="K2128" t="s">
        <v>3936</v>
      </c>
      <c r="L2128" t="s">
        <v>3946</v>
      </c>
      <c r="M2128" t="s">
        <v>5575</v>
      </c>
      <c r="P2128" t="s">
        <v>6139</v>
      </c>
    </row>
    <row r="2129" spans="1:16" x14ac:dyDescent="0.2">
      <c r="A2129" t="s">
        <v>2190</v>
      </c>
      <c r="B2129" t="s">
        <v>2800</v>
      </c>
      <c r="C2129" t="s">
        <v>2785</v>
      </c>
      <c r="D2129" t="s">
        <v>2307</v>
      </c>
      <c r="E2129">
        <v>98027</v>
      </c>
      <c r="F2129" t="s">
        <v>1716</v>
      </c>
      <c r="G2129" t="s">
        <v>1995</v>
      </c>
      <c r="H2129" t="s">
        <v>5404</v>
      </c>
      <c r="I2129">
        <v>47.542847000000002</v>
      </c>
      <c r="J2129">
        <v>-122.058336</v>
      </c>
      <c r="K2129" t="s">
        <v>3936</v>
      </c>
      <c r="L2129" t="s">
        <v>3946</v>
      </c>
      <c r="M2129" t="s">
        <v>5575</v>
      </c>
      <c r="P2129" t="s">
        <v>2800</v>
      </c>
    </row>
    <row r="2130" spans="1:16" x14ac:dyDescent="0.2">
      <c r="A2130" t="s">
        <v>3952</v>
      </c>
      <c r="B2130" t="s">
        <v>2801</v>
      </c>
      <c r="C2130" t="s">
        <v>2597</v>
      </c>
      <c r="D2130" t="s">
        <v>2307</v>
      </c>
      <c r="E2130">
        <v>98055</v>
      </c>
      <c r="F2130" t="s">
        <v>1573</v>
      </c>
      <c r="G2130" t="s">
        <v>2014</v>
      </c>
      <c r="H2130" t="s">
        <v>4527</v>
      </c>
      <c r="I2130">
        <v>47.443804</v>
      </c>
      <c r="J2130">
        <v>-122.196735</v>
      </c>
      <c r="K2130" t="s">
        <v>3936</v>
      </c>
      <c r="L2130" t="s">
        <v>3946</v>
      </c>
      <c r="M2130" t="s">
        <v>5575</v>
      </c>
      <c r="P2130" t="s">
        <v>2801</v>
      </c>
    </row>
    <row r="2131" spans="1:16" x14ac:dyDescent="0.2">
      <c r="A2131" t="s">
        <v>3955</v>
      </c>
      <c r="B2131" t="s">
        <v>2802</v>
      </c>
      <c r="C2131" t="s">
        <v>2741</v>
      </c>
      <c r="D2131" t="s">
        <v>2307</v>
      </c>
      <c r="E2131">
        <v>98055</v>
      </c>
      <c r="F2131" t="s">
        <v>1658</v>
      </c>
      <c r="G2131" t="s">
        <v>2125</v>
      </c>
      <c r="H2131" t="s">
        <v>5273</v>
      </c>
      <c r="I2131">
        <v>47.442746</v>
      </c>
      <c r="J2131">
        <v>-122.19675100000001</v>
      </c>
      <c r="K2131" t="s">
        <v>3936</v>
      </c>
      <c r="L2131" t="s">
        <v>3946</v>
      </c>
      <c r="M2131" t="s">
        <v>5575</v>
      </c>
      <c r="P2131" t="s">
        <v>2802</v>
      </c>
    </row>
    <row r="2132" spans="1:16" x14ac:dyDescent="0.2">
      <c r="A2132" t="s">
        <v>2011</v>
      </c>
      <c r="B2132" t="s">
        <v>2803</v>
      </c>
      <c r="C2132" t="s">
        <v>2586</v>
      </c>
      <c r="D2132" t="s">
        <v>2307</v>
      </c>
      <c r="E2132">
        <v>98053</v>
      </c>
      <c r="F2132" t="s">
        <v>1573</v>
      </c>
      <c r="G2132" t="s">
        <v>1986</v>
      </c>
      <c r="H2132" t="s">
        <v>4528</v>
      </c>
      <c r="I2132">
        <v>47.694288</v>
      </c>
      <c r="J2132">
        <v>-122.04220599999999</v>
      </c>
      <c r="K2132" t="s">
        <v>3936</v>
      </c>
      <c r="L2132" t="s">
        <v>3946</v>
      </c>
      <c r="M2132" t="s">
        <v>5575</v>
      </c>
      <c r="P2132" t="s">
        <v>2803</v>
      </c>
    </row>
    <row r="2133" spans="1:16" x14ac:dyDescent="0.2">
      <c r="A2133" t="s">
        <v>2011</v>
      </c>
      <c r="B2133" t="s">
        <v>2804</v>
      </c>
      <c r="C2133" t="s">
        <v>2783</v>
      </c>
      <c r="D2133" t="s">
        <v>2307</v>
      </c>
      <c r="E2133">
        <v>98075</v>
      </c>
      <c r="F2133" t="s">
        <v>1573</v>
      </c>
      <c r="G2133" t="s">
        <v>1986</v>
      </c>
      <c r="H2133" t="s">
        <v>4529</v>
      </c>
      <c r="I2133">
        <v>47.582208000000001</v>
      </c>
      <c r="J2133">
        <v>-122.035363</v>
      </c>
      <c r="K2133" t="s">
        <v>3936</v>
      </c>
      <c r="L2133" t="s">
        <v>3946</v>
      </c>
      <c r="M2133" t="s">
        <v>5575</v>
      </c>
      <c r="P2133" t="s">
        <v>2804</v>
      </c>
    </row>
    <row r="2134" spans="1:16" x14ac:dyDescent="0.2">
      <c r="A2134" t="s">
        <v>2048</v>
      </c>
      <c r="B2134" t="s">
        <v>2805</v>
      </c>
      <c r="C2134" t="s">
        <v>2717</v>
      </c>
      <c r="D2134" t="s">
        <v>2307</v>
      </c>
      <c r="E2134">
        <v>98037</v>
      </c>
      <c r="F2134" t="s">
        <v>1573</v>
      </c>
      <c r="G2134" t="s">
        <v>2014</v>
      </c>
      <c r="H2134" t="s">
        <v>4530</v>
      </c>
      <c r="I2134">
        <v>47.836461999999997</v>
      </c>
      <c r="J2134">
        <v>-122.270886</v>
      </c>
      <c r="K2134" t="s">
        <v>3936</v>
      </c>
      <c r="L2134" t="s">
        <v>3946</v>
      </c>
      <c r="M2134" t="s">
        <v>5575</v>
      </c>
      <c r="P2134" t="s">
        <v>2805</v>
      </c>
    </row>
    <row r="2135" spans="1:16" x14ac:dyDescent="0.2">
      <c r="A2135" t="s">
        <v>2007</v>
      </c>
      <c r="B2135" t="s">
        <v>2806</v>
      </c>
      <c r="C2135" t="s">
        <v>2744</v>
      </c>
      <c r="D2135" t="s">
        <v>2307</v>
      </c>
      <c r="E2135">
        <v>98366</v>
      </c>
      <c r="F2135" t="s">
        <v>1658</v>
      </c>
      <c r="G2135" t="s">
        <v>2110</v>
      </c>
      <c r="H2135" t="s">
        <v>5274</v>
      </c>
      <c r="I2135">
        <v>47.519517</v>
      </c>
      <c r="J2135">
        <v>-122.60816699999999</v>
      </c>
      <c r="K2135" t="s">
        <v>3936</v>
      </c>
      <c r="L2135" t="s">
        <v>3946</v>
      </c>
      <c r="M2135" t="s">
        <v>5575</v>
      </c>
      <c r="P2135" t="s">
        <v>2806</v>
      </c>
    </row>
    <row r="2136" spans="1:16" x14ac:dyDescent="0.2">
      <c r="A2136" t="s">
        <v>2007</v>
      </c>
      <c r="B2136" t="s">
        <v>2807</v>
      </c>
      <c r="C2136" t="s">
        <v>2717</v>
      </c>
      <c r="D2136" t="s">
        <v>2307</v>
      </c>
      <c r="E2136">
        <v>98037</v>
      </c>
      <c r="F2136" t="s">
        <v>1658</v>
      </c>
      <c r="G2136" t="s">
        <v>2008</v>
      </c>
      <c r="H2136" t="s">
        <v>5275</v>
      </c>
      <c r="I2136">
        <v>47.840767999999997</v>
      </c>
      <c r="J2136">
        <v>-122.297944</v>
      </c>
      <c r="K2136" t="s">
        <v>3936</v>
      </c>
      <c r="L2136" t="s">
        <v>3946</v>
      </c>
      <c r="M2136" t="s">
        <v>5575</v>
      </c>
      <c r="P2136" t="s">
        <v>2807</v>
      </c>
    </row>
    <row r="2137" spans="1:16" x14ac:dyDescent="0.2">
      <c r="A2137" t="s">
        <v>2191</v>
      </c>
      <c r="B2137" t="s">
        <v>2808</v>
      </c>
      <c r="C2137" t="s">
        <v>2754</v>
      </c>
      <c r="D2137" t="s">
        <v>2307</v>
      </c>
      <c r="E2137">
        <v>98337</v>
      </c>
      <c r="F2137" t="s">
        <v>1571</v>
      </c>
      <c r="G2137" t="s">
        <v>1989</v>
      </c>
      <c r="H2137" t="s">
        <v>5195</v>
      </c>
      <c r="I2137">
        <v>47.567447999999999</v>
      </c>
      <c r="J2137">
        <v>-122.64116799999999</v>
      </c>
      <c r="K2137" t="s">
        <v>3936</v>
      </c>
      <c r="L2137" t="s">
        <v>3946</v>
      </c>
      <c r="M2137" t="s">
        <v>5575</v>
      </c>
      <c r="P2137" t="s">
        <v>2808</v>
      </c>
    </row>
    <row r="2138" spans="1:16" x14ac:dyDescent="0.2">
      <c r="A2138" t="s">
        <v>2048</v>
      </c>
      <c r="B2138" t="s">
        <v>2809</v>
      </c>
      <c r="C2138" t="s">
        <v>2744</v>
      </c>
      <c r="D2138" t="s">
        <v>2307</v>
      </c>
      <c r="E2138">
        <v>98366</v>
      </c>
      <c r="F2138" t="s">
        <v>1573</v>
      </c>
      <c r="G2138" t="s">
        <v>2014</v>
      </c>
      <c r="H2138" t="s">
        <v>4531</v>
      </c>
      <c r="I2138">
        <v>47.519497999999999</v>
      </c>
      <c r="J2138">
        <v>-122.609086</v>
      </c>
      <c r="K2138" t="s">
        <v>3936</v>
      </c>
      <c r="L2138" t="s">
        <v>3946</v>
      </c>
      <c r="M2138" t="s">
        <v>5575</v>
      </c>
      <c r="P2138" t="s">
        <v>2809</v>
      </c>
    </row>
    <row r="2139" spans="1:16" x14ac:dyDescent="0.2">
      <c r="A2139" t="s">
        <v>2059</v>
      </c>
      <c r="B2139" t="s">
        <v>2810</v>
      </c>
      <c r="C2139" t="s">
        <v>2785</v>
      </c>
      <c r="D2139" t="s">
        <v>2307</v>
      </c>
      <c r="E2139">
        <v>98027</v>
      </c>
      <c r="F2139" t="s">
        <v>1573</v>
      </c>
      <c r="G2139" t="s">
        <v>2067</v>
      </c>
      <c r="H2139" t="s">
        <v>5013</v>
      </c>
      <c r="I2139">
        <v>47.544711999999997</v>
      </c>
      <c r="J2139">
        <v>-122.05038</v>
      </c>
      <c r="K2139" t="s">
        <v>3936</v>
      </c>
      <c r="L2139" t="s">
        <v>3946</v>
      </c>
      <c r="M2139" t="s">
        <v>5575</v>
      </c>
      <c r="P2139" t="s">
        <v>2810</v>
      </c>
    </row>
    <row r="2140" spans="1:16" x14ac:dyDescent="0.2">
      <c r="A2140" t="s">
        <v>1686</v>
      </c>
      <c r="B2140" t="s">
        <v>2811</v>
      </c>
      <c r="C2140" t="s">
        <v>2785</v>
      </c>
      <c r="D2140" t="s">
        <v>2307</v>
      </c>
      <c r="E2140">
        <v>98027</v>
      </c>
      <c r="F2140" t="s">
        <v>1573</v>
      </c>
      <c r="G2140" t="s">
        <v>2136</v>
      </c>
      <c r="H2140" t="s">
        <v>4532</v>
      </c>
      <c r="I2140">
        <v>47.544192000000002</v>
      </c>
      <c r="J2140">
        <v>-122.049048</v>
      </c>
      <c r="K2140" t="s">
        <v>3936</v>
      </c>
      <c r="L2140" t="s">
        <v>3946</v>
      </c>
      <c r="M2140" t="s">
        <v>5575</v>
      </c>
      <c r="P2140" t="s">
        <v>2811</v>
      </c>
    </row>
    <row r="2141" spans="1:16" x14ac:dyDescent="0.2">
      <c r="A2141" t="s">
        <v>1874</v>
      </c>
      <c r="B2141" t="s">
        <v>2812</v>
      </c>
      <c r="C2141" t="s">
        <v>2744</v>
      </c>
      <c r="D2141" t="s">
        <v>2307</v>
      </c>
      <c r="E2141">
        <v>98366</v>
      </c>
      <c r="F2141" t="s">
        <v>1571</v>
      </c>
      <c r="G2141" t="s">
        <v>1991</v>
      </c>
      <c r="H2141" t="s">
        <v>4533</v>
      </c>
      <c r="I2141">
        <v>47.533850999999999</v>
      </c>
      <c r="J2141">
        <v>-122.622696</v>
      </c>
      <c r="K2141" t="s">
        <v>3936</v>
      </c>
      <c r="L2141" t="s">
        <v>3946</v>
      </c>
      <c r="M2141" t="s">
        <v>5575</v>
      </c>
      <c r="P2141" t="s">
        <v>2812</v>
      </c>
    </row>
    <row r="2142" spans="1:16" x14ac:dyDescent="0.2">
      <c r="A2142" t="s">
        <v>2007</v>
      </c>
      <c r="B2142" t="s">
        <v>2813</v>
      </c>
      <c r="C2142" t="s">
        <v>2672</v>
      </c>
      <c r="D2142" t="s">
        <v>2307</v>
      </c>
      <c r="E2142">
        <v>98077</v>
      </c>
      <c r="F2142" t="s">
        <v>1658</v>
      </c>
      <c r="G2142" t="s">
        <v>2008</v>
      </c>
      <c r="H2142" t="s">
        <v>5276</v>
      </c>
      <c r="I2142">
        <v>47.75553</v>
      </c>
      <c r="J2142">
        <v>-122.081818</v>
      </c>
      <c r="K2142" t="s">
        <v>3936</v>
      </c>
      <c r="L2142" t="s">
        <v>3946</v>
      </c>
      <c r="M2142" t="s">
        <v>5575</v>
      </c>
      <c r="P2142" t="s">
        <v>2813</v>
      </c>
    </row>
    <row r="2143" spans="1:16" x14ac:dyDescent="0.2">
      <c r="A2143" t="s">
        <v>2011</v>
      </c>
      <c r="B2143" t="s">
        <v>2814</v>
      </c>
      <c r="C2143" t="s">
        <v>2815</v>
      </c>
      <c r="D2143" t="s">
        <v>2307</v>
      </c>
      <c r="E2143">
        <v>98072</v>
      </c>
      <c r="F2143" t="s">
        <v>1573</v>
      </c>
      <c r="G2143" t="s">
        <v>1986</v>
      </c>
      <c r="H2143" t="s">
        <v>4534</v>
      </c>
      <c r="I2143">
        <v>47.755315000000003</v>
      </c>
      <c r="J2143">
        <v>-122.081366</v>
      </c>
      <c r="K2143" t="s">
        <v>3936</v>
      </c>
      <c r="L2143" t="s">
        <v>3946</v>
      </c>
      <c r="M2143" t="s">
        <v>5575</v>
      </c>
      <c r="P2143" t="s">
        <v>5732</v>
      </c>
    </row>
    <row r="2144" spans="1:16" x14ac:dyDescent="0.2">
      <c r="A2144" t="s">
        <v>2059</v>
      </c>
      <c r="B2144" t="s">
        <v>2817</v>
      </c>
      <c r="C2144" t="s">
        <v>2717</v>
      </c>
      <c r="D2144" t="s">
        <v>2307</v>
      </c>
      <c r="E2144">
        <v>98037</v>
      </c>
      <c r="F2144" t="s">
        <v>1600</v>
      </c>
      <c r="G2144" t="s">
        <v>2135</v>
      </c>
      <c r="H2144" t="s">
        <v>5912</v>
      </c>
      <c r="I2144">
        <v>47.842554999999997</v>
      </c>
      <c r="J2144">
        <v>-122.29687</v>
      </c>
      <c r="K2144" t="s">
        <v>3936</v>
      </c>
      <c r="L2144" t="s">
        <v>3946</v>
      </c>
      <c r="M2144" t="s">
        <v>5575</v>
      </c>
      <c r="P2144" t="s">
        <v>2817</v>
      </c>
    </row>
    <row r="2145" spans="1:16" x14ac:dyDescent="0.2">
      <c r="A2145" t="s">
        <v>2133</v>
      </c>
      <c r="B2145" t="s">
        <v>2816</v>
      </c>
      <c r="C2145" t="s">
        <v>2717</v>
      </c>
      <c r="D2145" t="s">
        <v>2307</v>
      </c>
      <c r="E2145">
        <v>98037</v>
      </c>
      <c r="F2145" t="s">
        <v>1583</v>
      </c>
      <c r="G2145" t="s">
        <v>1980</v>
      </c>
      <c r="H2145" t="s">
        <v>5218</v>
      </c>
      <c r="I2145">
        <v>47.842787000000001</v>
      </c>
      <c r="J2145">
        <v>-122.29621899999999</v>
      </c>
      <c r="K2145" t="s">
        <v>3936</v>
      </c>
      <c r="L2145" t="s">
        <v>3946</v>
      </c>
      <c r="M2145" t="s">
        <v>5575</v>
      </c>
      <c r="P2145" t="s">
        <v>2816</v>
      </c>
    </row>
    <row r="2146" spans="1:16" x14ac:dyDescent="0.2">
      <c r="A2146" t="s">
        <v>2011</v>
      </c>
      <c r="B2146" t="s">
        <v>2818</v>
      </c>
      <c r="C2146" t="s">
        <v>2780</v>
      </c>
      <c r="D2146" t="s">
        <v>2307</v>
      </c>
      <c r="E2146">
        <v>98032</v>
      </c>
      <c r="F2146" t="s">
        <v>1573</v>
      </c>
      <c r="G2146" t="s">
        <v>1986</v>
      </c>
      <c r="H2146" t="s">
        <v>4535</v>
      </c>
      <c r="I2146">
        <v>47.422753999999998</v>
      </c>
      <c r="J2146">
        <v>-122.24924799999999</v>
      </c>
      <c r="K2146" t="s">
        <v>3936</v>
      </c>
      <c r="L2146" t="s">
        <v>3946</v>
      </c>
      <c r="M2146" t="s">
        <v>5575</v>
      </c>
      <c r="P2146" t="s">
        <v>2818</v>
      </c>
    </row>
    <row r="2147" spans="1:16" x14ac:dyDescent="0.2">
      <c r="A2147" t="s">
        <v>2192</v>
      </c>
      <c r="B2147" t="s">
        <v>2819</v>
      </c>
      <c r="C2147" t="s">
        <v>2785</v>
      </c>
      <c r="D2147" t="s">
        <v>2307</v>
      </c>
      <c r="E2147">
        <v>98027</v>
      </c>
      <c r="F2147" t="s">
        <v>1716</v>
      </c>
      <c r="G2147" t="s">
        <v>1995</v>
      </c>
      <c r="H2147" t="s">
        <v>3984</v>
      </c>
      <c r="I2147">
        <v>47.543441000000001</v>
      </c>
      <c r="J2147">
        <v>-122.04710300000001</v>
      </c>
      <c r="K2147" t="s">
        <v>3936</v>
      </c>
      <c r="L2147" t="s">
        <v>3946</v>
      </c>
      <c r="M2147" t="s">
        <v>5575</v>
      </c>
      <c r="P2147" t="s">
        <v>2819</v>
      </c>
    </row>
    <row r="2148" spans="1:16" x14ac:dyDescent="0.2">
      <c r="A2148" t="s">
        <v>2048</v>
      </c>
      <c r="B2148" t="s">
        <v>2820</v>
      </c>
      <c r="C2148" t="s">
        <v>2754</v>
      </c>
      <c r="D2148" t="s">
        <v>2307</v>
      </c>
      <c r="E2148">
        <v>98312</v>
      </c>
      <c r="F2148" t="s">
        <v>1573</v>
      </c>
      <c r="G2148" t="s">
        <v>2014</v>
      </c>
      <c r="H2148" t="s">
        <v>4536</v>
      </c>
      <c r="I2148">
        <v>47.567253999999998</v>
      </c>
      <c r="J2148">
        <v>-122.646636</v>
      </c>
      <c r="K2148" t="s">
        <v>3936</v>
      </c>
      <c r="L2148" t="s">
        <v>3946</v>
      </c>
      <c r="M2148" t="s">
        <v>5575</v>
      </c>
      <c r="P2148" t="s">
        <v>2820</v>
      </c>
    </row>
    <row r="2149" spans="1:16" x14ac:dyDescent="0.2">
      <c r="A2149" t="s">
        <v>3952</v>
      </c>
      <c r="B2149" t="s">
        <v>2821</v>
      </c>
      <c r="C2149" t="s">
        <v>2754</v>
      </c>
      <c r="D2149" t="s">
        <v>2307</v>
      </c>
      <c r="E2149">
        <v>98312</v>
      </c>
      <c r="F2149" t="s">
        <v>1573</v>
      </c>
      <c r="G2149" t="s">
        <v>2014</v>
      </c>
      <c r="H2149" t="s">
        <v>4537</v>
      </c>
      <c r="I2149">
        <v>47.567253000000001</v>
      </c>
      <c r="J2149">
        <v>-122.647021</v>
      </c>
      <c r="K2149" t="s">
        <v>3936</v>
      </c>
      <c r="L2149" t="s">
        <v>3946</v>
      </c>
      <c r="M2149" t="s">
        <v>5575</v>
      </c>
      <c r="P2149" t="s">
        <v>2821</v>
      </c>
    </row>
    <row r="2150" spans="1:16" x14ac:dyDescent="0.2">
      <c r="A2150" t="s">
        <v>5576</v>
      </c>
      <c r="B2150" t="s">
        <v>5589</v>
      </c>
      <c r="C2150" t="s">
        <v>2785</v>
      </c>
      <c r="D2150" t="s">
        <v>2307</v>
      </c>
      <c r="E2150">
        <v>98029</v>
      </c>
      <c r="F2150" t="s">
        <v>1573</v>
      </c>
      <c r="G2150" t="s">
        <v>5584</v>
      </c>
      <c r="H2150" t="s">
        <v>5913</v>
      </c>
      <c r="I2150">
        <v>47.547606999999999</v>
      </c>
      <c r="J2150">
        <v>-122.040767</v>
      </c>
      <c r="K2150" t="s">
        <v>3936</v>
      </c>
      <c r="L2150" t="s">
        <v>3946</v>
      </c>
      <c r="M2150" t="s">
        <v>5575</v>
      </c>
      <c r="P2150" t="s">
        <v>5589</v>
      </c>
    </row>
    <row r="2151" spans="1:16" x14ac:dyDescent="0.2">
      <c r="A2151" t="s">
        <v>2011</v>
      </c>
      <c r="B2151" t="s">
        <v>6335</v>
      </c>
      <c r="C2151" t="s">
        <v>2717</v>
      </c>
      <c r="D2151" t="s">
        <v>2307</v>
      </c>
      <c r="E2151">
        <v>98036</v>
      </c>
      <c r="F2151" t="s">
        <v>1573</v>
      </c>
      <c r="G2151" t="s">
        <v>1986</v>
      </c>
      <c r="H2151" t="s">
        <v>4538</v>
      </c>
      <c r="I2151">
        <v>47.846482000000002</v>
      </c>
      <c r="J2151">
        <v>-122.304154</v>
      </c>
      <c r="K2151" t="s">
        <v>3936</v>
      </c>
      <c r="L2151" t="s">
        <v>3946</v>
      </c>
      <c r="M2151" t="s">
        <v>5575</v>
      </c>
      <c r="P2151" t="s">
        <v>6140</v>
      </c>
    </row>
    <row r="2152" spans="1:16" x14ac:dyDescent="0.2">
      <c r="A2152" t="s">
        <v>2048</v>
      </c>
      <c r="B2152" t="s">
        <v>2822</v>
      </c>
      <c r="C2152" t="s">
        <v>2823</v>
      </c>
      <c r="D2152" t="s">
        <v>2307</v>
      </c>
      <c r="E2152">
        <v>98072</v>
      </c>
      <c r="F2152" t="s">
        <v>1573</v>
      </c>
      <c r="G2152" t="s">
        <v>2014</v>
      </c>
      <c r="H2152" t="s">
        <v>4539</v>
      </c>
      <c r="I2152">
        <v>47.804367999999997</v>
      </c>
      <c r="J2152">
        <v>-122.143584</v>
      </c>
      <c r="K2152" t="s">
        <v>3936</v>
      </c>
      <c r="L2152" t="s">
        <v>3946</v>
      </c>
      <c r="M2152" t="s">
        <v>5575</v>
      </c>
      <c r="P2152" t="s">
        <v>2822</v>
      </c>
    </row>
    <row r="2153" spans="1:16" x14ac:dyDescent="0.2">
      <c r="A2153" t="s">
        <v>3955</v>
      </c>
      <c r="B2153" t="s">
        <v>2824</v>
      </c>
      <c r="C2153" t="s">
        <v>2825</v>
      </c>
      <c r="D2153" t="s">
        <v>2307</v>
      </c>
      <c r="E2153">
        <v>98037</v>
      </c>
      <c r="F2153" t="s">
        <v>1658</v>
      </c>
      <c r="G2153" t="s">
        <v>2128</v>
      </c>
      <c r="H2153" t="s">
        <v>5914</v>
      </c>
      <c r="I2153">
        <v>47.847026999999997</v>
      </c>
      <c r="J2153">
        <v>-122.294701</v>
      </c>
      <c r="K2153" t="s">
        <v>3936</v>
      </c>
      <c r="L2153" t="s">
        <v>3946</v>
      </c>
      <c r="M2153" t="s">
        <v>5575</v>
      </c>
      <c r="P2153" t="s">
        <v>2824</v>
      </c>
    </row>
    <row r="2154" spans="1:16" x14ac:dyDescent="0.2">
      <c r="A2154" t="s">
        <v>2111</v>
      </c>
      <c r="B2154" t="s">
        <v>6230</v>
      </c>
      <c r="C2154" t="s">
        <v>2785</v>
      </c>
      <c r="D2154" t="s">
        <v>2307</v>
      </c>
      <c r="E2154">
        <v>98027</v>
      </c>
      <c r="F2154" t="s">
        <v>1600</v>
      </c>
      <c r="G2154" t="s">
        <v>2149</v>
      </c>
      <c r="H2154" t="s">
        <v>5405</v>
      </c>
      <c r="I2154">
        <v>47.545388000000003</v>
      </c>
      <c r="J2154">
        <v>-122.038307</v>
      </c>
      <c r="K2154" t="s">
        <v>3936</v>
      </c>
      <c r="L2154" t="s">
        <v>3946</v>
      </c>
      <c r="M2154" t="s">
        <v>5575</v>
      </c>
      <c r="P2154" t="s">
        <v>6031</v>
      </c>
    </row>
    <row r="2155" spans="1:16" x14ac:dyDescent="0.2">
      <c r="A2155" t="s">
        <v>2193</v>
      </c>
      <c r="B2155" t="s">
        <v>2827</v>
      </c>
      <c r="C2155" t="s">
        <v>2785</v>
      </c>
      <c r="D2155" t="s">
        <v>2307</v>
      </c>
      <c r="E2155">
        <v>98027</v>
      </c>
      <c r="F2155" t="s">
        <v>1583</v>
      </c>
      <c r="G2155" t="s">
        <v>1980</v>
      </c>
      <c r="H2155" t="s">
        <v>5098</v>
      </c>
      <c r="I2155">
        <v>47.540477000000003</v>
      </c>
      <c r="J2155">
        <v>-122.040936</v>
      </c>
      <c r="K2155" t="s">
        <v>3936</v>
      </c>
      <c r="L2155" t="s">
        <v>3946</v>
      </c>
      <c r="M2155" t="s">
        <v>5575</v>
      </c>
      <c r="P2155" t="s">
        <v>2827</v>
      </c>
    </row>
    <row r="2156" spans="1:16" x14ac:dyDescent="0.2">
      <c r="A2156" t="s">
        <v>2018</v>
      </c>
      <c r="B2156" t="s">
        <v>2828</v>
      </c>
      <c r="C2156" t="s">
        <v>2744</v>
      </c>
      <c r="D2156" t="s">
        <v>2307</v>
      </c>
      <c r="E2156">
        <v>98366</v>
      </c>
      <c r="F2156" t="s">
        <v>2019</v>
      </c>
      <c r="G2156" t="s">
        <v>1991</v>
      </c>
      <c r="H2156" t="s">
        <v>5479</v>
      </c>
      <c r="I2156">
        <v>47.505650000000003</v>
      </c>
      <c r="J2156">
        <v>-122.610274</v>
      </c>
      <c r="K2156" t="s">
        <v>3936</v>
      </c>
      <c r="L2156" t="s">
        <v>3946</v>
      </c>
      <c r="M2156" t="s">
        <v>5575</v>
      </c>
      <c r="P2156" t="s">
        <v>2828</v>
      </c>
    </row>
    <row r="2157" spans="1:16" x14ac:dyDescent="0.2">
      <c r="A2157" t="s">
        <v>2048</v>
      </c>
      <c r="B2157" t="s">
        <v>2829</v>
      </c>
      <c r="C2157" t="s">
        <v>2597</v>
      </c>
      <c r="D2157" t="s">
        <v>2307</v>
      </c>
      <c r="E2157">
        <v>98058</v>
      </c>
      <c r="F2157" t="s">
        <v>1573</v>
      </c>
      <c r="G2157" t="s">
        <v>2014</v>
      </c>
      <c r="H2157" t="s">
        <v>4541</v>
      </c>
      <c r="I2157">
        <v>47.448031</v>
      </c>
      <c r="J2157">
        <v>-122.153881</v>
      </c>
      <c r="K2157" t="s">
        <v>3936</v>
      </c>
      <c r="L2157" t="s">
        <v>3946</v>
      </c>
      <c r="M2157" t="s">
        <v>5575</v>
      </c>
      <c r="P2157" t="s">
        <v>2829</v>
      </c>
    </row>
    <row r="2158" spans="1:16" x14ac:dyDescent="0.2">
      <c r="A2158" t="s">
        <v>2011</v>
      </c>
      <c r="B2158" t="s">
        <v>6336</v>
      </c>
      <c r="C2158" t="s">
        <v>2597</v>
      </c>
      <c r="D2158" t="s">
        <v>2307</v>
      </c>
      <c r="E2158">
        <v>98058</v>
      </c>
      <c r="F2158" t="s">
        <v>1573</v>
      </c>
      <c r="G2158" t="s">
        <v>1986</v>
      </c>
      <c r="H2158" t="s">
        <v>4542</v>
      </c>
      <c r="I2158">
        <v>47.446168999999998</v>
      </c>
      <c r="J2158">
        <v>-122.154036</v>
      </c>
      <c r="K2158" t="s">
        <v>3936</v>
      </c>
      <c r="L2158" t="s">
        <v>3946</v>
      </c>
      <c r="M2158" t="s">
        <v>5575</v>
      </c>
      <c r="P2158" t="s">
        <v>6141</v>
      </c>
    </row>
    <row r="2159" spans="1:16" x14ac:dyDescent="0.2">
      <c r="A2159" t="s">
        <v>2011</v>
      </c>
      <c r="B2159" t="s">
        <v>6337</v>
      </c>
      <c r="C2159" t="s">
        <v>2830</v>
      </c>
      <c r="D2159" t="s">
        <v>2307</v>
      </c>
      <c r="E2159">
        <v>98198</v>
      </c>
      <c r="F2159" t="s">
        <v>1573</v>
      </c>
      <c r="G2159" t="s">
        <v>1986</v>
      </c>
      <c r="H2159" t="s">
        <v>4543</v>
      </c>
      <c r="I2159">
        <v>47.409174999999998</v>
      </c>
      <c r="J2159">
        <v>-122.298412</v>
      </c>
      <c r="K2159" t="s">
        <v>3936</v>
      </c>
      <c r="L2159" t="s">
        <v>3946</v>
      </c>
      <c r="M2159" t="s">
        <v>5575</v>
      </c>
      <c r="P2159" t="s">
        <v>6142</v>
      </c>
    </row>
    <row r="2160" spans="1:16" x14ac:dyDescent="0.2">
      <c r="A2160" t="s">
        <v>2015</v>
      </c>
      <c r="B2160" t="s">
        <v>2831</v>
      </c>
      <c r="C2160" t="s">
        <v>2586</v>
      </c>
      <c r="D2160" t="s">
        <v>2307</v>
      </c>
      <c r="E2160">
        <v>98053</v>
      </c>
      <c r="F2160" t="s">
        <v>1573</v>
      </c>
      <c r="G2160" t="s">
        <v>1999</v>
      </c>
      <c r="H2160" t="s">
        <v>5915</v>
      </c>
      <c r="I2160">
        <v>47.700091999999998</v>
      </c>
      <c r="J2160">
        <v>-122.025232</v>
      </c>
      <c r="K2160" t="s">
        <v>3936</v>
      </c>
      <c r="L2160" t="s">
        <v>3946</v>
      </c>
      <c r="M2160" t="s">
        <v>5575</v>
      </c>
      <c r="P2160" t="s">
        <v>2831</v>
      </c>
    </row>
    <row r="2161" spans="1:16" x14ac:dyDescent="0.2">
      <c r="A2161" t="s">
        <v>2194</v>
      </c>
      <c r="B2161" t="s">
        <v>2832</v>
      </c>
      <c r="C2161" t="s">
        <v>2717</v>
      </c>
      <c r="D2161" t="s">
        <v>2307</v>
      </c>
      <c r="E2161">
        <v>98087</v>
      </c>
      <c r="F2161" t="s">
        <v>1716</v>
      </c>
      <c r="G2161" t="s">
        <v>2005</v>
      </c>
      <c r="H2161" t="s">
        <v>5480</v>
      </c>
      <c r="I2161">
        <v>47.850194999999999</v>
      </c>
      <c r="J2161">
        <v>-122.282128</v>
      </c>
      <c r="K2161" t="s">
        <v>3936</v>
      </c>
      <c r="L2161" t="s">
        <v>3946</v>
      </c>
      <c r="M2161" t="s">
        <v>5575</v>
      </c>
      <c r="P2161" t="s">
        <v>2832</v>
      </c>
    </row>
    <row r="2162" spans="1:16" x14ac:dyDescent="0.2">
      <c r="A2162" t="s">
        <v>2195</v>
      </c>
      <c r="B2162" t="s">
        <v>2833</v>
      </c>
      <c r="C2162" t="s">
        <v>2785</v>
      </c>
      <c r="D2162" t="s">
        <v>2307</v>
      </c>
      <c r="E2162">
        <v>98027</v>
      </c>
      <c r="F2162" t="s">
        <v>1658</v>
      </c>
      <c r="G2162" t="s">
        <v>1991</v>
      </c>
      <c r="H2162" t="s">
        <v>5916</v>
      </c>
      <c r="I2162">
        <v>47.537064999999998</v>
      </c>
      <c r="J2162">
        <v>-122.03617800000001</v>
      </c>
      <c r="K2162" t="s">
        <v>3936</v>
      </c>
      <c r="L2162" t="s">
        <v>3946</v>
      </c>
      <c r="M2162" t="s">
        <v>5575</v>
      </c>
      <c r="P2162" t="s">
        <v>2833</v>
      </c>
    </row>
    <row r="2163" spans="1:16" x14ac:dyDescent="0.2">
      <c r="A2163" t="s">
        <v>2011</v>
      </c>
      <c r="B2163" t="s">
        <v>2834</v>
      </c>
      <c r="C2163" t="s">
        <v>2744</v>
      </c>
      <c r="D2163" t="s">
        <v>2307</v>
      </c>
      <c r="E2163">
        <v>98366</v>
      </c>
      <c r="F2163" t="s">
        <v>1573</v>
      </c>
      <c r="G2163" t="s">
        <v>1986</v>
      </c>
      <c r="H2163" t="s">
        <v>4544</v>
      </c>
      <c r="I2163">
        <v>47.518354000000002</v>
      </c>
      <c r="J2163">
        <v>-122.63099</v>
      </c>
      <c r="K2163" t="s">
        <v>3936</v>
      </c>
      <c r="L2163" t="s">
        <v>3946</v>
      </c>
      <c r="M2163" t="s">
        <v>5575</v>
      </c>
      <c r="P2163" t="s">
        <v>2834</v>
      </c>
    </row>
    <row r="2164" spans="1:16" x14ac:dyDescent="0.2">
      <c r="A2164" t="s">
        <v>3955</v>
      </c>
      <c r="B2164" t="s">
        <v>2835</v>
      </c>
      <c r="C2164" t="s">
        <v>2836</v>
      </c>
      <c r="D2164" t="s">
        <v>2307</v>
      </c>
      <c r="E2164">
        <v>98370</v>
      </c>
      <c r="F2164" t="s">
        <v>1658</v>
      </c>
      <c r="G2164" t="s">
        <v>2128</v>
      </c>
      <c r="H2164" t="s">
        <v>5277</v>
      </c>
      <c r="I2164">
        <v>47.734744999999997</v>
      </c>
      <c r="J2164">
        <v>-122.63743700000001</v>
      </c>
      <c r="K2164" t="s">
        <v>3936</v>
      </c>
      <c r="L2164" t="s">
        <v>3946</v>
      </c>
      <c r="M2164" t="s">
        <v>5575</v>
      </c>
      <c r="P2164" t="s">
        <v>2835</v>
      </c>
    </row>
    <row r="2165" spans="1:16" x14ac:dyDescent="0.2">
      <c r="A2165" t="s">
        <v>2011</v>
      </c>
      <c r="B2165" t="s">
        <v>2837</v>
      </c>
      <c r="C2165" t="s">
        <v>2838</v>
      </c>
      <c r="D2165" t="s">
        <v>2307</v>
      </c>
      <c r="E2165">
        <v>98370</v>
      </c>
      <c r="F2165" t="s">
        <v>1573</v>
      </c>
      <c r="G2165" t="s">
        <v>1986</v>
      </c>
      <c r="H2165" t="s">
        <v>4545</v>
      </c>
      <c r="I2165">
        <v>47.734883000000004</v>
      </c>
      <c r="J2165">
        <v>-122.63705899999999</v>
      </c>
      <c r="K2165" t="s">
        <v>3936</v>
      </c>
      <c r="L2165" t="s">
        <v>3946</v>
      </c>
      <c r="M2165" t="s">
        <v>5575</v>
      </c>
      <c r="P2165" t="s">
        <v>2837</v>
      </c>
    </row>
    <row r="2166" spans="1:16" x14ac:dyDescent="0.2">
      <c r="A2166" t="s">
        <v>2007</v>
      </c>
      <c r="B2166" t="s">
        <v>2839</v>
      </c>
      <c r="C2166" t="s">
        <v>2754</v>
      </c>
      <c r="D2166" t="s">
        <v>2307</v>
      </c>
      <c r="E2166">
        <v>98312</v>
      </c>
      <c r="F2166" t="s">
        <v>1658</v>
      </c>
      <c r="G2166" t="s">
        <v>2066</v>
      </c>
      <c r="H2166" t="s">
        <v>5014</v>
      </c>
      <c r="I2166">
        <v>47.570273999999998</v>
      </c>
      <c r="J2166">
        <v>-122.66466699999999</v>
      </c>
      <c r="K2166" t="s">
        <v>3936</v>
      </c>
      <c r="L2166" t="s">
        <v>3946</v>
      </c>
      <c r="M2166" t="s">
        <v>5575</v>
      </c>
      <c r="P2166" t="s">
        <v>2839</v>
      </c>
    </row>
    <row r="2167" spans="1:16" x14ac:dyDescent="0.2">
      <c r="A2167" t="s">
        <v>2007</v>
      </c>
      <c r="B2167" t="s">
        <v>2840</v>
      </c>
      <c r="C2167" t="s">
        <v>2785</v>
      </c>
      <c r="D2167" t="s">
        <v>2307</v>
      </c>
      <c r="E2167">
        <v>98027</v>
      </c>
      <c r="F2167" t="s">
        <v>1658</v>
      </c>
      <c r="G2167" t="s">
        <v>2110</v>
      </c>
      <c r="H2167" t="s">
        <v>5917</v>
      </c>
      <c r="I2167">
        <v>47.531692</v>
      </c>
      <c r="J2167">
        <v>-122.03629100000001</v>
      </c>
      <c r="K2167" t="s">
        <v>3936</v>
      </c>
      <c r="L2167" t="s">
        <v>3946</v>
      </c>
      <c r="M2167" t="s">
        <v>5575</v>
      </c>
      <c r="P2167" t="s">
        <v>2840</v>
      </c>
    </row>
    <row r="2168" spans="1:16" x14ac:dyDescent="0.2">
      <c r="A2168" t="s">
        <v>2196</v>
      </c>
      <c r="B2168" t="s">
        <v>6232</v>
      </c>
      <c r="C2168" t="s">
        <v>2744</v>
      </c>
      <c r="D2168" t="s">
        <v>2307</v>
      </c>
      <c r="E2168">
        <v>98366</v>
      </c>
      <c r="F2168" t="s">
        <v>2197</v>
      </c>
      <c r="G2168" t="s">
        <v>1969</v>
      </c>
      <c r="H2168" t="s">
        <v>4546</v>
      </c>
      <c r="I2168">
        <v>47.519562000000001</v>
      </c>
      <c r="J2168">
        <v>-122.633956</v>
      </c>
      <c r="K2168" t="s">
        <v>3936</v>
      </c>
      <c r="L2168" t="s">
        <v>3946</v>
      </c>
      <c r="M2168" t="s">
        <v>5575</v>
      </c>
      <c r="P2168" t="s">
        <v>6032</v>
      </c>
    </row>
    <row r="2169" spans="1:16" x14ac:dyDescent="0.2">
      <c r="A2169" t="s">
        <v>2048</v>
      </c>
      <c r="B2169" t="s">
        <v>2841</v>
      </c>
      <c r="C2169" t="s">
        <v>2717</v>
      </c>
      <c r="D2169" t="s">
        <v>2307</v>
      </c>
      <c r="E2169">
        <v>98037</v>
      </c>
      <c r="F2169" t="s">
        <v>1573</v>
      </c>
      <c r="G2169" t="s">
        <v>2014</v>
      </c>
      <c r="H2169" t="s">
        <v>4547</v>
      </c>
      <c r="I2169">
        <v>47.849839000000003</v>
      </c>
      <c r="J2169">
        <v>-122.254442</v>
      </c>
      <c r="K2169" t="s">
        <v>3936</v>
      </c>
      <c r="L2169" t="s">
        <v>3946</v>
      </c>
      <c r="M2169" t="s">
        <v>5575</v>
      </c>
      <c r="P2169" t="s">
        <v>2841</v>
      </c>
    </row>
    <row r="2170" spans="1:16" x14ac:dyDescent="0.2">
      <c r="A2170" t="s">
        <v>2048</v>
      </c>
      <c r="B2170" t="s">
        <v>2842</v>
      </c>
      <c r="C2170" t="s">
        <v>2838</v>
      </c>
      <c r="D2170" t="s">
        <v>2307</v>
      </c>
      <c r="E2170">
        <v>98370</v>
      </c>
      <c r="F2170" t="s">
        <v>1573</v>
      </c>
      <c r="G2170" t="s">
        <v>2014</v>
      </c>
      <c r="H2170" t="s">
        <v>4548</v>
      </c>
      <c r="I2170">
        <v>47.701357000000002</v>
      </c>
      <c r="J2170">
        <v>-122.660403</v>
      </c>
      <c r="K2170" t="s">
        <v>3936</v>
      </c>
      <c r="L2170" t="s">
        <v>3946</v>
      </c>
      <c r="M2170" t="s">
        <v>5575</v>
      </c>
      <c r="P2170" t="s">
        <v>2842</v>
      </c>
    </row>
    <row r="2171" spans="1:16" x14ac:dyDescent="0.2">
      <c r="A2171" t="s">
        <v>2011</v>
      </c>
      <c r="B2171" t="s">
        <v>2843</v>
      </c>
      <c r="C2171" t="s">
        <v>2754</v>
      </c>
      <c r="D2171" t="s">
        <v>2307</v>
      </c>
      <c r="E2171">
        <v>98312</v>
      </c>
      <c r="F2171" t="s">
        <v>1573</v>
      </c>
      <c r="G2171" t="s">
        <v>1986</v>
      </c>
      <c r="H2171" t="s">
        <v>4549</v>
      </c>
      <c r="I2171">
        <v>47.569603000000001</v>
      </c>
      <c r="J2171">
        <v>-122.665685</v>
      </c>
      <c r="K2171" t="s">
        <v>3936</v>
      </c>
      <c r="L2171" t="s">
        <v>3946</v>
      </c>
      <c r="M2171" t="s">
        <v>5575</v>
      </c>
      <c r="P2171" t="s">
        <v>2843</v>
      </c>
    </row>
    <row r="2172" spans="1:16" x14ac:dyDescent="0.2">
      <c r="A2172" t="s">
        <v>2011</v>
      </c>
      <c r="B2172" t="s">
        <v>6338</v>
      </c>
      <c r="C2172" t="s">
        <v>2717</v>
      </c>
      <c r="D2172" t="s">
        <v>2307</v>
      </c>
      <c r="E2172">
        <v>98037</v>
      </c>
      <c r="F2172" t="s">
        <v>1573</v>
      </c>
      <c r="G2172" t="s">
        <v>1986</v>
      </c>
      <c r="H2172" t="s">
        <v>4550</v>
      </c>
      <c r="I2172">
        <v>47.849856000000003</v>
      </c>
      <c r="J2172">
        <v>-122.25031799999999</v>
      </c>
      <c r="K2172" t="s">
        <v>3936</v>
      </c>
      <c r="L2172" t="s">
        <v>3946</v>
      </c>
      <c r="M2172" t="s">
        <v>5575</v>
      </c>
      <c r="P2172" t="s">
        <v>6143</v>
      </c>
    </row>
    <row r="2173" spans="1:16" x14ac:dyDescent="0.2">
      <c r="A2173" t="s">
        <v>2059</v>
      </c>
      <c r="B2173" t="s">
        <v>2844</v>
      </c>
      <c r="C2173" t="s">
        <v>2717</v>
      </c>
      <c r="D2173" t="s">
        <v>2307</v>
      </c>
      <c r="E2173">
        <v>98087</v>
      </c>
      <c r="F2173" t="s">
        <v>1600</v>
      </c>
      <c r="G2173" t="s">
        <v>2063</v>
      </c>
      <c r="H2173" t="s">
        <v>5918</v>
      </c>
      <c r="I2173">
        <v>47.849583000000003</v>
      </c>
      <c r="J2173">
        <v>-122.250079</v>
      </c>
      <c r="K2173" t="s">
        <v>3936</v>
      </c>
      <c r="L2173" t="s">
        <v>3946</v>
      </c>
      <c r="M2173" t="s">
        <v>5575</v>
      </c>
      <c r="P2173" t="s">
        <v>2844</v>
      </c>
    </row>
    <row r="2174" spans="1:16" x14ac:dyDescent="0.2">
      <c r="A2174" t="s">
        <v>2198</v>
      </c>
      <c r="B2174" t="s">
        <v>2845</v>
      </c>
      <c r="C2174" t="s">
        <v>2830</v>
      </c>
      <c r="D2174" t="s">
        <v>2307</v>
      </c>
      <c r="E2174">
        <v>98198</v>
      </c>
      <c r="F2174" t="s">
        <v>1716</v>
      </c>
      <c r="G2174" t="s">
        <v>2000</v>
      </c>
      <c r="H2174" t="s">
        <v>4551</v>
      </c>
      <c r="I2174">
        <v>47.401716999999998</v>
      </c>
      <c r="J2174">
        <v>-122.324352</v>
      </c>
      <c r="K2174" t="s">
        <v>3936</v>
      </c>
      <c r="L2174" t="s">
        <v>3946</v>
      </c>
      <c r="M2174" t="s">
        <v>5575</v>
      </c>
      <c r="P2174" t="s">
        <v>2845</v>
      </c>
    </row>
    <row r="2175" spans="1:16" x14ac:dyDescent="0.2">
      <c r="A2175" t="s">
        <v>2199</v>
      </c>
      <c r="B2175" t="s">
        <v>6233</v>
      </c>
      <c r="C2175" t="s">
        <v>2717</v>
      </c>
      <c r="D2175" t="s">
        <v>2307</v>
      </c>
      <c r="E2175">
        <v>98087</v>
      </c>
      <c r="F2175" t="s">
        <v>1583</v>
      </c>
      <c r="G2175" t="s">
        <v>1980</v>
      </c>
      <c r="H2175" t="s">
        <v>5408</v>
      </c>
      <c r="I2175">
        <v>47.849558999999999</v>
      </c>
      <c r="J2175">
        <v>-122.248942</v>
      </c>
      <c r="K2175" t="s">
        <v>3936</v>
      </c>
      <c r="L2175" t="s">
        <v>3946</v>
      </c>
      <c r="M2175" t="s">
        <v>5575</v>
      </c>
      <c r="P2175" t="s">
        <v>6033</v>
      </c>
    </row>
    <row r="2176" spans="1:16" x14ac:dyDescent="0.2">
      <c r="A2176" t="s">
        <v>3952</v>
      </c>
      <c r="B2176" t="s">
        <v>2846</v>
      </c>
      <c r="C2176" t="s">
        <v>2744</v>
      </c>
      <c r="D2176" t="s">
        <v>2307</v>
      </c>
      <c r="E2176">
        <v>98366</v>
      </c>
      <c r="F2176" t="s">
        <v>1573</v>
      </c>
      <c r="G2176" t="s">
        <v>2014</v>
      </c>
      <c r="H2176" t="s">
        <v>4552</v>
      </c>
      <c r="I2176">
        <v>47.512801000000003</v>
      </c>
      <c r="J2176">
        <v>-122.63118900000001</v>
      </c>
      <c r="K2176" t="s">
        <v>3936</v>
      </c>
      <c r="L2176" t="s">
        <v>3946</v>
      </c>
      <c r="M2176" t="s">
        <v>5575</v>
      </c>
      <c r="P2176" t="s">
        <v>2846</v>
      </c>
    </row>
    <row r="2177" spans="1:16" x14ac:dyDescent="0.2">
      <c r="A2177" t="s">
        <v>2011</v>
      </c>
      <c r="B2177" t="s">
        <v>2847</v>
      </c>
      <c r="C2177" t="s">
        <v>2848</v>
      </c>
      <c r="D2177" t="s">
        <v>2307</v>
      </c>
      <c r="E2177">
        <v>98383</v>
      </c>
      <c r="F2177" t="s">
        <v>1573</v>
      </c>
      <c r="G2177" t="s">
        <v>1986</v>
      </c>
      <c r="H2177" t="s">
        <v>4553</v>
      </c>
      <c r="I2177">
        <v>47.650616999999997</v>
      </c>
      <c r="J2177">
        <v>-122.679558</v>
      </c>
      <c r="K2177" t="s">
        <v>3936</v>
      </c>
      <c r="L2177" t="s">
        <v>3946</v>
      </c>
      <c r="M2177" t="s">
        <v>5575</v>
      </c>
      <c r="P2177" t="s">
        <v>2847</v>
      </c>
    </row>
    <row r="2178" spans="1:16" x14ac:dyDescent="0.2">
      <c r="A2178" t="s">
        <v>2200</v>
      </c>
      <c r="B2178" t="s">
        <v>2849</v>
      </c>
      <c r="C2178" t="s">
        <v>2717</v>
      </c>
      <c r="D2178" t="s">
        <v>2307</v>
      </c>
      <c r="E2178">
        <v>98037</v>
      </c>
      <c r="F2178" t="s">
        <v>2044</v>
      </c>
      <c r="G2178" t="s">
        <v>2005</v>
      </c>
      <c r="H2178" t="s">
        <v>4554</v>
      </c>
      <c r="I2178">
        <v>47.849621999999997</v>
      </c>
      <c r="J2178">
        <v>-122.24028800000001</v>
      </c>
      <c r="K2178" t="s">
        <v>3936</v>
      </c>
      <c r="L2178" t="s">
        <v>3946</v>
      </c>
      <c r="M2178" t="s">
        <v>5575</v>
      </c>
      <c r="P2178" t="s">
        <v>2849</v>
      </c>
    </row>
    <row r="2179" spans="1:16" x14ac:dyDescent="0.2">
      <c r="A2179" t="s">
        <v>2015</v>
      </c>
      <c r="B2179" t="s">
        <v>2850</v>
      </c>
      <c r="C2179" t="s">
        <v>2780</v>
      </c>
      <c r="D2179" t="s">
        <v>2307</v>
      </c>
      <c r="E2179">
        <v>98032</v>
      </c>
      <c r="F2179" t="s">
        <v>1573</v>
      </c>
      <c r="G2179" t="s">
        <v>2071</v>
      </c>
      <c r="H2179" t="s">
        <v>5919</v>
      </c>
      <c r="I2179">
        <v>47.411878999999999</v>
      </c>
      <c r="J2179">
        <v>-122.227771</v>
      </c>
      <c r="K2179" t="s">
        <v>3936</v>
      </c>
      <c r="L2179" t="s">
        <v>3946</v>
      </c>
      <c r="M2179" t="s">
        <v>5575</v>
      </c>
      <c r="P2179" t="s">
        <v>2850</v>
      </c>
    </row>
    <row r="2180" spans="1:16" x14ac:dyDescent="0.2">
      <c r="A2180" t="s">
        <v>2011</v>
      </c>
      <c r="B2180" t="s">
        <v>2851</v>
      </c>
      <c r="C2180" t="s">
        <v>2780</v>
      </c>
      <c r="D2180" t="s">
        <v>2307</v>
      </c>
      <c r="E2180">
        <v>98031</v>
      </c>
      <c r="F2180" t="s">
        <v>1573</v>
      </c>
      <c r="G2180" t="s">
        <v>1986</v>
      </c>
      <c r="H2180" t="s">
        <v>4555</v>
      </c>
      <c r="I2180">
        <v>47.411920000000002</v>
      </c>
      <c r="J2180">
        <v>-122.227175</v>
      </c>
      <c r="K2180" t="s">
        <v>3936</v>
      </c>
      <c r="L2180" t="s">
        <v>3946</v>
      </c>
      <c r="M2180" t="s">
        <v>5575</v>
      </c>
      <c r="P2180" t="s">
        <v>2851</v>
      </c>
    </row>
    <row r="2181" spans="1:16" x14ac:dyDescent="0.2">
      <c r="A2181" t="s">
        <v>2007</v>
      </c>
      <c r="B2181" t="s">
        <v>2852</v>
      </c>
      <c r="C2181" t="s">
        <v>2838</v>
      </c>
      <c r="D2181" t="s">
        <v>2307</v>
      </c>
      <c r="E2181">
        <v>98370</v>
      </c>
      <c r="F2181" t="s">
        <v>1658</v>
      </c>
      <c r="G2181" t="s">
        <v>2008</v>
      </c>
      <c r="H2181" t="s">
        <v>5920</v>
      </c>
      <c r="I2181">
        <v>47.741140000000001</v>
      </c>
      <c r="J2181">
        <v>-122.64022</v>
      </c>
      <c r="K2181" t="s">
        <v>3936</v>
      </c>
      <c r="L2181" t="s">
        <v>3946</v>
      </c>
      <c r="M2181" t="s">
        <v>5575</v>
      </c>
      <c r="P2181" t="s">
        <v>2852</v>
      </c>
    </row>
    <row r="2182" spans="1:16" x14ac:dyDescent="0.2">
      <c r="A2182" t="s">
        <v>2059</v>
      </c>
      <c r="B2182" t="s">
        <v>2853</v>
      </c>
      <c r="C2182" t="s">
        <v>2830</v>
      </c>
      <c r="D2182" t="s">
        <v>2307</v>
      </c>
      <c r="E2182">
        <v>98198</v>
      </c>
      <c r="F2182" t="s">
        <v>1600</v>
      </c>
      <c r="G2182" t="s">
        <v>2135</v>
      </c>
      <c r="H2182" t="s">
        <v>5015</v>
      </c>
      <c r="I2182">
        <v>47.398736999999997</v>
      </c>
      <c r="J2182">
        <v>-122.324597</v>
      </c>
      <c r="K2182" t="s">
        <v>3936</v>
      </c>
      <c r="L2182" t="s">
        <v>3946</v>
      </c>
      <c r="M2182" t="s">
        <v>5575</v>
      </c>
      <c r="P2182" t="s">
        <v>2853</v>
      </c>
    </row>
    <row r="2183" spans="1:16" x14ac:dyDescent="0.2">
      <c r="A2183" t="s">
        <v>3955</v>
      </c>
      <c r="B2183" t="s">
        <v>2854</v>
      </c>
      <c r="C2183" t="s">
        <v>2855</v>
      </c>
      <c r="D2183" t="s">
        <v>2307</v>
      </c>
      <c r="E2183">
        <v>98383</v>
      </c>
      <c r="F2183" t="s">
        <v>1658</v>
      </c>
      <c r="G2183" t="s">
        <v>2125</v>
      </c>
      <c r="H2183" t="s">
        <v>5921</v>
      </c>
      <c r="I2183">
        <v>47.653978000000002</v>
      </c>
      <c r="J2183">
        <v>-122.68132799999999</v>
      </c>
      <c r="K2183" t="s">
        <v>3936</v>
      </c>
      <c r="L2183" t="s">
        <v>3946</v>
      </c>
      <c r="M2183" t="s">
        <v>5575</v>
      </c>
      <c r="P2183" t="s">
        <v>2854</v>
      </c>
    </row>
    <row r="2184" spans="1:16" x14ac:dyDescent="0.2">
      <c r="A2184" t="s">
        <v>2048</v>
      </c>
      <c r="B2184" t="s">
        <v>2856</v>
      </c>
      <c r="C2184" t="s">
        <v>2780</v>
      </c>
      <c r="D2184" t="s">
        <v>2307</v>
      </c>
      <c r="E2184">
        <v>98032</v>
      </c>
      <c r="F2184" t="s">
        <v>1573</v>
      </c>
      <c r="G2184" t="s">
        <v>2014</v>
      </c>
      <c r="H2184" t="s">
        <v>4556</v>
      </c>
      <c r="I2184">
        <v>47.410893999999999</v>
      </c>
      <c r="J2184">
        <v>-122.227777</v>
      </c>
      <c r="K2184" t="s">
        <v>3936</v>
      </c>
      <c r="L2184" t="s">
        <v>3946</v>
      </c>
      <c r="M2184" t="s">
        <v>5575</v>
      </c>
      <c r="P2184" t="s">
        <v>2856</v>
      </c>
    </row>
    <row r="2185" spans="1:16" x14ac:dyDescent="0.2">
      <c r="A2185" t="s">
        <v>2201</v>
      </c>
      <c r="B2185" t="s">
        <v>2857</v>
      </c>
      <c r="C2185" t="s">
        <v>2780</v>
      </c>
      <c r="D2185" t="s">
        <v>2307</v>
      </c>
      <c r="E2185">
        <v>98032</v>
      </c>
      <c r="F2185" t="s">
        <v>2146</v>
      </c>
      <c r="G2185" t="s">
        <v>2005</v>
      </c>
      <c r="H2185" t="s">
        <v>4557</v>
      </c>
      <c r="I2185">
        <v>47.410806999999998</v>
      </c>
      <c r="J2185">
        <v>-122.227778</v>
      </c>
      <c r="K2185" t="s">
        <v>3936</v>
      </c>
      <c r="L2185" t="s">
        <v>3946</v>
      </c>
      <c r="M2185" t="s">
        <v>5575</v>
      </c>
      <c r="P2185" t="s">
        <v>5692</v>
      </c>
    </row>
    <row r="2186" spans="1:16" x14ac:dyDescent="0.2">
      <c r="A2186" t="s">
        <v>5576</v>
      </c>
      <c r="B2186" t="s">
        <v>5590</v>
      </c>
      <c r="C2186" t="s">
        <v>2848</v>
      </c>
      <c r="D2186" t="s">
        <v>2307</v>
      </c>
      <c r="E2186">
        <v>98383</v>
      </c>
      <c r="F2186" t="s">
        <v>1573</v>
      </c>
      <c r="G2186" t="s">
        <v>5581</v>
      </c>
      <c r="H2186" t="s">
        <v>5922</v>
      </c>
      <c r="I2186">
        <v>47.650677000000002</v>
      </c>
      <c r="J2186">
        <v>-122.682424</v>
      </c>
      <c r="K2186" t="s">
        <v>3936</v>
      </c>
      <c r="L2186" t="s">
        <v>3946</v>
      </c>
      <c r="M2186" t="s">
        <v>5575</v>
      </c>
      <c r="P2186" t="s">
        <v>5590</v>
      </c>
    </row>
    <row r="2187" spans="1:16" x14ac:dyDescent="0.2">
      <c r="A2187" t="s">
        <v>2059</v>
      </c>
      <c r="B2187" t="s">
        <v>2858</v>
      </c>
      <c r="C2187" t="s">
        <v>2754</v>
      </c>
      <c r="D2187" t="s">
        <v>2307</v>
      </c>
      <c r="E2187">
        <v>98312</v>
      </c>
      <c r="F2187" t="s">
        <v>1573</v>
      </c>
      <c r="G2187" t="s">
        <v>2067</v>
      </c>
      <c r="H2187" t="s">
        <v>5923</v>
      </c>
      <c r="I2187">
        <v>47.568106999999998</v>
      </c>
      <c r="J2187">
        <v>-122.671543</v>
      </c>
      <c r="K2187" t="s">
        <v>3936</v>
      </c>
      <c r="L2187" t="s">
        <v>3946</v>
      </c>
      <c r="M2187" t="s">
        <v>5575</v>
      </c>
      <c r="P2187" t="s">
        <v>2858</v>
      </c>
    </row>
    <row r="2188" spans="1:16" x14ac:dyDescent="0.2">
      <c r="A2188" t="s">
        <v>2202</v>
      </c>
      <c r="B2188" t="s">
        <v>2859</v>
      </c>
      <c r="C2188" t="s">
        <v>2744</v>
      </c>
      <c r="D2188" t="s">
        <v>2307</v>
      </c>
      <c r="E2188">
        <v>98366</v>
      </c>
      <c r="F2188" t="s">
        <v>1583</v>
      </c>
      <c r="G2188" t="s">
        <v>1980</v>
      </c>
      <c r="H2188" t="s">
        <v>4558</v>
      </c>
      <c r="I2188">
        <v>47.504910000000002</v>
      </c>
      <c r="J2188">
        <v>-122.63150899999999</v>
      </c>
      <c r="K2188" t="s">
        <v>3936</v>
      </c>
      <c r="L2188" t="s">
        <v>3946</v>
      </c>
      <c r="M2188" t="s">
        <v>5575</v>
      </c>
      <c r="P2188" t="s">
        <v>2859</v>
      </c>
    </row>
    <row r="2189" spans="1:16" x14ac:dyDescent="0.2">
      <c r="A2189" t="s">
        <v>2011</v>
      </c>
      <c r="B2189" t="s">
        <v>2860</v>
      </c>
      <c r="C2189" t="s">
        <v>2785</v>
      </c>
      <c r="D2189" t="s">
        <v>2307</v>
      </c>
      <c r="E2189">
        <v>98029</v>
      </c>
      <c r="F2189" t="s">
        <v>1573</v>
      </c>
      <c r="G2189" t="s">
        <v>1986</v>
      </c>
      <c r="H2189" t="s">
        <v>4559</v>
      </c>
      <c r="I2189">
        <v>47.567480000000003</v>
      </c>
      <c r="J2189">
        <v>-122.006224</v>
      </c>
      <c r="K2189" t="s">
        <v>3936</v>
      </c>
      <c r="L2189" t="s">
        <v>3946</v>
      </c>
      <c r="M2189" t="s">
        <v>5575</v>
      </c>
      <c r="P2189" t="s">
        <v>2860</v>
      </c>
    </row>
    <row r="2190" spans="1:16" x14ac:dyDescent="0.2">
      <c r="A2190" t="s">
        <v>2011</v>
      </c>
      <c r="B2190" t="s">
        <v>6339</v>
      </c>
      <c r="C2190" t="s">
        <v>2780</v>
      </c>
      <c r="D2190" t="s">
        <v>2307</v>
      </c>
      <c r="E2190">
        <v>98031</v>
      </c>
      <c r="F2190" t="s">
        <v>1573</v>
      </c>
      <c r="G2190" t="s">
        <v>1986</v>
      </c>
      <c r="H2190" t="s">
        <v>4560</v>
      </c>
      <c r="I2190">
        <v>47.417006999999998</v>
      </c>
      <c r="J2190">
        <v>-122.196904</v>
      </c>
      <c r="K2190" t="s">
        <v>3936</v>
      </c>
      <c r="L2190" t="s">
        <v>3946</v>
      </c>
      <c r="M2190" t="s">
        <v>5575</v>
      </c>
      <c r="P2190" t="s">
        <v>6144</v>
      </c>
    </row>
    <row r="2191" spans="1:16" x14ac:dyDescent="0.2">
      <c r="A2191" t="s">
        <v>2203</v>
      </c>
      <c r="B2191" t="s">
        <v>6235</v>
      </c>
      <c r="C2191" t="s">
        <v>2861</v>
      </c>
      <c r="D2191" t="s">
        <v>2307</v>
      </c>
      <c r="E2191">
        <v>98012</v>
      </c>
      <c r="F2191" t="s">
        <v>1716</v>
      </c>
      <c r="G2191" t="s">
        <v>2005</v>
      </c>
      <c r="H2191" t="s">
        <v>4561</v>
      </c>
      <c r="I2191">
        <v>47.849297</v>
      </c>
      <c r="J2191">
        <v>-122.222024</v>
      </c>
      <c r="K2191" t="s">
        <v>3936</v>
      </c>
      <c r="L2191" t="s">
        <v>3946</v>
      </c>
      <c r="M2191" t="s">
        <v>5575</v>
      </c>
      <c r="P2191" t="s">
        <v>6035</v>
      </c>
    </row>
    <row r="2192" spans="1:16" x14ac:dyDescent="0.2">
      <c r="A2192" t="s">
        <v>2059</v>
      </c>
      <c r="B2192" t="s">
        <v>2862</v>
      </c>
      <c r="C2192" t="s">
        <v>2780</v>
      </c>
      <c r="D2192" t="s">
        <v>2307</v>
      </c>
      <c r="E2192">
        <v>98031</v>
      </c>
      <c r="F2192" t="s">
        <v>1600</v>
      </c>
      <c r="G2192" t="s">
        <v>2135</v>
      </c>
      <c r="H2192" t="s">
        <v>5278</v>
      </c>
      <c r="I2192">
        <v>47.41621</v>
      </c>
      <c r="J2192">
        <v>-122.19684599999999</v>
      </c>
      <c r="K2192" t="s">
        <v>3936</v>
      </c>
      <c r="L2192" t="s">
        <v>3946</v>
      </c>
      <c r="M2192" t="s">
        <v>5575</v>
      </c>
      <c r="P2192" t="s">
        <v>2862</v>
      </c>
    </row>
    <row r="2193" spans="1:16" x14ac:dyDescent="0.2">
      <c r="A2193" t="s">
        <v>2007</v>
      </c>
      <c r="B2193" t="s">
        <v>2863</v>
      </c>
      <c r="C2193" t="s">
        <v>2848</v>
      </c>
      <c r="D2193" t="s">
        <v>2307</v>
      </c>
      <c r="E2193">
        <v>98383</v>
      </c>
      <c r="F2193" t="s">
        <v>1658</v>
      </c>
      <c r="G2193" t="s">
        <v>2110</v>
      </c>
      <c r="H2193" t="s">
        <v>5924</v>
      </c>
      <c r="I2193">
        <v>47.661450000000002</v>
      </c>
      <c r="J2193">
        <v>-122.68526900000001</v>
      </c>
      <c r="K2193" t="s">
        <v>3936</v>
      </c>
      <c r="L2193" t="s">
        <v>3946</v>
      </c>
      <c r="M2193" t="s">
        <v>5575</v>
      </c>
      <c r="P2193" t="s">
        <v>2863</v>
      </c>
    </row>
    <row r="2194" spans="1:16" x14ac:dyDescent="0.2">
      <c r="A2194" t="s">
        <v>2012</v>
      </c>
      <c r="B2194" t="s">
        <v>2864</v>
      </c>
      <c r="C2194" t="s">
        <v>2785</v>
      </c>
      <c r="D2194" t="s">
        <v>2307</v>
      </c>
      <c r="E2194">
        <v>98029</v>
      </c>
      <c r="F2194" t="s">
        <v>1600</v>
      </c>
      <c r="G2194" t="s">
        <v>2005</v>
      </c>
      <c r="H2194" t="s">
        <v>4562</v>
      </c>
      <c r="I2194">
        <v>47.543384000000003</v>
      </c>
      <c r="J2194">
        <v>-122.01612</v>
      </c>
      <c r="K2194" t="s">
        <v>3936</v>
      </c>
      <c r="L2194" t="s">
        <v>3946</v>
      </c>
      <c r="M2194" t="s">
        <v>5575</v>
      </c>
      <c r="P2194" t="s">
        <v>5747</v>
      </c>
    </row>
    <row r="2195" spans="1:16" x14ac:dyDescent="0.2">
      <c r="A2195" t="s">
        <v>2059</v>
      </c>
      <c r="B2195" t="s">
        <v>2865</v>
      </c>
      <c r="C2195" t="s">
        <v>2848</v>
      </c>
      <c r="D2195" t="s">
        <v>2307</v>
      </c>
      <c r="E2195">
        <v>98383</v>
      </c>
      <c r="F2195" t="s">
        <v>1600</v>
      </c>
      <c r="G2195" t="s">
        <v>2063</v>
      </c>
      <c r="H2195" t="s">
        <v>5925</v>
      </c>
      <c r="I2195">
        <v>47.660699000000001</v>
      </c>
      <c r="J2195">
        <v>-122.685531</v>
      </c>
      <c r="K2195" t="s">
        <v>3936</v>
      </c>
      <c r="L2195" t="s">
        <v>3946</v>
      </c>
      <c r="M2195" t="s">
        <v>5575</v>
      </c>
      <c r="P2195" t="s">
        <v>2865</v>
      </c>
    </row>
    <row r="2196" spans="1:16" x14ac:dyDescent="0.2">
      <c r="A2196" t="s">
        <v>2011</v>
      </c>
      <c r="B2196" t="s">
        <v>2866</v>
      </c>
      <c r="C2196" t="s">
        <v>2785</v>
      </c>
      <c r="D2196" t="s">
        <v>2307</v>
      </c>
      <c r="E2196">
        <v>98027</v>
      </c>
      <c r="F2196" t="s">
        <v>1573</v>
      </c>
      <c r="G2196" t="s">
        <v>1986</v>
      </c>
      <c r="H2196" t="s">
        <v>4563</v>
      </c>
      <c r="I2196">
        <v>47.543478999999998</v>
      </c>
      <c r="J2196">
        <v>-122.01587600000001</v>
      </c>
      <c r="K2196" t="s">
        <v>3936</v>
      </c>
      <c r="L2196" t="s">
        <v>3946</v>
      </c>
      <c r="M2196" t="s">
        <v>5575</v>
      </c>
      <c r="P2196" t="s">
        <v>2866</v>
      </c>
    </row>
    <row r="2197" spans="1:16" x14ac:dyDescent="0.2">
      <c r="A2197" t="s">
        <v>2011</v>
      </c>
      <c r="B2197" t="s">
        <v>2867</v>
      </c>
      <c r="C2197" t="s">
        <v>2848</v>
      </c>
      <c r="D2197" t="s">
        <v>2307</v>
      </c>
      <c r="E2197">
        <v>98383</v>
      </c>
      <c r="F2197" t="s">
        <v>1573</v>
      </c>
      <c r="G2197" t="s">
        <v>1986</v>
      </c>
      <c r="H2197" t="s">
        <v>4564</v>
      </c>
      <c r="I2197">
        <v>47.660544999999999</v>
      </c>
      <c r="J2197">
        <v>-122.685192</v>
      </c>
      <c r="K2197" t="s">
        <v>3936</v>
      </c>
      <c r="L2197" t="s">
        <v>3946</v>
      </c>
      <c r="M2197" t="s">
        <v>5575</v>
      </c>
      <c r="P2197" t="s">
        <v>2867</v>
      </c>
    </row>
    <row r="2198" spans="1:16" x14ac:dyDescent="0.2">
      <c r="A2198" t="s">
        <v>1686</v>
      </c>
      <c r="B2198" t="s">
        <v>2868</v>
      </c>
      <c r="C2198" t="s">
        <v>2861</v>
      </c>
      <c r="D2198" t="s">
        <v>2307</v>
      </c>
      <c r="E2198">
        <v>98012</v>
      </c>
      <c r="F2198" t="s">
        <v>1573</v>
      </c>
      <c r="G2198" t="s">
        <v>2136</v>
      </c>
      <c r="H2198" t="s">
        <v>4565</v>
      </c>
      <c r="I2198">
        <v>47.850171000000003</v>
      </c>
      <c r="J2198">
        <v>-122.217973</v>
      </c>
      <c r="K2198" t="s">
        <v>3936</v>
      </c>
      <c r="L2198" t="s">
        <v>3946</v>
      </c>
      <c r="M2198" t="s">
        <v>5575</v>
      </c>
      <c r="P2198" t="s">
        <v>2868</v>
      </c>
    </row>
    <row r="2199" spans="1:16" x14ac:dyDescent="0.2">
      <c r="A2199" t="s">
        <v>2011</v>
      </c>
      <c r="B2199" t="s">
        <v>2869</v>
      </c>
      <c r="C2199" t="s">
        <v>2861</v>
      </c>
      <c r="D2199" t="s">
        <v>2307</v>
      </c>
      <c r="E2199">
        <v>98012</v>
      </c>
      <c r="F2199" t="s">
        <v>1573</v>
      </c>
      <c r="G2199" t="s">
        <v>1986</v>
      </c>
      <c r="H2199" t="s">
        <v>4566</v>
      </c>
      <c r="I2199">
        <v>47.850197999999999</v>
      </c>
      <c r="J2199">
        <v>-122.217984</v>
      </c>
      <c r="K2199" t="s">
        <v>3936</v>
      </c>
      <c r="L2199" t="s">
        <v>3946</v>
      </c>
      <c r="M2199" t="s">
        <v>5575</v>
      </c>
      <c r="P2199" t="s">
        <v>5733</v>
      </c>
    </row>
    <row r="2200" spans="1:16" x14ac:dyDescent="0.2">
      <c r="A2200" t="s">
        <v>2022</v>
      </c>
      <c r="B2200" t="s">
        <v>2870</v>
      </c>
      <c r="C2200" t="s">
        <v>2848</v>
      </c>
      <c r="D2200" t="s">
        <v>2307</v>
      </c>
      <c r="E2200">
        <v>98383</v>
      </c>
      <c r="F2200" t="s">
        <v>1573</v>
      </c>
      <c r="G2200" t="s">
        <v>2187</v>
      </c>
      <c r="H2200" t="s">
        <v>5926</v>
      </c>
      <c r="I2200">
        <v>47.656461999999998</v>
      </c>
      <c r="J2200">
        <v>-122.688008</v>
      </c>
      <c r="K2200" t="s">
        <v>3936</v>
      </c>
      <c r="L2200" t="s">
        <v>3946</v>
      </c>
      <c r="M2200" t="s">
        <v>5575</v>
      </c>
      <c r="P2200" t="s">
        <v>2870</v>
      </c>
    </row>
    <row r="2201" spans="1:16" x14ac:dyDescent="0.2">
      <c r="A2201" t="s">
        <v>3952</v>
      </c>
      <c r="B2201" t="s">
        <v>2871</v>
      </c>
      <c r="C2201" t="s">
        <v>2848</v>
      </c>
      <c r="D2201" t="s">
        <v>2307</v>
      </c>
      <c r="E2201">
        <v>98383</v>
      </c>
      <c r="F2201" t="s">
        <v>1573</v>
      </c>
      <c r="G2201" t="s">
        <v>2014</v>
      </c>
      <c r="H2201" t="s">
        <v>4567</v>
      </c>
      <c r="I2201">
        <v>47.650709999999997</v>
      </c>
      <c r="J2201">
        <v>-122.689233</v>
      </c>
      <c r="K2201" t="s">
        <v>3936</v>
      </c>
      <c r="L2201" t="s">
        <v>3946</v>
      </c>
      <c r="M2201" t="s">
        <v>5575</v>
      </c>
      <c r="P2201" t="s">
        <v>2871</v>
      </c>
    </row>
    <row r="2202" spans="1:16" x14ac:dyDescent="0.2">
      <c r="A2202" t="s">
        <v>3955</v>
      </c>
      <c r="B2202" t="s">
        <v>2872</v>
      </c>
      <c r="C2202" t="s">
        <v>2873</v>
      </c>
      <c r="D2202" t="s">
        <v>2307</v>
      </c>
      <c r="E2202">
        <v>98312</v>
      </c>
      <c r="F2202" t="s">
        <v>1658</v>
      </c>
      <c r="G2202" t="s">
        <v>2148</v>
      </c>
      <c r="H2202" t="s">
        <v>5927</v>
      </c>
      <c r="I2202">
        <v>47.569690999999999</v>
      </c>
      <c r="J2202">
        <v>-122.682479</v>
      </c>
      <c r="K2202" t="s">
        <v>3936</v>
      </c>
      <c r="L2202" t="s">
        <v>3946</v>
      </c>
      <c r="M2202" t="s">
        <v>5575</v>
      </c>
      <c r="P2202" t="s">
        <v>2872</v>
      </c>
    </row>
    <row r="2203" spans="1:16" x14ac:dyDescent="0.2">
      <c r="A2203" t="s">
        <v>2011</v>
      </c>
      <c r="B2203" t="s">
        <v>6340</v>
      </c>
      <c r="C2203" t="s">
        <v>2780</v>
      </c>
      <c r="D2203" t="s">
        <v>2307</v>
      </c>
      <c r="E2203">
        <v>98032</v>
      </c>
      <c r="F2203" t="s">
        <v>1573</v>
      </c>
      <c r="G2203" t="s">
        <v>1986</v>
      </c>
      <c r="H2203" t="s">
        <v>4568</v>
      </c>
      <c r="I2203">
        <v>47.393048</v>
      </c>
      <c r="J2203">
        <v>-122.295108</v>
      </c>
      <c r="K2203" t="s">
        <v>3936</v>
      </c>
      <c r="L2203" t="s">
        <v>3946</v>
      </c>
      <c r="M2203" t="s">
        <v>5575</v>
      </c>
      <c r="P2203" t="s">
        <v>6145</v>
      </c>
    </row>
    <row r="2204" spans="1:16" x14ac:dyDescent="0.2">
      <c r="A2204" t="s">
        <v>3952</v>
      </c>
      <c r="B2204" t="s">
        <v>2874</v>
      </c>
      <c r="C2204" t="s">
        <v>2780</v>
      </c>
      <c r="D2204" t="s">
        <v>2307</v>
      </c>
      <c r="E2204">
        <v>98032</v>
      </c>
      <c r="F2204" t="s">
        <v>1573</v>
      </c>
      <c r="G2204" t="s">
        <v>2014</v>
      </c>
      <c r="H2204" t="s">
        <v>4569</v>
      </c>
      <c r="I2204">
        <v>47.392955999999998</v>
      </c>
      <c r="J2204">
        <v>-122.295072</v>
      </c>
      <c r="K2204" t="s">
        <v>3936</v>
      </c>
      <c r="L2204" t="s">
        <v>3946</v>
      </c>
      <c r="M2204" t="s">
        <v>5575</v>
      </c>
      <c r="P2204" t="s">
        <v>2874</v>
      </c>
    </row>
    <row r="2205" spans="1:16" x14ac:dyDescent="0.2">
      <c r="A2205" t="s">
        <v>2124</v>
      </c>
      <c r="B2205" t="s">
        <v>2875</v>
      </c>
      <c r="C2205" t="s">
        <v>2780</v>
      </c>
      <c r="D2205" t="s">
        <v>2307</v>
      </c>
      <c r="E2205">
        <v>98032</v>
      </c>
      <c r="F2205" t="s">
        <v>1591</v>
      </c>
      <c r="G2205" t="s">
        <v>1969</v>
      </c>
      <c r="H2205" t="s">
        <v>5410</v>
      </c>
      <c r="I2205">
        <v>47.392364000000001</v>
      </c>
      <c r="J2205">
        <v>-122.295084</v>
      </c>
      <c r="K2205" t="s">
        <v>3936</v>
      </c>
      <c r="L2205" t="s">
        <v>3946</v>
      </c>
      <c r="M2205" t="s">
        <v>5575</v>
      </c>
      <c r="P2205" t="s">
        <v>2875</v>
      </c>
    </row>
    <row r="2206" spans="1:16" x14ac:dyDescent="0.2">
      <c r="A2206" t="s">
        <v>3955</v>
      </c>
      <c r="B2206" t="s">
        <v>2876</v>
      </c>
      <c r="C2206" t="s">
        <v>2877</v>
      </c>
      <c r="D2206" t="s">
        <v>2307</v>
      </c>
      <c r="E2206">
        <v>98367</v>
      </c>
      <c r="F2206" t="s">
        <v>1658</v>
      </c>
      <c r="G2206" t="s">
        <v>2128</v>
      </c>
      <c r="H2206" t="s">
        <v>5928</v>
      </c>
      <c r="I2206">
        <v>47.502811000000001</v>
      </c>
      <c r="J2206">
        <v>-122.64361100000001</v>
      </c>
      <c r="K2206" t="s">
        <v>3936</v>
      </c>
      <c r="L2206" t="s">
        <v>3946</v>
      </c>
      <c r="M2206" t="s">
        <v>5575</v>
      </c>
      <c r="P2206" t="s">
        <v>2876</v>
      </c>
    </row>
    <row r="2207" spans="1:16" x14ac:dyDescent="0.2">
      <c r="A2207" t="s">
        <v>5222</v>
      </c>
      <c r="B2207" t="s">
        <v>2878</v>
      </c>
      <c r="C2207" t="s">
        <v>2830</v>
      </c>
      <c r="D2207" t="s">
        <v>2307</v>
      </c>
      <c r="E2207">
        <v>98198</v>
      </c>
      <c r="F2207" t="s">
        <v>1583</v>
      </c>
      <c r="G2207" t="s">
        <v>1980</v>
      </c>
      <c r="H2207" t="s">
        <v>5548</v>
      </c>
      <c r="I2207">
        <v>47.389912000000002</v>
      </c>
      <c r="J2207">
        <v>-122.295821</v>
      </c>
      <c r="K2207" t="s">
        <v>3936</v>
      </c>
      <c r="L2207" t="s">
        <v>3946</v>
      </c>
      <c r="M2207" t="s">
        <v>5575</v>
      </c>
      <c r="P2207" t="s">
        <v>2878</v>
      </c>
    </row>
    <row r="2208" spans="1:16" x14ac:dyDescent="0.2">
      <c r="A2208" t="s">
        <v>2011</v>
      </c>
      <c r="B2208" t="s">
        <v>2879</v>
      </c>
      <c r="C2208" t="s">
        <v>2838</v>
      </c>
      <c r="D2208" t="s">
        <v>2307</v>
      </c>
      <c r="E2208">
        <v>98370</v>
      </c>
      <c r="F2208" t="s">
        <v>1573</v>
      </c>
      <c r="G2208" t="s">
        <v>1986</v>
      </c>
      <c r="H2208" t="s">
        <v>4571</v>
      </c>
      <c r="I2208">
        <v>47.743358999999998</v>
      </c>
      <c r="J2208">
        <v>-122.656457</v>
      </c>
      <c r="K2208" t="s">
        <v>3936</v>
      </c>
      <c r="L2208" t="s">
        <v>3946</v>
      </c>
      <c r="M2208" t="s">
        <v>5575</v>
      </c>
      <c r="P2208" t="s">
        <v>2879</v>
      </c>
    </row>
    <row r="2209" spans="1:16" x14ac:dyDescent="0.2">
      <c r="A2209" t="s">
        <v>2048</v>
      </c>
      <c r="B2209" t="s">
        <v>2880</v>
      </c>
      <c r="C2209" t="s">
        <v>2780</v>
      </c>
      <c r="D2209" t="s">
        <v>2307</v>
      </c>
      <c r="E2209">
        <v>98032</v>
      </c>
      <c r="F2209" t="s">
        <v>1573</v>
      </c>
      <c r="G2209" t="s">
        <v>2014</v>
      </c>
      <c r="H2209" t="s">
        <v>4572</v>
      </c>
      <c r="I2209">
        <v>47.386451000000001</v>
      </c>
      <c r="J2209">
        <v>-122.296559</v>
      </c>
      <c r="K2209" t="s">
        <v>3936</v>
      </c>
      <c r="L2209" t="s">
        <v>3946</v>
      </c>
      <c r="M2209" t="s">
        <v>5575</v>
      </c>
      <c r="P2209" t="s">
        <v>2880</v>
      </c>
    </row>
    <row r="2210" spans="1:16" x14ac:dyDescent="0.2">
      <c r="A2210" t="s">
        <v>2011</v>
      </c>
      <c r="B2210" t="s">
        <v>6341</v>
      </c>
      <c r="C2210" t="s">
        <v>2717</v>
      </c>
      <c r="D2210" t="s">
        <v>2307</v>
      </c>
      <c r="E2210">
        <v>98037</v>
      </c>
      <c r="F2210" t="s">
        <v>1573</v>
      </c>
      <c r="G2210" t="s">
        <v>1986</v>
      </c>
      <c r="H2210" t="s">
        <v>4573</v>
      </c>
      <c r="I2210">
        <v>47.874175999999999</v>
      </c>
      <c r="J2210">
        <v>-122.275352</v>
      </c>
      <c r="K2210" t="s">
        <v>3936</v>
      </c>
      <c r="L2210" t="s">
        <v>3946</v>
      </c>
      <c r="M2210" t="s">
        <v>5575</v>
      </c>
      <c r="P2210" t="s">
        <v>6147</v>
      </c>
    </row>
    <row r="2211" spans="1:16" x14ac:dyDescent="0.2">
      <c r="A2211" t="s">
        <v>2011</v>
      </c>
      <c r="B2211" t="s">
        <v>2881</v>
      </c>
      <c r="C2211" t="s">
        <v>2744</v>
      </c>
      <c r="D2211" t="s">
        <v>2307</v>
      </c>
      <c r="E2211">
        <v>98366</v>
      </c>
      <c r="F2211" t="s">
        <v>1573</v>
      </c>
      <c r="G2211" t="s">
        <v>1986</v>
      </c>
      <c r="H2211" t="s">
        <v>4574</v>
      </c>
      <c r="I2211">
        <v>47.495137999999997</v>
      </c>
      <c r="J2211">
        <v>-122.659271</v>
      </c>
      <c r="K2211" t="s">
        <v>3936</v>
      </c>
      <c r="L2211" t="s">
        <v>3946</v>
      </c>
      <c r="M2211" t="s">
        <v>5575</v>
      </c>
      <c r="P2211" t="s">
        <v>2881</v>
      </c>
    </row>
    <row r="2212" spans="1:16" x14ac:dyDescent="0.2">
      <c r="A2212" t="s">
        <v>2204</v>
      </c>
      <c r="B2212" t="s">
        <v>2882</v>
      </c>
      <c r="C2212" t="s">
        <v>2754</v>
      </c>
      <c r="D2212" t="s">
        <v>2307</v>
      </c>
      <c r="E2212">
        <v>98312</v>
      </c>
      <c r="F2212" t="s">
        <v>2044</v>
      </c>
      <c r="G2212" t="s">
        <v>2205</v>
      </c>
      <c r="H2212" t="s">
        <v>4575</v>
      </c>
      <c r="I2212">
        <v>47.579441000000003</v>
      </c>
      <c r="J2212">
        <v>-122.704031</v>
      </c>
      <c r="K2212" t="s">
        <v>3936</v>
      </c>
      <c r="L2212" t="s">
        <v>3946</v>
      </c>
      <c r="M2212" t="s">
        <v>5575</v>
      </c>
      <c r="P2212" t="s">
        <v>2882</v>
      </c>
    </row>
    <row r="2213" spans="1:16" x14ac:dyDescent="0.2">
      <c r="A2213" t="s">
        <v>2011</v>
      </c>
      <c r="B2213" t="s">
        <v>2883</v>
      </c>
      <c r="C2213" t="s">
        <v>2838</v>
      </c>
      <c r="D2213" t="s">
        <v>2307</v>
      </c>
      <c r="E2213">
        <v>98370</v>
      </c>
      <c r="F2213" t="s">
        <v>1573</v>
      </c>
      <c r="G2213" t="s">
        <v>1986</v>
      </c>
      <c r="H2213" t="s">
        <v>4576</v>
      </c>
      <c r="I2213">
        <v>47.759419000000001</v>
      </c>
      <c r="J2213">
        <v>-122.65934300000001</v>
      </c>
      <c r="K2213" t="s">
        <v>3936</v>
      </c>
      <c r="L2213" t="s">
        <v>3946</v>
      </c>
      <c r="M2213" t="s">
        <v>5575</v>
      </c>
      <c r="P2213" t="s">
        <v>2883</v>
      </c>
    </row>
    <row r="2214" spans="1:16" x14ac:dyDescent="0.2">
      <c r="A2214" t="s">
        <v>2011</v>
      </c>
      <c r="B2214" t="s">
        <v>2884</v>
      </c>
      <c r="C2214" t="s">
        <v>2838</v>
      </c>
      <c r="D2214" t="s">
        <v>2307</v>
      </c>
      <c r="E2214">
        <v>98370</v>
      </c>
      <c r="F2214" t="s">
        <v>1573</v>
      </c>
      <c r="G2214" t="s">
        <v>1986</v>
      </c>
      <c r="H2214" t="s">
        <v>4577</v>
      </c>
      <c r="I2214">
        <v>47.754640000000002</v>
      </c>
      <c r="J2214">
        <v>-122.66467</v>
      </c>
      <c r="K2214" t="s">
        <v>3936</v>
      </c>
      <c r="L2214" t="s">
        <v>3946</v>
      </c>
      <c r="M2214" t="s">
        <v>5575</v>
      </c>
      <c r="P2214" t="s">
        <v>2884</v>
      </c>
    </row>
    <row r="2215" spans="1:16" x14ac:dyDescent="0.2">
      <c r="A2215" t="s">
        <v>2007</v>
      </c>
      <c r="B2215" t="s">
        <v>2885</v>
      </c>
      <c r="C2215" t="s">
        <v>2780</v>
      </c>
      <c r="D2215" t="s">
        <v>2307</v>
      </c>
      <c r="E2215">
        <v>98032</v>
      </c>
      <c r="F2215" t="s">
        <v>1658</v>
      </c>
      <c r="G2215" t="s">
        <v>2110</v>
      </c>
      <c r="H2215" t="s">
        <v>5930</v>
      </c>
      <c r="I2215">
        <v>47.380257999999998</v>
      </c>
      <c r="J2215">
        <v>-122.285139</v>
      </c>
      <c r="K2215" t="s">
        <v>3936</v>
      </c>
      <c r="L2215" t="s">
        <v>3946</v>
      </c>
      <c r="M2215" t="s">
        <v>5575</v>
      </c>
      <c r="P2215" t="s">
        <v>2885</v>
      </c>
    </row>
    <row r="2216" spans="1:16" x14ac:dyDescent="0.2">
      <c r="A2216" t="s">
        <v>2048</v>
      </c>
      <c r="B2216" t="s">
        <v>2886</v>
      </c>
      <c r="C2216" t="s">
        <v>2780</v>
      </c>
      <c r="D2216" t="s">
        <v>2307</v>
      </c>
      <c r="E2216">
        <v>98032</v>
      </c>
      <c r="F2216" t="s">
        <v>1573</v>
      </c>
      <c r="G2216" t="s">
        <v>2014</v>
      </c>
      <c r="H2216" t="s">
        <v>4578</v>
      </c>
      <c r="I2216">
        <v>47.38129</v>
      </c>
      <c r="J2216">
        <v>-122.259348</v>
      </c>
      <c r="K2216" t="s">
        <v>3936</v>
      </c>
      <c r="L2216" t="s">
        <v>3946</v>
      </c>
      <c r="M2216" t="s">
        <v>5575</v>
      </c>
      <c r="P2216" t="s">
        <v>2886</v>
      </c>
    </row>
    <row r="2217" spans="1:16" x14ac:dyDescent="0.2">
      <c r="A2217" t="s">
        <v>2206</v>
      </c>
      <c r="B2217" t="s">
        <v>2887</v>
      </c>
      <c r="C2217" t="s">
        <v>2780</v>
      </c>
      <c r="D2217" t="s">
        <v>2307</v>
      </c>
      <c r="E2217">
        <v>98032</v>
      </c>
      <c r="F2217" t="s">
        <v>1602</v>
      </c>
      <c r="G2217" t="s">
        <v>1981</v>
      </c>
      <c r="H2217" t="s">
        <v>4579</v>
      </c>
      <c r="I2217">
        <v>47.380839000000002</v>
      </c>
      <c r="J2217">
        <v>-122.26030900000001</v>
      </c>
      <c r="K2217" t="s">
        <v>3936</v>
      </c>
      <c r="L2217" t="s">
        <v>3946</v>
      </c>
      <c r="M2217" t="s">
        <v>5575</v>
      </c>
      <c r="P2217" t="s">
        <v>2887</v>
      </c>
    </row>
    <row r="2218" spans="1:16" x14ac:dyDescent="0.2">
      <c r="A2218" t="s">
        <v>5576</v>
      </c>
      <c r="B2218" t="s">
        <v>5591</v>
      </c>
      <c r="C2218" t="s">
        <v>2780</v>
      </c>
      <c r="D2218" t="s">
        <v>2307</v>
      </c>
      <c r="E2218">
        <v>98032</v>
      </c>
      <c r="F2218" t="s">
        <v>1573</v>
      </c>
      <c r="G2218" t="s">
        <v>5584</v>
      </c>
      <c r="H2218" t="s">
        <v>5931</v>
      </c>
      <c r="I2218">
        <v>47.385129999999997</v>
      </c>
      <c r="J2218">
        <v>-122.235173</v>
      </c>
      <c r="K2218" t="s">
        <v>3936</v>
      </c>
      <c r="L2218" t="s">
        <v>3946</v>
      </c>
      <c r="M2218" t="s">
        <v>5575</v>
      </c>
      <c r="P2218" t="s">
        <v>5591</v>
      </c>
    </row>
    <row r="2219" spans="1:16" x14ac:dyDescent="0.2">
      <c r="A2219" t="s">
        <v>2011</v>
      </c>
      <c r="B2219" t="s">
        <v>6342</v>
      </c>
      <c r="C2219" t="s">
        <v>2780</v>
      </c>
      <c r="D2219" t="s">
        <v>2307</v>
      </c>
      <c r="E2219">
        <v>98032</v>
      </c>
      <c r="F2219" t="s">
        <v>1573</v>
      </c>
      <c r="G2219" t="s">
        <v>1986</v>
      </c>
      <c r="H2219" t="s">
        <v>4580</v>
      </c>
      <c r="I2219">
        <v>47.381368999999999</v>
      </c>
      <c r="J2219">
        <v>-122.254296</v>
      </c>
      <c r="K2219" t="s">
        <v>3936</v>
      </c>
      <c r="L2219" t="s">
        <v>3946</v>
      </c>
      <c r="M2219" t="s">
        <v>5575</v>
      </c>
      <c r="P2219" t="s">
        <v>6148</v>
      </c>
    </row>
    <row r="2220" spans="1:16" x14ac:dyDescent="0.2">
      <c r="A2220" t="s">
        <v>2011</v>
      </c>
      <c r="B2220" t="s">
        <v>6343</v>
      </c>
      <c r="C2220" t="s">
        <v>2888</v>
      </c>
      <c r="D2220" t="s">
        <v>2307</v>
      </c>
      <c r="E2220">
        <v>98290</v>
      </c>
      <c r="F2220" t="s">
        <v>1573</v>
      </c>
      <c r="G2220" t="s">
        <v>1986</v>
      </c>
      <c r="H2220" t="s">
        <v>4581</v>
      </c>
      <c r="I2220">
        <v>47.839027000000002</v>
      </c>
      <c r="J2220">
        <v>-122.123318</v>
      </c>
      <c r="K2220" t="s">
        <v>3936</v>
      </c>
      <c r="L2220" t="s">
        <v>3946</v>
      </c>
      <c r="M2220" t="s">
        <v>5575</v>
      </c>
      <c r="P2220" t="s">
        <v>6149</v>
      </c>
    </row>
    <row r="2221" spans="1:16" x14ac:dyDescent="0.2">
      <c r="A2221" t="s">
        <v>2015</v>
      </c>
      <c r="B2221" t="s">
        <v>2889</v>
      </c>
      <c r="C2221" t="s">
        <v>2780</v>
      </c>
      <c r="D2221" t="s">
        <v>2307</v>
      </c>
      <c r="E2221">
        <v>98032</v>
      </c>
      <c r="F2221" t="s">
        <v>1573</v>
      </c>
      <c r="G2221" t="s">
        <v>2016</v>
      </c>
      <c r="H2221" t="s">
        <v>5932</v>
      </c>
      <c r="I2221">
        <v>47.381450999999998</v>
      </c>
      <c r="J2221">
        <v>-122.24981200000001</v>
      </c>
      <c r="K2221" t="s">
        <v>3936</v>
      </c>
      <c r="L2221" t="s">
        <v>3946</v>
      </c>
      <c r="M2221" t="s">
        <v>5575</v>
      </c>
      <c r="P2221" t="s">
        <v>2889</v>
      </c>
    </row>
    <row r="2222" spans="1:16" x14ac:dyDescent="0.2">
      <c r="A2222" t="s">
        <v>2208</v>
      </c>
      <c r="B2222" t="s">
        <v>2890</v>
      </c>
      <c r="C2222" t="s">
        <v>2780</v>
      </c>
      <c r="D2222" t="s">
        <v>2307</v>
      </c>
      <c r="E2222">
        <v>98032</v>
      </c>
      <c r="F2222" t="s">
        <v>1600</v>
      </c>
      <c r="G2222" t="s">
        <v>1995</v>
      </c>
      <c r="H2222" t="s">
        <v>4582</v>
      </c>
      <c r="I2222">
        <v>47.381501999999998</v>
      </c>
      <c r="J2222">
        <v>-122.247237</v>
      </c>
      <c r="K2222" t="s">
        <v>3936</v>
      </c>
      <c r="L2222" t="s">
        <v>3946</v>
      </c>
      <c r="M2222" t="s">
        <v>5575</v>
      </c>
      <c r="P2222" t="s">
        <v>2890</v>
      </c>
    </row>
    <row r="2223" spans="1:16" x14ac:dyDescent="0.2">
      <c r="A2223" t="s">
        <v>3953</v>
      </c>
      <c r="B2223" t="s">
        <v>2890</v>
      </c>
      <c r="C2223" t="s">
        <v>2780</v>
      </c>
      <c r="D2223" t="s">
        <v>2307</v>
      </c>
      <c r="E2223">
        <v>98032</v>
      </c>
      <c r="F2223" t="s">
        <v>1600</v>
      </c>
      <c r="G2223" t="s">
        <v>2207</v>
      </c>
      <c r="H2223" t="s">
        <v>5105</v>
      </c>
      <c r="I2223">
        <v>47.381501999999998</v>
      </c>
      <c r="J2223">
        <v>-122.247237</v>
      </c>
      <c r="K2223" t="s">
        <v>3936</v>
      </c>
      <c r="L2223" t="s">
        <v>3946</v>
      </c>
      <c r="M2223" t="s">
        <v>5575</v>
      </c>
      <c r="P2223" t="s">
        <v>2890</v>
      </c>
    </row>
    <row r="2224" spans="1:16" x14ac:dyDescent="0.2">
      <c r="A2224" t="s">
        <v>2209</v>
      </c>
      <c r="B2224" t="s">
        <v>2891</v>
      </c>
      <c r="C2224" t="s">
        <v>2780</v>
      </c>
      <c r="D2224" t="s">
        <v>2307</v>
      </c>
      <c r="E2224">
        <v>98032</v>
      </c>
      <c r="F2224" t="s">
        <v>1716</v>
      </c>
      <c r="G2224" t="s">
        <v>1981</v>
      </c>
      <c r="H2224" t="s">
        <v>4583</v>
      </c>
      <c r="I2224">
        <v>47.384341999999997</v>
      </c>
      <c r="J2224">
        <v>-122.231289</v>
      </c>
      <c r="K2224" t="s">
        <v>3936</v>
      </c>
      <c r="L2224" t="s">
        <v>3946</v>
      </c>
      <c r="M2224" t="s">
        <v>5575</v>
      </c>
      <c r="P2224" t="s">
        <v>2891</v>
      </c>
    </row>
    <row r="2225" spans="1:16" x14ac:dyDescent="0.2">
      <c r="A2225" t="s">
        <v>2101</v>
      </c>
      <c r="B2225" t="s">
        <v>2892</v>
      </c>
      <c r="C2225" t="s">
        <v>2780</v>
      </c>
      <c r="D2225" t="s">
        <v>2307</v>
      </c>
      <c r="E2225">
        <v>98030</v>
      </c>
      <c r="F2225" t="s">
        <v>1600</v>
      </c>
      <c r="G2225" t="s">
        <v>2102</v>
      </c>
      <c r="H2225" t="s">
        <v>5106</v>
      </c>
      <c r="I2225">
        <v>47.383367999999997</v>
      </c>
      <c r="J2225">
        <v>-122.23015599999999</v>
      </c>
      <c r="K2225" t="s">
        <v>3936</v>
      </c>
      <c r="L2225" t="s">
        <v>3946</v>
      </c>
      <c r="M2225" t="s">
        <v>5575</v>
      </c>
      <c r="P2225" t="s">
        <v>2892</v>
      </c>
    </row>
    <row r="2226" spans="1:16" x14ac:dyDescent="0.2">
      <c r="A2226" t="s">
        <v>2059</v>
      </c>
      <c r="B2226" t="s">
        <v>2893</v>
      </c>
      <c r="C2226" t="s">
        <v>2780</v>
      </c>
      <c r="D2226" t="s">
        <v>2307</v>
      </c>
      <c r="E2226">
        <v>98032</v>
      </c>
      <c r="F2226" t="s">
        <v>1600</v>
      </c>
      <c r="G2226" t="s">
        <v>2135</v>
      </c>
      <c r="H2226" t="s">
        <v>5933</v>
      </c>
      <c r="I2226">
        <v>47.382730000000002</v>
      </c>
      <c r="J2226">
        <v>-122.231191</v>
      </c>
      <c r="K2226" t="s">
        <v>3936</v>
      </c>
      <c r="L2226" t="s">
        <v>3946</v>
      </c>
      <c r="M2226" t="s">
        <v>5575</v>
      </c>
      <c r="P2226" t="s">
        <v>2893</v>
      </c>
    </row>
    <row r="2227" spans="1:16" x14ac:dyDescent="0.2">
      <c r="A2227" t="s">
        <v>2011</v>
      </c>
      <c r="B2227" t="s">
        <v>2894</v>
      </c>
      <c r="C2227" t="s">
        <v>2848</v>
      </c>
      <c r="D2227" t="s">
        <v>2307</v>
      </c>
      <c r="E2227">
        <v>98315</v>
      </c>
      <c r="F2227" t="s">
        <v>1573</v>
      </c>
      <c r="G2227" t="s">
        <v>1986</v>
      </c>
      <c r="H2227" t="s">
        <v>4584</v>
      </c>
      <c r="I2227">
        <v>47.689438000000003</v>
      </c>
      <c r="J2227">
        <v>-122.712112</v>
      </c>
      <c r="K2227" t="s">
        <v>3936</v>
      </c>
      <c r="L2227" t="s">
        <v>3946</v>
      </c>
      <c r="M2227" t="s">
        <v>5575</v>
      </c>
      <c r="P2227" t="s">
        <v>2894</v>
      </c>
    </row>
    <row r="2228" spans="1:16" x14ac:dyDescent="0.2">
      <c r="A2228" t="s">
        <v>2210</v>
      </c>
      <c r="B2228" t="s">
        <v>2895</v>
      </c>
      <c r="C2228" t="s">
        <v>2780</v>
      </c>
      <c r="D2228" t="s">
        <v>2307</v>
      </c>
      <c r="E2228">
        <v>98032</v>
      </c>
      <c r="F2228" t="s">
        <v>1583</v>
      </c>
      <c r="G2228" t="s">
        <v>1980</v>
      </c>
      <c r="H2228" t="s">
        <v>5411</v>
      </c>
      <c r="I2228">
        <v>47.381335999999997</v>
      </c>
      <c r="J2228">
        <v>-122.237196</v>
      </c>
      <c r="K2228" t="s">
        <v>3936</v>
      </c>
      <c r="L2228" t="s">
        <v>3946</v>
      </c>
      <c r="M2228" t="s">
        <v>5575</v>
      </c>
      <c r="P2228" t="s">
        <v>5694</v>
      </c>
    </row>
    <row r="2229" spans="1:16" x14ac:dyDescent="0.2">
      <c r="A2229" t="s">
        <v>2011</v>
      </c>
      <c r="B2229" t="s">
        <v>2896</v>
      </c>
      <c r="C2229" t="s">
        <v>2897</v>
      </c>
      <c r="D2229" t="s">
        <v>2307</v>
      </c>
      <c r="E2229">
        <v>98019</v>
      </c>
      <c r="F2229" t="s">
        <v>1573</v>
      </c>
      <c r="G2229" t="s">
        <v>1986</v>
      </c>
      <c r="H2229" t="s">
        <v>4585</v>
      </c>
      <c r="I2229">
        <v>47.733400000000003</v>
      </c>
      <c r="J2229">
        <v>-121.98712999999999</v>
      </c>
      <c r="K2229" t="s">
        <v>3936</v>
      </c>
      <c r="L2229" t="s">
        <v>3946</v>
      </c>
      <c r="M2229" t="s">
        <v>5575</v>
      </c>
      <c r="P2229" t="s">
        <v>2896</v>
      </c>
    </row>
    <row r="2230" spans="1:16" x14ac:dyDescent="0.2">
      <c r="A2230" t="s">
        <v>2059</v>
      </c>
      <c r="B2230" t="s">
        <v>2898</v>
      </c>
      <c r="C2230" t="s">
        <v>2780</v>
      </c>
      <c r="D2230" t="s">
        <v>2307</v>
      </c>
      <c r="E2230">
        <v>98031</v>
      </c>
      <c r="F2230" t="s">
        <v>1600</v>
      </c>
      <c r="G2230" t="s">
        <v>2063</v>
      </c>
      <c r="H2230" t="s">
        <v>5934</v>
      </c>
      <c r="I2230">
        <v>47.387970000000003</v>
      </c>
      <c r="J2230">
        <v>-122.202263</v>
      </c>
      <c r="K2230" t="s">
        <v>3936</v>
      </c>
      <c r="L2230" t="s">
        <v>3946</v>
      </c>
      <c r="M2230" t="s">
        <v>5575</v>
      </c>
      <c r="P2230" t="s">
        <v>2898</v>
      </c>
    </row>
    <row r="2231" spans="1:16" x14ac:dyDescent="0.2">
      <c r="A2231" t="s">
        <v>2048</v>
      </c>
      <c r="B2231" t="s">
        <v>2899</v>
      </c>
      <c r="C2231" t="s">
        <v>2900</v>
      </c>
      <c r="D2231" t="s">
        <v>2307</v>
      </c>
      <c r="E2231">
        <v>98204</v>
      </c>
      <c r="F2231" t="s">
        <v>1573</v>
      </c>
      <c r="G2231" t="s">
        <v>2014</v>
      </c>
      <c r="H2231" t="s">
        <v>4586</v>
      </c>
      <c r="I2231">
        <v>47.882043000000003</v>
      </c>
      <c r="J2231">
        <v>-122.243004</v>
      </c>
      <c r="K2231" t="s">
        <v>3936</v>
      </c>
      <c r="L2231" t="s">
        <v>3946</v>
      </c>
      <c r="M2231" t="s">
        <v>5575</v>
      </c>
      <c r="P2231" t="s">
        <v>2899</v>
      </c>
    </row>
    <row r="2232" spans="1:16" x14ac:dyDescent="0.2">
      <c r="A2232" t="s">
        <v>2011</v>
      </c>
      <c r="B2232" t="s">
        <v>2901</v>
      </c>
      <c r="C2232" t="s">
        <v>2780</v>
      </c>
      <c r="D2232" t="s">
        <v>2307</v>
      </c>
      <c r="E2232">
        <v>98031</v>
      </c>
      <c r="F2232" t="s">
        <v>1573</v>
      </c>
      <c r="G2232" t="s">
        <v>1986</v>
      </c>
      <c r="H2232" t="s">
        <v>4587</v>
      </c>
      <c r="I2232">
        <v>47.386811000000002</v>
      </c>
      <c r="J2232">
        <v>-122.19929999999999</v>
      </c>
      <c r="K2232" t="s">
        <v>3936</v>
      </c>
      <c r="L2232" t="s">
        <v>3946</v>
      </c>
      <c r="M2232" t="s">
        <v>5575</v>
      </c>
      <c r="P2232" t="s">
        <v>2901</v>
      </c>
    </row>
    <row r="2233" spans="1:16" x14ac:dyDescent="0.2">
      <c r="A2233" t="s">
        <v>3952</v>
      </c>
      <c r="B2233" t="s">
        <v>2902</v>
      </c>
      <c r="C2233" t="s">
        <v>2900</v>
      </c>
      <c r="D2233" t="s">
        <v>2307</v>
      </c>
      <c r="E2233">
        <v>98204</v>
      </c>
      <c r="F2233" t="s">
        <v>1573</v>
      </c>
      <c r="G2233" t="s">
        <v>2014</v>
      </c>
      <c r="H2233" t="s">
        <v>4588</v>
      </c>
      <c r="I2233">
        <v>47.882083999999999</v>
      </c>
      <c r="J2233">
        <v>-122.23945000000001</v>
      </c>
      <c r="K2233" t="s">
        <v>3936</v>
      </c>
      <c r="L2233" t="s">
        <v>3946</v>
      </c>
      <c r="M2233" t="s">
        <v>5575</v>
      </c>
      <c r="P2233" t="s">
        <v>2902</v>
      </c>
    </row>
    <row r="2234" spans="1:16" x14ac:dyDescent="0.2">
      <c r="A2234" t="s">
        <v>2007</v>
      </c>
      <c r="B2234" t="s">
        <v>2903</v>
      </c>
      <c r="C2234" t="s">
        <v>2897</v>
      </c>
      <c r="D2234" t="s">
        <v>2307</v>
      </c>
      <c r="E2234">
        <v>98019</v>
      </c>
      <c r="F2234" t="s">
        <v>1658</v>
      </c>
      <c r="G2234" t="s">
        <v>2066</v>
      </c>
      <c r="H2234" t="s">
        <v>5935</v>
      </c>
      <c r="I2234">
        <v>47.738308000000004</v>
      </c>
      <c r="J2234">
        <v>-121.98716</v>
      </c>
      <c r="K2234" t="s">
        <v>3936</v>
      </c>
      <c r="L2234" t="s">
        <v>3946</v>
      </c>
      <c r="M2234" t="s">
        <v>5575</v>
      </c>
      <c r="P2234" t="s">
        <v>2903</v>
      </c>
    </row>
    <row r="2235" spans="1:16" x14ac:dyDescent="0.2">
      <c r="A2235" t="s">
        <v>2018</v>
      </c>
      <c r="B2235" t="s">
        <v>2904</v>
      </c>
      <c r="C2235" t="s">
        <v>2861</v>
      </c>
      <c r="D2235" t="s">
        <v>2307</v>
      </c>
      <c r="E2235">
        <v>98012</v>
      </c>
      <c r="F2235" t="s">
        <v>2019</v>
      </c>
      <c r="G2235" t="s">
        <v>1991</v>
      </c>
      <c r="H2235" t="s">
        <v>4970</v>
      </c>
      <c r="I2235">
        <v>47.876410999999997</v>
      </c>
      <c r="J2235">
        <v>-122.21262</v>
      </c>
      <c r="K2235" t="s">
        <v>3936</v>
      </c>
      <c r="L2235" t="s">
        <v>3946</v>
      </c>
      <c r="M2235" t="s">
        <v>5575</v>
      </c>
      <c r="P2235" t="s">
        <v>2904</v>
      </c>
    </row>
    <row r="2236" spans="1:16" x14ac:dyDescent="0.2">
      <c r="A2236" t="s">
        <v>3954</v>
      </c>
      <c r="B2236" t="s">
        <v>2905</v>
      </c>
      <c r="C2236" t="s">
        <v>2900</v>
      </c>
      <c r="D2236" t="s">
        <v>2307</v>
      </c>
      <c r="E2236">
        <v>98204</v>
      </c>
      <c r="F2236" t="s">
        <v>1600</v>
      </c>
      <c r="G2236" t="s">
        <v>2159</v>
      </c>
      <c r="H2236" t="s">
        <v>5936</v>
      </c>
      <c r="I2236">
        <v>47.882083000000002</v>
      </c>
      <c r="J2236">
        <v>-122.23686600000001</v>
      </c>
      <c r="K2236" t="s">
        <v>3936</v>
      </c>
      <c r="L2236" t="s">
        <v>3946</v>
      </c>
      <c r="M2236" t="s">
        <v>5575</v>
      </c>
      <c r="P2236" t="s">
        <v>2905</v>
      </c>
    </row>
    <row r="2237" spans="1:16" x14ac:dyDescent="0.2">
      <c r="A2237" t="s">
        <v>3955</v>
      </c>
      <c r="B2237" t="s">
        <v>2906</v>
      </c>
      <c r="C2237" t="s">
        <v>2907</v>
      </c>
      <c r="D2237" t="s">
        <v>2307</v>
      </c>
      <c r="E2237">
        <v>98204</v>
      </c>
      <c r="F2237" t="s">
        <v>1658</v>
      </c>
      <c r="G2237" t="s">
        <v>2128</v>
      </c>
      <c r="H2237" t="s">
        <v>5937</v>
      </c>
      <c r="I2237">
        <v>47.881813999999999</v>
      </c>
      <c r="J2237">
        <v>-122.236906</v>
      </c>
      <c r="K2237" t="s">
        <v>3936</v>
      </c>
      <c r="L2237" t="s">
        <v>3946</v>
      </c>
      <c r="M2237" t="s">
        <v>5575</v>
      </c>
      <c r="P2237" t="s">
        <v>2906</v>
      </c>
    </row>
    <row r="2238" spans="1:16" x14ac:dyDescent="0.2">
      <c r="A2238" t="s">
        <v>2211</v>
      </c>
      <c r="B2238" t="s">
        <v>2908</v>
      </c>
      <c r="C2238" t="s">
        <v>2861</v>
      </c>
      <c r="D2238" t="s">
        <v>2307</v>
      </c>
      <c r="E2238">
        <v>98012</v>
      </c>
      <c r="F2238" t="s">
        <v>1591</v>
      </c>
      <c r="G2238" t="s">
        <v>1969</v>
      </c>
      <c r="H2238" t="s">
        <v>4955</v>
      </c>
      <c r="I2238">
        <v>47.876497000000001</v>
      </c>
      <c r="J2238">
        <v>-122.212519</v>
      </c>
      <c r="K2238" t="s">
        <v>3936</v>
      </c>
      <c r="L2238" t="s">
        <v>3946</v>
      </c>
      <c r="M2238" t="s">
        <v>5575</v>
      </c>
      <c r="P2238" t="s">
        <v>5671</v>
      </c>
    </row>
    <row r="2239" spans="1:16" x14ac:dyDescent="0.2">
      <c r="A2239" t="s">
        <v>2011</v>
      </c>
      <c r="B2239" t="s">
        <v>6344</v>
      </c>
      <c r="C2239" t="s">
        <v>2900</v>
      </c>
      <c r="D2239" t="s">
        <v>2307</v>
      </c>
      <c r="E2239">
        <v>98204</v>
      </c>
      <c r="F2239" t="s">
        <v>1573</v>
      </c>
      <c r="G2239" t="s">
        <v>1986</v>
      </c>
      <c r="H2239" t="s">
        <v>4589</v>
      </c>
      <c r="I2239">
        <v>47.882705000000001</v>
      </c>
      <c r="J2239">
        <v>-122.238606</v>
      </c>
      <c r="K2239" t="s">
        <v>3936</v>
      </c>
      <c r="L2239" t="s">
        <v>3946</v>
      </c>
      <c r="M2239" t="s">
        <v>5575</v>
      </c>
      <c r="P2239" t="s">
        <v>6150</v>
      </c>
    </row>
    <row r="2240" spans="1:16" x14ac:dyDescent="0.2">
      <c r="A2240" t="s">
        <v>2212</v>
      </c>
      <c r="B2240" t="s">
        <v>2909</v>
      </c>
      <c r="C2240" t="s">
        <v>2897</v>
      </c>
      <c r="D2240" t="s">
        <v>2307</v>
      </c>
      <c r="E2240">
        <v>98019</v>
      </c>
      <c r="F2240" t="s">
        <v>2019</v>
      </c>
      <c r="G2240" t="s">
        <v>2005</v>
      </c>
      <c r="H2240" t="s">
        <v>5412</v>
      </c>
      <c r="I2240">
        <v>47.740357000000003</v>
      </c>
      <c r="J2240">
        <v>-121.986372</v>
      </c>
      <c r="K2240" t="s">
        <v>3936</v>
      </c>
      <c r="L2240" t="s">
        <v>3946</v>
      </c>
      <c r="M2240" t="s">
        <v>5575</v>
      </c>
      <c r="P2240" t="s">
        <v>2909</v>
      </c>
    </row>
    <row r="2241" spans="1:16" x14ac:dyDescent="0.2">
      <c r="A2241" t="s">
        <v>2048</v>
      </c>
      <c r="B2241" t="s">
        <v>2910</v>
      </c>
      <c r="C2241" t="s">
        <v>2911</v>
      </c>
      <c r="D2241" t="s">
        <v>2307</v>
      </c>
      <c r="E2241">
        <v>98275</v>
      </c>
      <c r="F2241" t="s">
        <v>1573</v>
      </c>
      <c r="G2241" t="s">
        <v>2014</v>
      </c>
      <c r="H2241" t="s">
        <v>4590</v>
      </c>
      <c r="I2241">
        <v>47.889836000000003</v>
      </c>
      <c r="J2241">
        <v>-122.285811</v>
      </c>
      <c r="K2241" t="s">
        <v>3936</v>
      </c>
      <c r="L2241" t="s">
        <v>3946</v>
      </c>
      <c r="M2241" t="s">
        <v>5575</v>
      </c>
      <c r="P2241" t="s">
        <v>2910</v>
      </c>
    </row>
    <row r="2242" spans="1:16" x14ac:dyDescent="0.2">
      <c r="A2242" t="s">
        <v>2059</v>
      </c>
      <c r="B2242" t="s">
        <v>2912</v>
      </c>
      <c r="C2242" t="s">
        <v>2900</v>
      </c>
      <c r="D2242" t="s">
        <v>2307</v>
      </c>
      <c r="E2242">
        <v>98208</v>
      </c>
      <c r="F2242" t="s">
        <v>1600</v>
      </c>
      <c r="G2242" t="s">
        <v>2135</v>
      </c>
      <c r="H2242" t="s">
        <v>5938</v>
      </c>
      <c r="I2242">
        <v>47.878315000000001</v>
      </c>
      <c r="J2242">
        <v>-122.212914</v>
      </c>
      <c r="K2242" t="s">
        <v>3936</v>
      </c>
      <c r="L2242" t="s">
        <v>3946</v>
      </c>
      <c r="M2242" t="s">
        <v>5575</v>
      </c>
      <c r="P2242" t="s">
        <v>2912</v>
      </c>
    </row>
    <row r="2243" spans="1:16" x14ac:dyDescent="0.2">
      <c r="A2243" t="s">
        <v>2059</v>
      </c>
      <c r="B2243" t="s">
        <v>2913</v>
      </c>
      <c r="C2243" t="s">
        <v>2914</v>
      </c>
      <c r="D2243" t="s">
        <v>2307</v>
      </c>
      <c r="E2243">
        <v>98275</v>
      </c>
      <c r="F2243" t="s">
        <v>1600</v>
      </c>
      <c r="G2243" t="s">
        <v>2060</v>
      </c>
      <c r="H2243" t="s">
        <v>5939</v>
      </c>
      <c r="I2243">
        <v>47.891323999999997</v>
      </c>
      <c r="J2243">
        <v>-122.286288</v>
      </c>
      <c r="K2243" t="s">
        <v>3936</v>
      </c>
      <c r="L2243" t="s">
        <v>3946</v>
      </c>
      <c r="M2243" t="s">
        <v>5575</v>
      </c>
      <c r="P2243" t="s">
        <v>2913</v>
      </c>
    </row>
    <row r="2244" spans="1:16" x14ac:dyDescent="0.2">
      <c r="A2244" t="s">
        <v>2119</v>
      </c>
      <c r="B2244" t="s">
        <v>2915</v>
      </c>
      <c r="C2244" t="s">
        <v>2861</v>
      </c>
      <c r="D2244" t="s">
        <v>2307</v>
      </c>
      <c r="E2244">
        <v>98012</v>
      </c>
      <c r="F2244" t="s">
        <v>1600</v>
      </c>
      <c r="G2244" t="s">
        <v>2107</v>
      </c>
      <c r="H2244" t="s">
        <v>5940</v>
      </c>
      <c r="I2244">
        <v>47.878034999999997</v>
      </c>
      <c r="J2244">
        <v>-122.205235</v>
      </c>
      <c r="K2244" t="s">
        <v>3936</v>
      </c>
      <c r="L2244" t="s">
        <v>3946</v>
      </c>
      <c r="M2244" t="s">
        <v>5575</v>
      </c>
      <c r="P2244" t="s">
        <v>2915</v>
      </c>
    </row>
    <row r="2245" spans="1:16" x14ac:dyDescent="0.2">
      <c r="A2245" t="s">
        <v>2118</v>
      </c>
      <c r="B2245" t="s">
        <v>2915</v>
      </c>
      <c r="C2245" t="s">
        <v>2861</v>
      </c>
      <c r="D2245" t="s">
        <v>2307</v>
      </c>
      <c r="E2245">
        <v>98012</v>
      </c>
      <c r="F2245" t="s">
        <v>1600</v>
      </c>
      <c r="G2245" t="s">
        <v>2255</v>
      </c>
      <c r="H2245" t="s">
        <v>5941</v>
      </c>
      <c r="I2245">
        <v>47.878034999999997</v>
      </c>
      <c r="J2245">
        <v>-122.205235</v>
      </c>
      <c r="K2245" t="s">
        <v>3936</v>
      </c>
      <c r="L2245" t="s">
        <v>3946</v>
      </c>
      <c r="M2245" t="s">
        <v>5575</v>
      </c>
      <c r="P2245" t="s">
        <v>2915</v>
      </c>
    </row>
    <row r="2246" spans="1:16" x14ac:dyDescent="0.2">
      <c r="A2246" t="s">
        <v>2011</v>
      </c>
      <c r="B2246" t="s">
        <v>6345</v>
      </c>
      <c r="C2246" t="s">
        <v>2900</v>
      </c>
      <c r="D2246" t="s">
        <v>2307</v>
      </c>
      <c r="E2246">
        <v>98204</v>
      </c>
      <c r="F2246" t="s">
        <v>1573</v>
      </c>
      <c r="G2246" t="s">
        <v>1986</v>
      </c>
      <c r="H2246" t="s">
        <v>4591</v>
      </c>
      <c r="I2246">
        <v>47.888043000000003</v>
      </c>
      <c r="J2246">
        <v>-122.259446</v>
      </c>
      <c r="K2246" t="s">
        <v>3936</v>
      </c>
      <c r="L2246" t="s">
        <v>3946</v>
      </c>
      <c r="M2246" t="s">
        <v>5575</v>
      </c>
      <c r="P2246" t="s">
        <v>6151</v>
      </c>
    </row>
    <row r="2247" spans="1:16" x14ac:dyDescent="0.2">
      <c r="A2247" t="s">
        <v>2015</v>
      </c>
      <c r="B2247" t="s">
        <v>2916</v>
      </c>
      <c r="C2247" t="s">
        <v>2914</v>
      </c>
      <c r="D2247" t="s">
        <v>2307</v>
      </c>
      <c r="E2247">
        <v>98275</v>
      </c>
      <c r="F2247" t="s">
        <v>1573</v>
      </c>
      <c r="G2247" t="s">
        <v>1999</v>
      </c>
      <c r="H2247" t="s">
        <v>5942</v>
      </c>
      <c r="I2247">
        <v>47.891908000000001</v>
      </c>
      <c r="J2247">
        <v>-122.28668399999999</v>
      </c>
      <c r="K2247" t="s">
        <v>3936</v>
      </c>
      <c r="L2247" t="s">
        <v>3946</v>
      </c>
      <c r="M2247" t="s">
        <v>5575</v>
      </c>
      <c r="P2247" t="s">
        <v>5774</v>
      </c>
    </row>
    <row r="2248" spans="1:16" x14ac:dyDescent="0.2">
      <c r="A2248" t="s">
        <v>2048</v>
      </c>
      <c r="B2248" t="s">
        <v>2917</v>
      </c>
      <c r="C2248" t="s">
        <v>2900</v>
      </c>
      <c r="D2248" t="s">
        <v>2307</v>
      </c>
      <c r="E2248">
        <v>98208</v>
      </c>
      <c r="F2248" t="s">
        <v>1573</v>
      </c>
      <c r="G2248" t="s">
        <v>2014</v>
      </c>
      <c r="H2248" t="s">
        <v>4592</v>
      </c>
      <c r="I2248">
        <v>47.878908000000003</v>
      </c>
      <c r="J2248">
        <v>-122.20666300000001</v>
      </c>
      <c r="K2248" t="s">
        <v>3936</v>
      </c>
      <c r="L2248" t="s">
        <v>3946</v>
      </c>
      <c r="M2248" t="s">
        <v>5575</v>
      </c>
      <c r="P2248" t="s">
        <v>2917</v>
      </c>
    </row>
    <row r="2249" spans="1:16" x14ac:dyDescent="0.2">
      <c r="A2249" t="s">
        <v>3952</v>
      </c>
      <c r="B2249" t="s">
        <v>2918</v>
      </c>
      <c r="C2249" t="s">
        <v>2914</v>
      </c>
      <c r="D2249" t="s">
        <v>2307</v>
      </c>
      <c r="E2249">
        <v>98275</v>
      </c>
      <c r="F2249" t="s">
        <v>1573</v>
      </c>
      <c r="G2249" t="s">
        <v>2014</v>
      </c>
      <c r="H2249" t="s">
        <v>4593</v>
      </c>
      <c r="I2249">
        <v>47.892057999999999</v>
      </c>
      <c r="J2249">
        <v>-122.286181</v>
      </c>
      <c r="K2249" t="s">
        <v>3936</v>
      </c>
      <c r="L2249" t="s">
        <v>3946</v>
      </c>
      <c r="M2249" t="s">
        <v>5575</v>
      </c>
      <c r="P2249" t="s">
        <v>2918</v>
      </c>
    </row>
    <row r="2250" spans="1:16" x14ac:dyDescent="0.2">
      <c r="A2250" t="s">
        <v>2214</v>
      </c>
      <c r="B2250" t="s">
        <v>2919</v>
      </c>
      <c r="C2250" t="s">
        <v>2914</v>
      </c>
      <c r="D2250" t="s">
        <v>2307</v>
      </c>
      <c r="E2250">
        <v>98275</v>
      </c>
      <c r="F2250" t="s">
        <v>1600</v>
      </c>
      <c r="G2250" t="s">
        <v>5481</v>
      </c>
      <c r="H2250" t="s">
        <v>5482</v>
      </c>
      <c r="I2250">
        <v>47.894024000000002</v>
      </c>
      <c r="J2250">
        <v>-122.31107299999999</v>
      </c>
      <c r="K2250" t="s">
        <v>3936</v>
      </c>
      <c r="L2250" t="s">
        <v>3946</v>
      </c>
      <c r="M2250" t="s">
        <v>5575</v>
      </c>
      <c r="P2250" t="s">
        <v>2919</v>
      </c>
    </row>
    <row r="2251" spans="1:16" x14ac:dyDescent="0.2">
      <c r="A2251" t="s">
        <v>2059</v>
      </c>
      <c r="B2251" t="s">
        <v>2920</v>
      </c>
      <c r="C2251" t="s">
        <v>2900</v>
      </c>
      <c r="D2251" t="s">
        <v>2307</v>
      </c>
      <c r="E2251">
        <v>98204</v>
      </c>
      <c r="F2251" t="s">
        <v>1573</v>
      </c>
      <c r="G2251" t="s">
        <v>2067</v>
      </c>
      <c r="H2251" t="s">
        <v>5943</v>
      </c>
      <c r="I2251">
        <v>47.890656</v>
      </c>
      <c r="J2251">
        <v>-122.257408</v>
      </c>
      <c r="K2251" t="s">
        <v>3936</v>
      </c>
      <c r="L2251" t="s">
        <v>3946</v>
      </c>
      <c r="M2251" t="s">
        <v>5575</v>
      </c>
      <c r="P2251" t="s">
        <v>2920</v>
      </c>
    </row>
    <row r="2252" spans="1:16" x14ac:dyDescent="0.2">
      <c r="A2252" t="s">
        <v>2020</v>
      </c>
      <c r="B2252" t="s">
        <v>2921</v>
      </c>
      <c r="C2252" t="s">
        <v>2900</v>
      </c>
      <c r="D2252" t="s">
        <v>2307</v>
      </c>
      <c r="E2252">
        <v>98204</v>
      </c>
      <c r="F2252" t="s">
        <v>1716</v>
      </c>
      <c r="G2252" t="s">
        <v>2005</v>
      </c>
      <c r="H2252" t="s">
        <v>4594</v>
      </c>
      <c r="I2252">
        <v>47.892069999999997</v>
      </c>
      <c r="J2252">
        <v>-122.256196</v>
      </c>
      <c r="K2252" t="s">
        <v>3936</v>
      </c>
      <c r="L2252" t="s">
        <v>3946</v>
      </c>
      <c r="M2252" t="s">
        <v>5575</v>
      </c>
      <c r="P2252" t="s">
        <v>2921</v>
      </c>
    </row>
    <row r="2253" spans="1:16" x14ac:dyDescent="0.2">
      <c r="A2253" t="s">
        <v>2011</v>
      </c>
      <c r="B2253" t="s">
        <v>6346</v>
      </c>
      <c r="C2253" t="s">
        <v>2548</v>
      </c>
      <c r="D2253" t="s">
        <v>2307</v>
      </c>
      <c r="E2253">
        <v>98012</v>
      </c>
      <c r="F2253" t="s">
        <v>1573</v>
      </c>
      <c r="G2253" t="s">
        <v>1986</v>
      </c>
      <c r="H2253" t="s">
        <v>4595</v>
      </c>
      <c r="I2253">
        <v>47.877845000000001</v>
      </c>
      <c r="J2253">
        <v>-122.186615</v>
      </c>
      <c r="K2253" t="s">
        <v>3936</v>
      </c>
      <c r="L2253" t="s">
        <v>3946</v>
      </c>
      <c r="M2253" t="s">
        <v>5575</v>
      </c>
      <c r="P2253" t="s">
        <v>6152</v>
      </c>
    </row>
    <row r="2254" spans="1:16" x14ac:dyDescent="0.2">
      <c r="A2254" t="s">
        <v>2011</v>
      </c>
      <c r="B2254" t="s">
        <v>2922</v>
      </c>
      <c r="C2254" t="s">
        <v>2900</v>
      </c>
      <c r="D2254" t="s">
        <v>2307</v>
      </c>
      <c r="E2254">
        <v>98204</v>
      </c>
      <c r="F2254" t="s">
        <v>1573</v>
      </c>
      <c r="G2254" t="s">
        <v>1986</v>
      </c>
      <c r="H2254" t="s">
        <v>4596</v>
      </c>
      <c r="I2254">
        <v>47.893669000000003</v>
      </c>
      <c r="J2254">
        <v>-122.254535</v>
      </c>
      <c r="K2254" t="s">
        <v>3936</v>
      </c>
      <c r="L2254" t="s">
        <v>3946</v>
      </c>
      <c r="M2254" t="s">
        <v>5575</v>
      </c>
      <c r="P2254" t="s">
        <v>2922</v>
      </c>
    </row>
    <row r="2255" spans="1:16" x14ac:dyDescent="0.2">
      <c r="A2255" t="s">
        <v>3955</v>
      </c>
      <c r="B2255" t="s">
        <v>2923</v>
      </c>
      <c r="C2255" t="s">
        <v>2924</v>
      </c>
      <c r="D2255" t="s">
        <v>2307</v>
      </c>
      <c r="E2255">
        <v>98031</v>
      </c>
      <c r="F2255" t="s">
        <v>1658</v>
      </c>
      <c r="G2255" t="s">
        <v>2148</v>
      </c>
      <c r="H2255" t="s">
        <v>5944</v>
      </c>
      <c r="I2255">
        <v>47.375756000000003</v>
      </c>
      <c r="J2255">
        <v>-122.202152</v>
      </c>
      <c r="K2255" t="s">
        <v>3936</v>
      </c>
      <c r="L2255" t="s">
        <v>3946</v>
      </c>
      <c r="M2255" t="s">
        <v>5575</v>
      </c>
      <c r="P2255" t="s">
        <v>2923</v>
      </c>
    </row>
    <row r="2256" spans="1:16" x14ac:dyDescent="0.2">
      <c r="A2256" t="s">
        <v>2011</v>
      </c>
      <c r="B2256" t="s">
        <v>2925</v>
      </c>
      <c r="C2256" t="s">
        <v>2780</v>
      </c>
      <c r="D2256" t="s">
        <v>2307</v>
      </c>
      <c r="E2256">
        <v>98032</v>
      </c>
      <c r="F2256" t="s">
        <v>1573</v>
      </c>
      <c r="G2256" t="s">
        <v>1986</v>
      </c>
      <c r="H2256" t="s">
        <v>4597</v>
      </c>
      <c r="I2256">
        <v>47.359516999999997</v>
      </c>
      <c r="J2256">
        <v>-122.308386</v>
      </c>
      <c r="K2256" t="s">
        <v>3936</v>
      </c>
      <c r="L2256" t="s">
        <v>3946</v>
      </c>
      <c r="M2256" t="s">
        <v>5575</v>
      </c>
      <c r="P2256" t="s">
        <v>2925</v>
      </c>
    </row>
    <row r="2257" spans="1:16" x14ac:dyDescent="0.2">
      <c r="A2257" t="s">
        <v>2215</v>
      </c>
      <c r="B2257" t="s">
        <v>2926</v>
      </c>
      <c r="C2257" t="s">
        <v>2780</v>
      </c>
      <c r="D2257" t="s">
        <v>2307</v>
      </c>
      <c r="E2257">
        <v>98030</v>
      </c>
      <c r="F2257" t="s">
        <v>1716</v>
      </c>
      <c r="G2257" t="s">
        <v>2000</v>
      </c>
      <c r="H2257" t="s">
        <v>4598</v>
      </c>
      <c r="I2257">
        <v>47.374017000000002</v>
      </c>
      <c r="J2257">
        <v>-122.20256999999999</v>
      </c>
      <c r="K2257" t="s">
        <v>3936</v>
      </c>
      <c r="L2257" t="s">
        <v>3946</v>
      </c>
      <c r="M2257" t="s">
        <v>5575</v>
      </c>
      <c r="P2257" t="s">
        <v>5720</v>
      </c>
    </row>
    <row r="2258" spans="1:16" x14ac:dyDescent="0.2">
      <c r="A2258" t="s">
        <v>2054</v>
      </c>
      <c r="B2258" t="s">
        <v>2927</v>
      </c>
      <c r="C2258" t="s">
        <v>2780</v>
      </c>
      <c r="D2258" t="s">
        <v>2307</v>
      </c>
      <c r="E2258">
        <v>98030</v>
      </c>
      <c r="F2258" t="s">
        <v>1716</v>
      </c>
      <c r="G2258" t="s">
        <v>1989</v>
      </c>
      <c r="H2258" t="s">
        <v>5446</v>
      </c>
      <c r="I2258">
        <v>47.373815999999998</v>
      </c>
      <c r="J2258">
        <v>-122.202573</v>
      </c>
      <c r="K2258" t="s">
        <v>3936</v>
      </c>
      <c r="L2258" t="s">
        <v>3946</v>
      </c>
      <c r="M2258" t="s">
        <v>5575</v>
      </c>
      <c r="P2258" t="s">
        <v>5703</v>
      </c>
    </row>
    <row r="2259" spans="1:16" x14ac:dyDescent="0.2">
      <c r="A2259" t="s">
        <v>2059</v>
      </c>
      <c r="B2259" t="s">
        <v>2928</v>
      </c>
      <c r="C2259" t="s">
        <v>2830</v>
      </c>
      <c r="D2259" t="s">
        <v>2307</v>
      </c>
      <c r="E2259">
        <v>98198</v>
      </c>
      <c r="F2259" t="s">
        <v>1573</v>
      </c>
      <c r="G2259" t="s">
        <v>2067</v>
      </c>
      <c r="H2259" t="s">
        <v>5945</v>
      </c>
      <c r="I2259">
        <v>47.358097000000001</v>
      </c>
      <c r="J2259">
        <v>-122.31044799999999</v>
      </c>
      <c r="K2259" t="s">
        <v>3936</v>
      </c>
      <c r="L2259" t="s">
        <v>3946</v>
      </c>
      <c r="M2259" t="s">
        <v>5575</v>
      </c>
      <c r="P2259" t="s">
        <v>2928</v>
      </c>
    </row>
    <row r="2260" spans="1:16" x14ac:dyDescent="0.2">
      <c r="A2260" t="s">
        <v>2048</v>
      </c>
      <c r="B2260" t="s">
        <v>2929</v>
      </c>
      <c r="C2260" t="s">
        <v>2930</v>
      </c>
      <c r="D2260" t="s">
        <v>2307</v>
      </c>
      <c r="E2260">
        <v>98003</v>
      </c>
      <c r="F2260" t="s">
        <v>1573</v>
      </c>
      <c r="G2260" t="s">
        <v>2014</v>
      </c>
      <c r="H2260" t="s">
        <v>4599</v>
      </c>
      <c r="I2260">
        <v>47.357619</v>
      </c>
      <c r="J2260">
        <v>-122.30939600000001</v>
      </c>
      <c r="K2260" t="s">
        <v>3936</v>
      </c>
      <c r="L2260" t="s">
        <v>3946</v>
      </c>
      <c r="M2260" t="s">
        <v>5575</v>
      </c>
      <c r="P2260" t="s">
        <v>2929</v>
      </c>
    </row>
    <row r="2261" spans="1:16" x14ac:dyDescent="0.2">
      <c r="A2261" t="s">
        <v>2216</v>
      </c>
      <c r="B2261" t="s">
        <v>2931</v>
      </c>
      <c r="C2261" t="s">
        <v>2780</v>
      </c>
      <c r="D2261" t="s">
        <v>2307</v>
      </c>
      <c r="E2261">
        <v>98030</v>
      </c>
      <c r="F2261" t="s">
        <v>2146</v>
      </c>
      <c r="G2261" t="s">
        <v>2005</v>
      </c>
      <c r="H2261" t="s">
        <v>4600</v>
      </c>
      <c r="I2261">
        <v>47.372691000000003</v>
      </c>
      <c r="J2261">
        <v>-122.204048</v>
      </c>
      <c r="K2261" t="s">
        <v>3936</v>
      </c>
      <c r="L2261" t="s">
        <v>3946</v>
      </c>
      <c r="M2261" t="s">
        <v>5575</v>
      </c>
      <c r="P2261" t="s">
        <v>2931</v>
      </c>
    </row>
    <row r="2262" spans="1:16" x14ac:dyDescent="0.2">
      <c r="A2262" t="s">
        <v>2011</v>
      </c>
      <c r="B2262" t="s">
        <v>2932</v>
      </c>
      <c r="C2262" t="s">
        <v>2780</v>
      </c>
      <c r="D2262" t="s">
        <v>2307</v>
      </c>
      <c r="E2262">
        <v>98031</v>
      </c>
      <c r="F2262" t="s">
        <v>1573</v>
      </c>
      <c r="G2262" t="s">
        <v>1986</v>
      </c>
      <c r="H2262" t="s">
        <v>4601</v>
      </c>
      <c r="I2262">
        <v>47.372689000000001</v>
      </c>
      <c r="J2262">
        <v>-122.203716</v>
      </c>
      <c r="K2262" t="s">
        <v>3936</v>
      </c>
      <c r="L2262" t="s">
        <v>3946</v>
      </c>
      <c r="M2262" t="s">
        <v>5575</v>
      </c>
      <c r="P2262" t="s">
        <v>5775</v>
      </c>
    </row>
    <row r="2263" spans="1:16" x14ac:dyDescent="0.2">
      <c r="A2263" t="s">
        <v>2048</v>
      </c>
      <c r="B2263" t="s">
        <v>2933</v>
      </c>
      <c r="C2263" t="s">
        <v>2900</v>
      </c>
      <c r="D2263" t="s">
        <v>2307</v>
      </c>
      <c r="E2263">
        <v>98204</v>
      </c>
      <c r="F2263" t="s">
        <v>1573</v>
      </c>
      <c r="G2263" t="s">
        <v>2014</v>
      </c>
      <c r="H2263" t="s">
        <v>4602</v>
      </c>
      <c r="I2263">
        <v>47.896307999999998</v>
      </c>
      <c r="J2263">
        <v>-122.251036</v>
      </c>
      <c r="K2263" t="s">
        <v>3936</v>
      </c>
      <c r="L2263" t="s">
        <v>3946</v>
      </c>
      <c r="M2263" t="s">
        <v>5575</v>
      </c>
      <c r="P2263" t="s">
        <v>2933</v>
      </c>
    </row>
    <row r="2264" spans="1:16" x14ac:dyDescent="0.2">
      <c r="A2264" t="s">
        <v>2048</v>
      </c>
      <c r="B2264" t="s">
        <v>2934</v>
      </c>
      <c r="C2264" t="s">
        <v>2780</v>
      </c>
      <c r="D2264" t="s">
        <v>2307</v>
      </c>
      <c r="E2264">
        <v>98030</v>
      </c>
      <c r="F2264" t="s">
        <v>1573</v>
      </c>
      <c r="G2264" t="s">
        <v>2014</v>
      </c>
      <c r="H2264" t="s">
        <v>4603</v>
      </c>
      <c r="I2264">
        <v>47.372748999999999</v>
      </c>
      <c r="J2264">
        <v>-122.202145</v>
      </c>
      <c r="K2264" t="s">
        <v>3936</v>
      </c>
      <c r="L2264" t="s">
        <v>3946</v>
      </c>
      <c r="M2264" t="s">
        <v>5575</v>
      </c>
      <c r="P2264" t="s">
        <v>2934</v>
      </c>
    </row>
    <row r="2265" spans="1:16" x14ac:dyDescent="0.2">
      <c r="A2265" t="s">
        <v>3952</v>
      </c>
      <c r="B2265" t="s">
        <v>2935</v>
      </c>
      <c r="C2265" t="s">
        <v>2900</v>
      </c>
      <c r="D2265" t="s">
        <v>2307</v>
      </c>
      <c r="E2265">
        <v>98208</v>
      </c>
      <c r="F2265" t="s">
        <v>1573</v>
      </c>
      <c r="G2265" t="s">
        <v>2014</v>
      </c>
      <c r="H2265" t="s">
        <v>4604</v>
      </c>
      <c r="I2265">
        <v>47.877662000000001</v>
      </c>
      <c r="J2265">
        <v>-122.165588</v>
      </c>
      <c r="K2265" t="s">
        <v>3936</v>
      </c>
      <c r="L2265" t="s">
        <v>3946</v>
      </c>
      <c r="M2265" t="s">
        <v>5575</v>
      </c>
      <c r="P2265" t="s">
        <v>2935</v>
      </c>
    </row>
    <row r="2266" spans="1:16" x14ac:dyDescent="0.2">
      <c r="A2266" t="s">
        <v>2011</v>
      </c>
      <c r="B2266" t="s">
        <v>2936</v>
      </c>
      <c r="C2266" t="s">
        <v>2900</v>
      </c>
      <c r="D2266" t="s">
        <v>2307</v>
      </c>
      <c r="E2266">
        <v>98208</v>
      </c>
      <c r="F2266" t="s">
        <v>1573</v>
      </c>
      <c r="G2266" t="s">
        <v>1986</v>
      </c>
      <c r="H2266" t="s">
        <v>4605</v>
      </c>
      <c r="I2266">
        <v>47.876519999999999</v>
      </c>
      <c r="J2266">
        <v>-122.155124</v>
      </c>
      <c r="K2266" t="s">
        <v>3936</v>
      </c>
      <c r="L2266" t="s">
        <v>3946</v>
      </c>
      <c r="M2266" t="s">
        <v>5575</v>
      </c>
      <c r="P2266" t="s">
        <v>5776</v>
      </c>
    </row>
    <row r="2267" spans="1:16" x14ac:dyDescent="0.2">
      <c r="A2267" t="s">
        <v>2007</v>
      </c>
      <c r="B2267" t="s">
        <v>2937</v>
      </c>
      <c r="C2267" t="s">
        <v>2780</v>
      </c>
      <c r="D2267" t="s">
        <v>2307</v>
      </c>
      <c r="E2267">
        <v>98030</v>
      </c>
      <c r="F2267" t="s">
        <v>1658</v>
      </c>
      <c r="G2267" t="s">
        <v>2110</v>
      </c>
      <c r="H2267" t="s">
        <v>5279</v>
      </c>
      <c r="I2267">
        <v>47.368496</v>
      </c>
      <c r="J2267">
        <v>-122.202499</v>
      </c>
      <c r="K2267" t="s">
        <v>3936</v>
      </c>
      <c r="L2267" t="s">
        <v>3946</v>
      </c>
      <c r="M2267" t="s">
        <v>5575</v>
      </c>
      <c r="P2267" t="s">
        <v>2937</v>
      </c>
    </row>
    <row r="2268" spans="1:16" x14ac:dyDescent="0.2">
      <c r="A2268" t="s">
        <v>2015</v>
      </c>
      <c r="B2268" t="s">
        <v>2938</v>
      </c>
      <c r="C2268" t="s">
        <v>2780</v>
      </c>
      <c r="D2268" t="s">
        <v>2307</v>
      </c>
      <c r="E2268">
        <v>98032</v>
      </c>
      <c r="F2268" t="s">
        <v>1573</v>
      </c>
      <c r="G2268" t="s">
        <v>1999</v>
      </c>
      <c r="H2268" t="s">
        <v>5946</v>
      </c>
      <c r="I2268">
        <v>47.368417999999998</v>
      </c>
      <c r="J2268">
        <v>-122.20249699999999</v>
      </c>
      <c r="K2268" t="s">
        <v>3936</v>
      </c>
      <c r="L2268" t="s">
        <v>3946</v>
      </c>
      <c r="M2268" t="s">
        <v>5575</v>
      </c>
      <c r="P2268" t="s">
        <v>2938</v>
      </c>
    </row>
    <row r="2269" spans="1:16" x14ac:dyDescent="0.2">
      <c r="A2269" t="s">
        <v>2217</v>
      </c>
      <c r="B2269" t="s">
        <v>2939</v>
      </c>
      <c r="C2269" t="s">
        <v>2900</v>
      </c>
      <c r="D2269" t="s">
        <v>2307</v>
      </c>
      <c r="E2269">
        <v>98208</v>
      </c>
      <c r="F2269" t="s">
        <v>1591</v>
      </c>
      <c r="G2269" t="s">
        <v>1969</v>
      </c>
      <c r="H2269" t="s">
        <v>4985</v>
      </c>
      <c r="I2269">
        <v>47.896690999999997</v>
      </c>
      <c r="J2269">
        <v>-122.223375</v>
      </c>
      <c r="K2269" t="s">
        <v>3936</v>
      </c>
      <c r="L2269" t="s">
        <v>3946</v>
      </c>
      <c r="M2269" t="s">
        <v>5575</v>
      </c>
      <c r="P2269" t="s">
        <v>2939</v>
      </c>
    </row>
    <row r="2270" spans="1:16" x14ac:dyDescent="0.2">
      <c r="A2270" t="s">
        <v>2011</v>
      </c>
      <c r="B2270" t="s">
        <v>2940</v>
      </c>
      <c r="C2270" t="s">
        <v>2914</v>
      </c>
      <c r="D2270" t="s">
        <v>2307</v>
      </c>
      <c r="E2270">
        <v>98275</v>
      </c>
      <c r="F2270" t="s">
        <v>1573</v>
      </c>
      <c r="G2270" t="s">
        <v>1986</v>
      </c>
      <c r="H2270" t="s">
        <v>4606</v>
      </c>
      <c r="I2270">
        <v>47.908140000000003</v>
      </c>
      <c r="J2270">
        <v>-122.29294899999999</v>
      </c>
      <c r="K2270" t="s">
        <v>3936</v>
      </c>
      <c r="L2270" t="s">
        <v>3946</v>
      </c>
      <c r="M2270" t="s">
        <v>5575</v>
      </c>
      <c r="P2270" t="s">
        <v>2940</v>
      </c>
    </row>
    <row r="2271" spans="1:16" x14ac:dyDescent="0.2">
      <c r="A2271" t="s">
        <v>2175</v>
      </c>
      <c r="B2271" t="s">
        <v>2942</v>
      </c>
      <c r="C2271" t="s">
        <v>2900</v>
      </c>
      <c r="D2271" t="s">
        <v>2307</v>
      </c>
      <c r="E2271">
        <v>98208</v>
      </c>
      <c r="F2271" t="s">
        <v>1600</v>
      </c>
      <c r="G2271" t="s">
        <v>2207</v>
      </c>
      <c r="H2271" t="s">
        <v>4607</v>
      </c>
      <c r="I2271">
        <v>47.904505</v>
      </c>
      <c r="J2271">
        <v>-122.241922</v>
      </c>
      <c r="K2271" t="s">
        <v>3936</v>
      </c>
      <c r="L2271" t="s">
        <v>3946</v>
      </c>
      <c r="M2271" t="s">
        <v>5575</v>
      </c>
      <c r="P2271" t="s">
        <v>2942</v>
      </c>
    </row>
    <row r="2272" spans="1:16" x14ac:dyDescent="0.2">
      <c r="A2272" t="s">
        <v>2011</v>
      </c>
      <c r="B2272" t="s">
        <v>6347</v>
      </c>
      <c r="C2272" t="s">
        <v>2900</v>
      </c>
      <c r="D2272" t="s">
        <v>2307</v>
      </c>
      <c r="E2272">
        <v>98208</v>
      </c>
      <c r="F2272" t="s">
        <v>1573</v>
      </c>
      <c r="G2272" t="s">
        <v>1986</v>
      </c>
      <c r="H2272" t="s">
        <v>4608</v>
      </c>
      <c r="I2272">
        <v>47.899769999999997</v>
      </c>
      <c r="J2272">
        <v>-122.207049</v>
      </c>
      <c r="K2272" t="s">
        <v>3936</v>
      </c>
      <c r="L2272" t="s">
        <v>3946</v>
      </c>
      <c r="M2272" t="s">
        <v>5575</v>
      </c>
      <c r="P2272" t="s">
        <v>6153</v>
      </c>
    </row>
    <row r="2273" spans="1:16" x14ac:dyDescent="0.2">
      <c r="A2273" t="s">
        <v>2219</v>
      </c>
      <c r="B2273" t="s">
        <v>2943</v>
      </c>
      <c r="C2273" t="s">
        <v>2944</v>
      </c>
      <c r="D2273" t="s">
        <v>2307</v>
      </c>
      <c r="E2273">
        <v>98014</v>
      </c>
      <c r="F2273" t="s">
        <v>1583</v>
      </c>
      <c r="G2273" t="s">
        <v>1980</v>
      </c>
      <c r="H2273" t="s">
        <v>5416</v>
      </c>
      <c r="I2273">
        <v>47.648955000000001</v>
      </c>
      <c r="J2273">
        <v>-121.91332800000001</v>
      </c>
      <c r="K2273" t="s">
        <v>3936</v>
      </c>
      <c r="L2273" t="s">
        <v>3946</v>
      </c>
      <c r="M2273" t="s">
        <v>5575</v>
      </c>
      <c r="P2273" t="s">
        <v>2943</v>
      </c>
    </row>
    <row r="2274" spans="1:16" x14ac:dyDescent="0.2">
      <c r="A2274" t="s">
        <v>2048</v>
      </c>
      <c r="B2274" t="s">
        <v>2945</v>
      </c>
      <c r="C2274" t="s">
        <v>2900</v>
      </c>
      <c r="D2274" t="s">
        <v>2307</v>
      </c>
      <c r="E2274">
        <v>98208</v>
      </c>
      <c r="F2274" t="s">
        <v>1573</v>
      </c>
      <c r="G2274" t="s">
        <v>2014</v>
      </c>
      <c r="H2274" t="s">
        <v>4609</v>
      </c>
      <c r="I2274">
        <v>47.907884000000003</v>
      </c>
      <c r="J2274">
        <v>-122.22918900000001</v>
      </c>
      <c r="K2274" t="s">
        <v>3936</v>
      </c>
      <c r="L2274" t="s">
        <v>3946</v>
      </c>
      <c r="M2274" t="s">
        <v>5575</v>
      </c>
      <c r="P2274" t="s">
        <v>2945</v>
      </c>
    </row>
    <row r="2275" spans="1:16" x14ac:dyDescent="0.2">
      <c r="A2275" t="s">
        <v>3952</v>
      </c>
      <c r="B2275" t="s">
        <v>2946</v>
      </c>
      <c r="C2275" t="s">
        <v>2930</v>
      </c>
      <c r="D2275" t="s">
        <v>2307</v>
      </c>
      <c r="E2275">
        <v>98003</v>
      </c>
      <c r="F2275" t="s">
        <v>1573</v>
      </c>
      <c r="G2275" t="s">
        <v>2014</v>
      </c>
      <c r="H2275" t="s">
        <v>4610</v>
      </c>
      <c r="I2275">
        <v>47.342919000000002</v>
      </c>
      <c r="J2275">
        <v>-122.30128499999999</v>
      </c>
      <c r="K2275" t="s">
        <v>3936</v>
      </c>
      <c r="L2275" t="s">
        <v>3946</v>
      </c>
      <c r="M2275" t="s">
        <v>5575</v>
      </c>
      <c r="P2275" t="s">
        <v>2946</v>
      </c>
    </row>
    <row r="2276" spans="1:16" x14ac:dyDescent="0.2">
      <c r="A2276" t="s">
        <v>2011</v>
      </c>
      <c r="B2276" t="s">
        <v>2947</v>
      </c>
      <c r="C2276" t="s">
        <v>2900</v>
      </c>
      <c r="D2276" t="s">
        <v>2307</v>
      </c>
      <c r="E2276">
        <v>98204</v>
      </c>
      <c r="F2276" t="s">
        <v>1573</v>
      </c>
      <c r="G2276" t="s">
        <v>1986</v>
      </c>
      <c r="H2276" t="s">
        <v>4611</v>
      </c>
      <c r="I2276">
        <v>47.910138000000003</v>
      </c>
      <c r="J2276">
        <v>-122.23929200000001</v>
      </c>
      <c r="K2276" t="s">
        <v>3936</v>
      </c>
      <c r="L2276" t="s">
        <v>3946</v>
      </c>
      <c r="M2276" t="s">
        <v>5575</v>
      </c>
      <c r="P2276" t="s">
        <v>2947</v>
      </c>
    </row>
    <row r="2277" spans="1:16" x14ac:dyDescent="0.2">
      <c r="A2277" t="s">
        <v>2011</v>
      </c>
      <c r="B2277" t="s">
        <v>2948</v>
      </c>
      <c r="C2277" t="s">
        <v>2900</v>
      </c>
      <c r="D2277" t="s">
        <v>2307</v>
      </c>
      <c r="E2277">
        <v>98208</v>
      </c>
      <c r="F2277" t="s">
        <v>1573</v>
      </c>
      <c r="G2277" t="s">
        <v>1986</v>
      </c>
      <c r="H2277" t="s">
        <v>4612</v>
      </c>
      <c r="I2277">
        <v>47.908549999999998</v>
      </c>
      <c r="J2277">
        <v>-122.227762</v>
      </c>
      <c r="K2277" t="s">
        <v>3936</v>
      </c>
      <c r="L2277" t="s">
        <v>3946</v>
      </c>
      <c r="M2277" t="s">
        <v>5575</v>
      </c>
      <c r="P2277" t="s">
        <v>5759</v>
      </c>
    </row>
    <row r="2278" spans="1:16" x14ac:dyDescent="0.2">
      <c r="A2278" t="s">
        <v>2220</v>
      </c>
      <c r="B2278" t="s">
        <v>2949</v>
      </c>
      <c r="C2278" t="s">
        <v>2900</v>
      </c>
      <c r="D2278" t="s">
        <v>2307</v>
      </c>
      <c r="E2278">
        <v>98208</v>
      </c>
      <c r="F2278" t="s">
        <v>1591</v>
      </c>
      <c r="G2278" t="s">
        <v>1969</v>
      </c>
      <c r="H2278" t="s">
        <v>5809</v>
      </c>
      <c r="I2278">
        <v>47.908817999999997</v>
      </c>
      <c r="J2278">
        <v>-122.225685</v>
      </c>
      <c r="K2278" t="s">
        <v>3936</v>
      </c>
      <c r="L2278" t="s">
        <v>3946</v>
      </c>
      <c r="M2278" t="s">
        <v>5575</v>
      </c>
      <c r="P2278" t="s">
        <v>5752</v>
      </c>
    </row>
    <row r="2279" spans="1:16" x14ac:dyDescent="0.2">
      <c r="A2279" t="s">
        <v>2048</v>
      </c>
      <c r="B2279" t="s">
        <v>2950</v>
      </c>
      <c r="C2279" t="s">
        <v>2900</v>
      </c>
      <c r="D2279" t="s">
        <v>2307</v>
      </c>
      <c r="E2279">
        <v>98208</v>
      </c>
      <c r="F2279" t="s">
        <v>1573</v>
      </c>
      <c r="G2279" t="s">
        <v>2014</v>
      </c>
      <c r="H2279" t="s">
        <v>4613</v>
      </c>
      <c r="I2279">
        <v>47.907915000000003</v>
      </c>
      <c r="J2279">
        <v>-122.20690399999999</v>
      </c>
      <c r="K2279" t="s">
        <v>3936</v>
      </c>
      <c r="L2279" t="s">
        <v>3946</v>
      </c>
      <c r="M2279" t="s">
        <v>5575</v>
      </c>
      <c r="P2279" t="s">
        <v>2950</v>
      </c>
    </row>
    <row r="2280" spans="1:16" x14ac:dyDescent="0.2">
      <c r="A2280" t="s">
        <v>2073</v>
      </c>
      <c r="B2280" t="s">
        <v>2951</v>
      </c>
      <c r="C2280" t="s">
        <v>2900</v>
      </c>
      <c r="D2280" t="s">
        <v>2307</v>
      </c>
      <c r="E2280">
        <v>98208</v>
      </c>
      <c r="F2280" t="s">
        <v>1658</v>
      </c>
      <c r="G2280" t="s">
        <v>2074</v>
      </c>
      <c r="H2280" t="s">
        <v>5109</v>
      </c>
      <c r="I2280">
        <v>47.911569</v>
      </c>
      <c r="J2280">
        <v>-122.216386</v>
      </c>
      <c r="K2280" t="s">
        <v>3936</v>
      </c>
      <c r="L2280" t="s">
        <v>3946</v>
      </c>
      <c r="M2280" t="s">
        <v>5575</v>
      </c>
      <c r="P2280" t="s">
        <v>5698</v>
      </c>
    </row>
    <row r="2281" spans="1:16" x14ac:dyDescent="0.2">
      <c r="A2281" t="s">
        <v>2018</v>
      </c>
      <c r="B2281" t="s">
        <v>2952</v>
      </c>
      <c r="C2281" t="s">
        <v>2900</v>
      </c>
      <c r="D2281" t="s">
        <v>2307</v>
      </c>
      <c r="E2281">
        <v>98204</v>
      </c>
      <c r="F2281" t="s">
        <v>2019</v>
      </c>
      <c r="G2281" t="s">
        <v>1991</v>
      </c>
      <c r="H2281" t="s">
        <v>5166</v>
      </c>
      <c r="I2281">
        <v>47.920253000000002</v>
      </c>
      <c r="J2281">
        <v>-122.269739</v>
      </c>
      <c r="K2281" t="s">
        <v>3936</v>
      </c>
      <c r="L2281" t="s">
        <v>3946</v>
      </c>
      <c r="M2281" t="s">
        <v>5575</v>
      </c>
      <c r="P2281" t="s">
        <v>2952</v>
      </c>
    </row>
    <row r="2282" spans="1:16" x14ac:dyDescent="0.2">
      <c r="A2282" t="s">
        <v>2221</v>
      </c>
      <c r="B2282" t="s">
        <v>2953</v>
      </c>
      <c r="C2282" t="s">
        <v>2914</v>
      </c>
      <c r="D2282" t="s">
        <v>2307</v>
      </c>
      <c r="E2282">
        <v>98275</v>
      </c>
      <c r="F2282" t="s">
        <v>1716</v>
      </c>
      <c r="G2282" t="s">
        <v>1995</v>
      </c>
      <c r="H2282" t="s">
        <v>5417</v>
      </c>
      <c r="I2282">
        <v>47.922831000000002</v>
      </c>
      <c r="J2282">
        <v>-122.29998999999999</v>
      </c>
      <c r="K2282" t="s">
        <v>3936</v>
      </c>
      <c r="L2282" t="s">
        <v>3946</v>
      </c>
      <c r="M2282" t="s">
        <v>5575</v>
      </c>
      <c r="P2282" t="s">
        <v>2953</v>
      </c>
    </row>
    <row r="2283" spans="1:16" x14ac:dyDescent="0.2">
      <c r="A2283" t="s">
        <v>2011</v>
      </c>
      <c r="B2283" t="s">
        <v>2954</v>
      </c>
      <c r="C2283" t="s">
        <v>2780</v>
      </c>
      <c r="D2283" t="s">
        <v>2307</v>
      </c>
      <c r="E2283">
        <v>98032</v>
      </c>
      <c r="F2283" t="s">
        <v>1573</v>
      </c>
      <c r="G2283" t="s">
        <v>1986</v>
      </c>
      <c r="H2283" t="s">
        <v>4614</v>
      </c>
      <c r="I2283">
        <v>47.358527000000002</v>
      </c>
      <c r="J2283">
        <v>-122.168564</v>
      </c>
      <c r="K2283" t="s">
        <v>3936</v>
      </c>
      <c r="L2283" t="s">
        <v>3946</v>
      </c>
      <c r="M2283" t="s">
        <v>5575</v>
      </c>
      <c r="P2283" t="s">
        <v>5777</v>
      </c>
    </row>
    <row r="2284" spans="1:16" x14ac:dyDescent="0.2">
      <c r="A2284" t="s">
        <v>3954</v>
      </c>
      <c r="B2284" t="s">
        <v>2955</v>
      </c>
      <c r="C2284" t="s">
        <v>2900</v>
      </c>
      <c r="D2284" t="s">
        <v>2307</v>
      </c>
      <c r="E2284">
        <v>98208</v>
      </c>
      <c r="F2284" t="s">
        <v>1600</v>
      </c>
      <c r="G2284" t="s">
        <v>2159</v>
      </c>
      <c r="H2284" t="s">
        <v>5947</v>
      </c>
      <c r="I2284">
        <v>47.912120000000002</v>
      </c>
      <c r="J2284">
        <v>-122.21383</v>
      </c>
      <c r="K2284" t="s">
        <v>3936</v>
      </c>
      <c r="L2284" t="s">
        <v>3946</v>
      </c>
      <c r="M2284" t="s">
        <v>5575</v>
      </c>
      <c r="P2284" t="s">
        <v>2955</v>
      </c>
    </row>
    <row r="2285" spans="1:16" x14ac:dyDescent="0.2">
      <c r="A2285" t="s">
        <v>2011</v>
      </c>
      <c r="B2285" t="s">
        <v>2956</v>
      </c>
      <c r="C2285" t="s">
        <v>2900</v>
      </c>
      <c r="D2285" t="s">
        <v>2307</v>
      </c>
      <c r="E2285">
        <v>98208</v>
      </c>
      <c r="F2285" t="s">
        <v>1573</v>
      </c>
      <c r="G2285" t="s">
        <v>1986</v>
      </c>
      <c r="H2285" t="s">
        <v>4615</v>
      </c>
      <c r="I2285">
        <v>47.912120000000002</v>
      </c>
      <c r="J2285">
        <v>-122.21383</v>
      </c>
      <c r="K2285" t="s">
        <v>3936</v>
      </c>
      <c r="L2285" t="s">
        <v>3946</v>
      </c>
      <c r="M2285" t="s">
        <v>5575</v>
      </c>
      <c r="P2285" t="s">
        <v>2956</v>
      </c>
    </row>
    <row r="2286" spans="1:16" x14ac:dyDescent="0.2">
      <c r="A2286" t="s">
        <v>5576</v>
      </c>
      <c r="B2286" t="s">
        <v>5592</v>
      </c>
      <c r="C2286" t="s">
        <v>2900</v>
      </c>
      <c r="D2286" t="s">
        <v>2307</v>
      </c>
      <c r="E2286">
        <v>98208</v>
      </c>
      <c r="F2286" t="s">
        <v>1573</v>
      </c>
      <c r="G2286" t="s">
        <v>5578</v>
      </c>
      <c r="H2286" t="s">
        <v>5948</v>
      </c>
      <c r="I2286">
        <v>47.912345000000002</v>
      </c>
      <c r="J2286">
        <v>-122.214051</v>
      </c>
      <c r="K2286" t="s">
        <v>3936</v>
      </c>
      <c r="L2286" t="s">
        <v>3946</v>
      </c>
      <c r="M2286" t="s">
        <v>5575</v>
      </c>
      <c r="P2286" t="s">
        <v>5592</v>
      </c>
    </row>
    <row r="2287" spans="1:16" x14ac:dyDescent="0.2">
      <c r="A2287" t="s">
        <v>2059</v>
      </c>
      <c r="B2287" t="s">
        <v>2957</v>
      </c>
      <c r="C2287" t="s">
        <v>2900</v>
      </c>
      <c r="D2287" t="s">
        <v>2307</v>
      </c>
      <c r="E2287">
        <v>98208</v>
      </c>
      <c r="F2287" t="s">
        <v>1600</v>
      </c>
      <c r="G2287" t="s">
        <v>2063</v>
      </c>
      <c r="H2287" t="s">
        <v>5949</v>
      </c>
      <c r="I2287">
        <v>47.912585999999997</v>
      </c>
      <c r="J2287">
        <v>-122.213576</v>
      </c>
      <c r="K2287" t="s">
        <v>3936</v>
      </c>
      <c r="L2287" t="s">
        <v>3946</v>
      </c>
      <c r="M2287" t="s">
        <v>5575</v>
      </c>
      <c r="P2287" t="s">
        <v>2957</v>
      </c>
    </row>
    <row r="2288" spans="1:16" x14ac:dyDescent="0.2">
      <c r="A2288" t="s">
        <v>3952</v>
      </c>
      <c r="B2288" t="s">
        <v>2958</v>
      </c>
      <c r="C2288" t="s">
        <v>2780</v>
      </c>
      <c r="D2288" t="s">
        <v>2307</v>
      </c>
      <c r="E2288">
        <v>98030</v>
      </c>
      <c r="F2288" t="s">
        <v>1573</v>
      </c>
      <c r="G2288" t="s">
        <v>2014</v>
      </c>
      <c r="H2288" t="s">
        <v>4616</v>
      </c>
      <c r="I2288">
        <v>47.35821</v>
      </c>
      <c r="J2288">
        <v>-122.16752</v>
      </c>
      <c r="K2288" t="s">
        <v>3936</v>
      </c>
      <c r="L2288" t="s">
        <v>3946</v>
      </c>
      <c r="M2288" t="s">
        <v>5575</v>
      </c>
      <c r="P2288" t="s">
        <v>2958</v>
      </c>
    </row>
    <row r="2289" spans="1:16" x14ac:dyDescent="0.2">
      <c r="A2289" t="s">
        <v>2081</v>
      </c>
      <c r="B2289" t="s">
        <v>5197</v>
      </c>
      <c r="C2289" t="s">
        <v>2780</v>
      </c>
      <c r="D2289" t="s">
        <v>2307</v>
      </c>
      <c r="E2289">
        <v>98030</v>
      </c>
      <c r="F2289" t="s">
        <v>1600</v>
      </c>
      <c r="G2289" t="s">
        <v>1968</v>
      </c>
      <c r="H2289" t="s">
        <v>5529</v>
      </c>
      <c r="I2289">
        <v>47.358010999999998</v>
      </c>
      <c r="J2289">
        <v>-122.166484</v>
      </c>
      <c r="K2289" t="s">
        <v>3936</v>
      </c>
      <c r="L2289" t="s">
        <v>3946</v>
      </c>
      <c r="M2289" t="s">
        <v>5575</v>
      </c>
      <c r="P2289" t="s">
        <v>5197</v>
      </c>
    </row>
    <row r="2290" spans="1:16" x14ac:dyDescent="0.2">
      <c r="A2290" t="s">
        <v>2048</v>
      </c>
      <c r="B2290" t="s">
        <v>2959</v>
      </c>
      <c r="C2290" t="s">
        <v>2900</v>
      </c>
      <c r="D2290" t="s">
        <v>2307</v>
      </c>
      <c r="E2290">
        <v>98204</v>
      </c>
      <c r="F2290" t="s">
        <v>1573</v>
      </c>
      <c r="G2290" t="s">
        <v>2014</v>
      </c>
      <c r="H2290" t="s">
        <v>4617</v>
      </c>
      <c r="I2290">
        <v>47.922010999999998</v>
      </c>
      <c r="J2290">
        <v>-122.246233</v>
      </c>
      <c r="K2290" t="s">
        <v>3936</v>
      </c>
      <c r="L2290" t="s">
        <v>3946</v>
      </c>
      <c r="M2290" t="s">
        <v>5575</v>
      </c>
      <c r="P2290" t="s">
        <v>2959</v>
      </c>
    </row>
    <row r="2291" spans="1:16" x14ac:dyDescent="0.2">
      <c r="A2291" t="s">
        <v>2048</v>
      </c>
      <c r="B2291" t="s">
        <v>2960</v>
      </c>
      <c r="C2291" t="s">
        <v>2961</v>
      </c>
      <c r="D2291" t="s">
        <v>2307</v>
      </c>
      <c r="E2291">
        <v>98002</v>
      </c>
      <c r="F2291" t="s">
        <v>1573</v>
      </c>
      <c r="G2291" t="s">
        <v>2014</v>
      </c>
      <c r="H2291" t="s">
        <v>4618</v>
      </c>
      <c r="I2291">
        <v>47.339702000000003</v>
      </c>
      <c r="J2291">
        <v>-122.22225899999999</v>
      </c>
      <c r="K2291" t="s">
        <v>3936</v>
      </c>
      <c r="L2291" t="s">
        <v>3946</v>
      </c>
      <c r="M2291" t="s">
        <v>5575</v>
      </c>
      <c r="P2291" t="s">
        <v>2960</v>
      </c>
    </row>
    <row r="2292" spans="1:16" x14ac:dyDescent="0.2">
      <c r="A2292" t="s">
        <v>2059</v>
      </c>
      <c r="B2292" t="s">
        <v>2962</v>
      </c>
      <c r="C2292" t="s">
        <v>2900</v>
      </c>
      <c r="D2292" t="s">
        <v>2307</v>
      </c>
      <c r="E2292">
        <v>98208</v>
      </c>
      <c r="F2292" t="s">
        <v>1573</v>
      </c>
      <c r="G2292" t="s">
        <v>2067</v>
      </c>
      <c r="H2292" t="s">
        <v>5950</v>
      </c>
      <c r="I2292">
        <v>47.920712999999999</v>
      </c>
      <c r="J2292">
        <v>-122.229399</v>
      </c>
      <c r="K2292" t="s">
        <v>3936</v>
      </c>
      <c r="L2292" t="s">
        <v>3946</v>
      </c>
      <c r="M2292" t="s">
        <v>5575</v>
      </c>
      <c r="P2292" t="s">
        <v>2962</v>
      </c>
    </row>
    <row r="2293" spans="1:16" x14ac:dyDescent="0.2">
      <c r="A2293" t="s">
        <v>2223</v>
      </c>
      <c r="B2293" t="s">
        <v>2963</v>
      </c>
      <c r="C2293" t="s">
        <v>2930</v>
      </c>
      <c r="D2293" t="s">
        <v>2307</v>
      </c>
      <c r="E2293">
        <v>98003</v>
      </c>
      <c r="F2293" t="s">
        <v>1583</v>
      </c>
      <c r="G2293" t="s">
        <v>1980</v>
      </c>
      <c r="H2293" t="s">
        <v>4619</v>
      </c>
      <c r="I2293">
        <v>47.329355</v>
      </c>
      <c r="J2293">
        <v>-122.312071</v>
      </c>
      <c r="K2293" t="s">
        <v>3936</v>
      </c>
      <c r="L2293" t="s">
        <v>3946</v>
      </c>
      <c r="M2293" t="s">
        <v>5575</v>
      </c>
      <c r="P2293" t="s">
        <v>5756</v>
      </c>
    </row>
    <row r="2294" spans="1:16" x14ac:dyDescent="0.2">
      <c r="A2294" t="s">
        <v>2048</v>
      </c>
      <c r="B2294" t="s">
        <v>2964</v>
      </c>
      <c r="C2294" t="s">
        <v>2900</v>
      </c>
      <c r="D2294" t="s">
        <v>2307</v>
      </c>
      <c r="E2294">
        <v>98203</v>
      </c>
      <c r="F2294" t="s">
        <v>1573</v>
      </c>
      <c r="G2294" t="s">
        <v>2014</v>
      </c>
      <c r="H2294" t="s">
        <v>4620</v>
      </c>
      <c r="I2294">
        <v>47.925651000000002</v>
      </c>
      <c r="J2294">
        <v>-122.224408</v>
      </c>
      <c r="K2294" t="s">
        <v>3936</v>
      </c>
      <c r="L2294" t="s">
        <v>3946</v>
      </c>
      <c r="M2294" t="s">
        <v>5575</v>
      </c>
      <c r="P2294" t="s">
        <v>2964</v>
      </c>
    </row>
    <row r="2295" spans="1:16" x14ac:dyDescent="0.2">
      <c r="A2295" t="s">
        <v>2011</v>
      </c>
      <c r="B2295" t="s">
        <v>2965</v>
      </c>
      <c r="C2295" t="s">
        <v>2930</v>
      </c>
      <c r="D2295" t="s">
        <v>2307</v>
      </c>
      <c r="E2295">
        <v>98023</v>
      </c>
      <c r="F2295" t="s">
        <v>1573</v>
      </c>
      <c r="G2295" t="s">
        <v>1986</v>
      </c>
      <c r="H2295" t="s">
        <v>4621</v>
      </c>
      <c r="I2295">
        <v>47.322837999999997</v>
      </c>
      <c r="J2295">
        <v>-122.355813</v>
      </c>
      <c r="K2295" t="s">
        <v>3936</v>
      </c>
      <c r="L2295" t="s">
        <v>3946</v>
      </c>
      <c r="M2295" t="s">
        <v>5575</v>
      </c>
      <c r="P2295" t="s">
        <v>5734</v>
      </c>
    </row>
    <row r="2296" spans="1:16" x14ac:dyDescent="0.2">
      <c r="A2296" t="s">
        <v>2059</v>
      </c>
      <c r="B2296" t="s">
        <v>2966</v>
      </c>
      <c r="C2296" t="s">
        <v>2930</v>
      </c>
      <c r="D2296" t="s">
        <v>2307</v>
      </c>
      <c r="E2296">
        <v>98003</v>
      </c>
      <c r="F2296" t="s">
        <v>1600</v>
      </c>
      <c r="G2296" t="s">
        <v>2135</v>
      </c>
      <c r="H2296" t="s">
        <v>5281</v>
      </c>
      <c r="I2296">
        <v>47.322960999999999</v>
      </c>
      <c r="J2296">
        <v>-122.31322400000001</v>
      </c>
      <c r="K2296" t="s">
        <v>3936</v>
      </c>
      <c r="L2296" t="s">
        <v>3946</v>
      </c>
      <c r="M2296" t="s">
        <v>5575</v>
      </c>
      <c r="P2296" t="s">
        <v>2966</v>
      </c>
    </row>
    <row r="2297" spans="1:16" x14ac:dyDescent="0.2">
      <c r="A2297" t="s">
        <v>2011</v>
      </c>
      <c r="B2297" t="s">
        <v>6348</v>
      </c>
      <c r="C2297" t="s">
        <v>2900</v>
      </c>
      <c r="D2297" t="s">
        <v>2307</v>
      </c>
      <c r="E2297">
        <v>98203</v>
      </c>
      <c r="F2297" t="s">
        <v>1573</v>
      </c>
      <c r="G2297" t="s">
        <v>1986</v>
      </c>
      <c r="H2297" t="s">
        <v>4622</v>
      </c>
      <c r="I2297">
        <v>47.931283000000001</v>
      </c>
      <c r="J2297">
        <v>-122.248819</v>
      </c>
      <c r="K2297" t="s">
        <v>3936</v>
      </c>
      <c r="L2297" t="s">
        <v>3946</v>
      </c>
      <c r="M2297" t="s">
        <v>5575</v>
      </c>
      <c r="P2297" t="s">
        <v>6154</v>
      </c>
    </row>
    <row r="2298" spans="1:16" x14ac:dyDescent="0.2">
      <c r="A2298" t="s">
        <v>2007</v>
      </c>
      <c r="B2298" t="s">
        <v>2969</v>
      </c>
      <c r="C2298" t="s">
        <v>2900</v>
      </c>
      <c r="D2298" t="s">
        <v>2307</v>
      </c>
      <c r="E2298">
        <v>98203</v>
      </c>
      <c r="F2298" t="s">
        <v>1658</v>
      </c>
      <c r="G2298" t="s">
        <v>2110</v>
      </c>
      <c r="H2298" t="s">
        <v>5282</v>
      </c>
      <c r="I2298">
        <v>47.929212999999997</v>
      </c>
      <c r="J2298">
        <v>-122.221171</v>
      </c>
      <c r="K2298" t="s">
        <v>3936</v>
      </c>
      <c r="L2298" t="s">
        <v>3946</v>
      </c>
      <c r="M2298" t="s">
        <v>5575</v>
      </c>
      <c r="P2298" t="s">
        <v>2969</v>
      </c>
    </row>
    <row r="2299" spans="1:16" x14ac:dyDescent="0.2">
      <c r="A2299" t="s">
        <v>5576</v>
      </c>
      <c r="B2299" t="s">
        <v>5593</v>
      </c>
      <c r="C2299" t="s">
        <v>2970</v>
      </c>
      <c r="D2299" t="s">
        <v>2307</v>
      </c>
      <c r="E2299">
        <v>98042</v>
      </c>
      <c r="F2299" t="s">
        <v>1573</v>
      </c>
      <c r="G2299" t="s">
        <v>5578</v>
      </c>
      <c r="H2299" t="s">
        <v>5951</v>
      </c>
      <c r="I2299">
        <v>47.359139999999996</v>
      </c>
      <c r="J2299">
        <v>-122.11483</v>
      </c>
      <c r="K2299" t="s">
        <v>3936</v>
      </c>
      <c r="L2299" t="s">
        <v>3946</v>
      </c>
      <c r="M2299" t="s">
        <v>5575</v>
      </c>
      <c r="P2299" t="s">
        <v>5593</v>
      </c>
    </row>
    <row r="2300" spans="1:16" x14ac:dyDescent="0.2">
      <c r="A2300" t="s">
        <v>2059</v>
      </c>
      <c r="B2300" t="s">
        <v>2971</v>
      </c>
      <c r="C2300" t="s">
        <v>2780</v>
      </c>
      <c r="D2300" t="s">
        <v>2307</v>
      </c>
      <c r="E2300">
        <v>98042</v>
      </c>
      <c r="F2300" t="s">
        <v>1573</v>
      </c>
      <c r="G2300" t="s">
        <v>2067</v>
      </c>
      <c r="H2300" t="s">
        <v>5952</v>
      </c>
      <c r="I2300">
        <v>47.358007000000001</v>
      </c>
      <c r="J2300">
        <v>-122.117645</v>
      </c>
      <c r="K2300" t="s">
        <v>3936</v>
      </c>
      <c r="L2300" t="s">
        <v>3946</v>
      </c>
      <c r="M2300" t="s">
        <v>5575</v>
      </c>
      <c r="P2300" t="s">
        <v>2971</v>
      </c>
    </row>
    <row r="2301" spans="1:16" x14ac:dyDescent="0.2">
      <c r="A2301" t="s">
        <v>3952</v>
      </c>
      <c r="B2301" t="s">
        <v>2972</v>
      </c>
      <c r="C2301" t="s">
        <v>2780</v>
      </c>
      <c r="D2301" t="s">
        <v>2307</v>
      </c>
      <c r="E2301">
        <v>98042</v>
      </c>
      <c r="F2301" t="s">
        <v>1573</v>
      </c>
      <c r="G2301" t="s">
        <v>2014</v>
      </c>
      <c r="H2301" t="s">
        <v>4624</v>
      </c>
      <c r="I2301">
        <v>47.358035000000001</v>
      </c>
      <c r="J2301">
        <v>-122.114023</v>
      </c>
      <c r="K2301" t="s">
        <v>3936</v>
      </c>
      <c r="L2301" t="s">
        <v>3946</v>
      </c>
      <c r="M2301" t="s">
        <v>5575</v>
      </c>
      <c r="P2301" t="s">
        <v>2972</v>
      </c>
    </row>
    <row r="2302" spans="1:16" x14ac:dyDescent="0.2">
      <c r="A2302" t="s">
        <v>2011</v>
      </c>
      <c r="B2302" t="s">
        <v>2973</v>
      </c>
      <c r="C2302" t="s">
        <v>2970</v>
      </c>
      <c r="D2302" t="s">
        <v>2307</v>
      </c>
      <c r="E2302">
        <v>98042</v>
      </c>
      <c r="F2302" t="s">
        <v>1573</v>
      </c>
      <c r="G2302" t="s">
        <v>1986</v>
      </c>
      <c r="H2302" t="s">
        <v>4625</v>
      </c>
      <c r="I2302">
        <v>47.359499999999997</v>
      </c>
      <c r="J2302">
        <v>-122.11022199999999</v>
      </c>
      <c r="K2302" t="s">
        <v>3936</v>
      </c>
      <c r="L2302" t="s">
        <v>3946</v>
      </c>
      <c r="M2302" t="s">
        <v>5575</v>
      </c>
      <c r="P2302" t="s">
        <v>2973</v>
      </c>
    </row>
    <row r="2303" spans="1:16" x14ac:dyDescent="0.2">
      <c r="A2303" t="s">
        <v>2011</v>
      </c>
      <c r="B2303" t="s">
        <v>6349</v>
      </c>
      <c r="C2303" t="s">
        <v>2968</v>
      </c>
      <c r="D2303" t="s">
        <v>2307</v>
      </c>
      <c r="E2303">
        <v>98038</v>
      </c>
      <c r="F2303" t="s">
        <v>1573</v>
      </c>
      <c r="G2303" t="s">
        <v>1986</v>
      </c>
      <c r="H2303" t="s">
        <v>4626</v>
      </c>
      <c r="I2303">
        <v>47.388998999999998</v>
      </c>
      <c r="J2303">
        <v>-122.044669</v>
      </c>
      <c r="K2303" t="s">
        <v>3936</v>
      </c>
      <c r="L2303" t="s">
        <v>3946</v>
      </c>
      <c r="M2303" t="s">
        <v>5575</v>
      </c>
      <c r="P2303" t="s">
        <v>6155</v>
      </c>
    </row>
    <row r="2304" spans="1:16" x14ac:dyDescent="0.2">
      <c r="A2304" t="s">
        <v>2011</v>
      </c>
      <c r="B2304" t="s">
        <v>6350</v>
      </c>
      <c r="C2304" t="s">
        <v>2970</v>
      </c>
      <c r="D2304" t="s">
        <v>2307</v>
      </c>
      <c r="E2304">
        <v>98042</v>
      </c>
      <c r="F2304" t="s">
        <v>1573</v>
      </c>
      <c r="G2304" t="s">
        <v>1986</v>
      </c>
      <c r="H2304" t="s">
        <v>4627</v>
      </c>
      <c r="I2304">
        <v>47.358035000000001</v>
      </c>
      <c r="J2304">
        <v>-122.114023</v>
      </c>
      <c r="K2304" t="s">
        <v>3936</v>
      </c>
      <c r="L2304" t="s">
        <v>3946</v>
      </c>
      <c r="M2304" t="s">
        <v>5575</v>
      </c>
      <c r="P2304" t="s">
        <v>6156</v>
      </c>
    </row>
    <row r="2305" spans="1:16" x14ac:dyDescent="0.2">
      <c r="A2305" t="s">
        <v>2007</v>
      </c>
      <c r="B2305" t="s">
        <v>2974</v>
      </c>
      <c r="C2305" t="s">
        <v>2968</v>
      </c>
      <c r="D2305" t="s">
        <v>2307</v>
      </c>
      <c r="E2305">
        <v>98038</v>
      </c>
      <c r="F2305" t="s">
        <v>1658</v>
      </c>
      <c r="G2305" t="s">
        <v>2008</v>
      </c>
      <c r="H2305" t="s">
        <v>5953</v>
      </c>
      <c r="I2305">
        <v>47.388876000000003</v>
      </c>
      <c r="J2305">
        <v>-122.044203</v>
      </c>
      <c r="K2305" t="s">
        <v>3936</v>
      </c>
      <c r="L2305" t="s">
        <v>3946</v>
      </c>
      <c r="M2305" t="s">
        <v>5575</v>
      </c>
      <c r="P2305" t="s">
        <v>2974</v>
      </c>
    </row>
    <row r="2306" spans="1:16" x14ac:dyDescent="0.2">
      <c r="A2306" t="s">
        <v>2048</v>
      </c>
      <c r="B2306" t="s">
        <v>2975</v>
      </c>
      <c r="C2306" t="s">
        <v>2930</v>
      </c>
      <c r="D2306" t="s">
        <v>2307</v>
      </c>
      <c r="E2306">
        <v>98003</v>
      </c>
      <c r="F2306" t="s">
        <v>1573</v>
      </c>
      <c r="G2306" t="s">
        <v>2014</v>
      </c>
      <c r="H2306" t="s">
        <v>4628</v>
      </c>
      <c r="I2306">
        <v>47.316608000000002</v>
      </c>
      <c r="J2306">
        <v>-122.31340299999999</v>
      </c>
      <c r="K2306" t="s">
        <v>3936</v>
      </c>
      <c r="L2306" t="s">
        <v>3946</v>
      </c>
      <c r="M2306" t="s">
        <v>5575</v>
      </c>
      <c r="P2306" t="s">
        <v>2975</v>
      </c>
    </row>
    <row r="2307" spans="1:16" x14ac:dyDescent="0.2">
      <c r="A2307" t="s">
        <v>2048</v>
      </c>
      <c r="B2307" t="s">
        <v>2976</v>
      </c>
      <c r="C2307" t="s">
        <v>2970</v>
      </c>
      <c r="D2307" t="s">
        <v>2307</v>
      </c>
      <c r="E2307">
        <v>98042</v>
      </c>
      <c r="F2307" t="s">
        <v>1573</v>
      </c>
      <c r="G2307" t="s">
        <v>2014</v>
      </c>
      <c r="H2307" t="s">
        <v>4629</v>
      </c>
      <c r="I2307">
        <v>47.358215000000001</v>
      </c>
      <c r="J2307">
        <v>-122.10850499999999</v>
      </c>
      <c r="K2307" t="s">
        <v>3936</v>
      </c>
      <c r="L2307" t="s">
        <v>3946</v>
      </c>
      <c r="M2307" t="s">
        <v>5575</v>
      </c>
      <c r="P2307" t="s">
        <v>2976</v>
      </c>
    </row>
    <row r="2308" spans="1:16" x14ac:dyDescent="0.2">
      <c r="A2308" t="s">
        <v>2224</v>
      </c>
      <c r="B2308" t="s">
        <v>6351</v>
      </c>
      <c r="C2308" t="s">
        <v>2968</v>
      </c>
      <c r="D2308" t="s">
        <v>2307</v>
      </c>
      <c r="E2308">
        <v>98038</v>
      </c>
      <c r="F2308" t="s">
        <v>1591</v>
      </c>
      <c r="G2308" t="s">
        <v>1969</v>
      </c>
      <c r="H2308" t="s">
        <v>4630</v>
      </c>
      <c r="I2308">
        <v>47.387943</v>
      </c>
      <c r="J2308">
        <v>-122.042463</v>
      </c>
      <c r="K2308" t="s">
        <v>3936</v>
      </c>
      <c r="L2308" t="s">
        <v>3946</v>
      </c>
      <c r="M2308" t="s">
        <v>5575</v>
      </c>
      <c r="P2308" t="s">
        <v>6037</v>
      </c>
    </row>
    <row r="2309" spans="1:16" x14ac:dyDescent="0.2">
      <c r="A2309" t="s">
        <v>5576</v>
      </c>
      <c r="B2309" t="s">
        <v>5594</v>
      </c>
      <c r="C2309" t="s">
        <v>2930</v>
      </c>
      <c r="D2309" t="s">
        <v>2307</v>
      </c>
      <c r="E2309">
        <v>98003</v>
      </c>
      <c r="F2309" t="s">
        <v>1573</v>
      </c>
      <c r="G2309" t="s">
        <v>5578</v>
      </c>
      <c r="H2309" t="s">
        <v>5954</v>
      </c>
      <c r="I2309">
        <v>47.316476000000002</v>
      </c>
      <c r="J2309">
        <v>-122.302359</v>
      </c>
      <c r="K2309" t="s">
        <v>3936</v>
      </c>
      <c r="L2309" t="s">
        <v>3946</v>
      </c>
      <c r="M2309" t="s">
        <v>5575</v>
      </c>
      <c r="P2309" t="s">
        <v>5594</v>
      </c>
    </row>
    <row r="2310" spans="1:16" x14ac:dyDescent="0.2">
      <c r="A2310" t="s">
        <v>2073</v>
      </c>
      <c r="B2310" t="s">
        <v>2977</v>
      </c>
      <c r="C2310" t="s">
        <v>2930</v>
      </c>
      <c r="D2310" t="s">
        <v>2307</v>
      </c>
      <c r="E2310">
        <v>98003</v>
      </c>
      <c r="F2310" t="s">
        <v>1658</v>
      </c>
      <c r="G2310" t="s">
        <v>2074</v>
      </c>
      <c r="H2310" t="s">
        <v>4631</v>
      </c>
      <c r="I2310">
        <v>47.315202999999997</v>
      </c>
      <c r="J2310">
        <v>-122.31088</v>
      </c>
      <c r="K2310" t="s">
        <v>3936</v>
      </c>
      <c r="L2310" t="s">
        <v>3946</v>
      </c>
      <c r="M2310" t="s">
        <v>5575</v>
      </c>
      <c r="P2310" t="s">
        <v>2977</v>
      </c>
    </row>
    <row r="2311" spans="1:16" x14ac:dyDescent="0.2">
      <c r="A2311" t="s">
        <v>2015</v>
      </c>
      <c r="B2311" t="s">
        <v>2978</v>
      </c>
      <c r="C2311" t="s">
        <v>2979</v>
      </c>
      <c r="D2311" t="s">
        <v>2307</v>
      </c>
      <c r="E2311">
        <v>98003</v>
      </c>
      <c r="F2311" t="s">
        <v>1573</v>
      </c>
      <c r="G2311" t="s">
        <v>2071</v>
      </c>
      <c r="H2311" t="s">
        <v>5955</v>
      </c>
      <c r="I2311">
        <v>47.315252000000001</v>
      </c>
      <c r="J2311">
        <v>-122.30797200000001</v>
      </c>
      <c r="K2311" t="s">
        <v>3936</v>
      </c>
      <c r="L2311" t="s">
        <v>3946</v>
      </c>
      <c r="M2311" t="s">
        <v>5575</v>
      </c>
      <c r="P2311" t="s">
        <v>2978</v>
      </c>
    </row>
    <row r="2312" spans="1:16" x14ac:dyDescent="0.2">
      <c r="A2312" t="s">
        <v>2022</v>
      </c>
      <c r="B2312" t="s">
        <v>2980</v>
      </c>
      <c r="C2312" t="s">
        <v>2930</v>
      </c>
      <c r="D2312" t="s">
        <v>2307</v>
      </c>
      <c r="E2312">
        <v>98003</v>
      </c>
      <c r="F2312" t="s">
        <v>1573</v>
      </c>
      <c r="G2312" t="s">
        <v>2023</v>
      </c>
      <c r="H2312" t="s">
        <v>5283</v>
      </c>
      <c r="I2312">
        <v>47.313972999999997</v>
      </c>
      <c r="J2312">
        <v>-122.309252</v>
      </c>
      <c r="K2312" t="s">
        <v>3936</v>
      </c>
      <c r="L2312" t="s">
        <v>3946</v>
      </c>
      <c r="M2312" t="s">
        <v>5575</v>
      </c>
      <c r="P2312" t="s">
        <v>5778</v>
      </c>
    </row>
    <row r="2313" spans="1:16" x14ac:dyDescent="0.2">
      <c r="A2313" t="s">
        <v>2103</v>
      </c>
      <c r="B2313" t="s">
        <v>2981</v>
      </c>
      <c r="C2313" t="s">
        <v>2930</v>
      </c>
      <c r="D2313" t="s">
        <v>2307</v>
      </c>
      <c r="E2313">
        <v>98003</v>
      </c>
      <c r="F2313" t="s">
        <v>1600</v>
      </c>
      <c r="G2313" t="s">
        <v>2107</v>
      </c>
      <c r="H2313" t="s">
        <v>5956</v>
      </c>
      <c r="I2313">
        <v>47.313901999999999</v>
      </c>
      <c r="J2313">
        <v>-122.310114</v>
      </c>
      <c r="K2313" t="s">
        <v>3936</v>
      </c>
      <c r="L2313" t="s">
        <v>3946</v>
      </c>
      <c r="M2313" t="s">
        <v>5575</v>
      </c>
      <c r="P2313" t="s">
        <v>2981</v>
      </c>
    </row>
    <row r="2314" spans="1:16" x14ac:dyDescent="0.2">
      <c r="A2314" t="s">
        <v>2225</v>
      </c>
      <c r="B2314" t="s">
        <v>2982</v>
      </c>
      <c r="C2314" t="s">
        <v>2961</v>
      </c>
      <c r="D2314" t="s">
        <v>2307</v>
      </c>
      <c r="E2314">
        <v>98002</v>
      </c>
      <c r="F2314" t="s">
        <v>1600</v>
      </c>
      <c r="G2314" t="s">
        <v>2176</v>
      </c>
      <c r="H2314" t="s">
        <v>5957</v>
      </c>
      <c r="I2314">
        <v>47.323490999999997</v>
      </c>
      <c r="J2314">
        <v>-122.22129700000001</v>
      </c>
      <c r="K2314" t="s">
        <v>3936</v>
      </c>
      <c r="L2314" t="s">
        <v>3946</v>
      </c>
      <c r="M2314" t="s">
        <v>5575</v>
      </c>
      <c r="P2314" t="s">
        <v>2982</v>
      </c>
    </row>
    <row r="2315" spans="1:16" x14ac:dyDescent="0.2">
      <c r="A2315" t="s">
        <v>2011</v>
      </c>
      <c r="B2315" t="s">
        <v>6352</v>
      </c>
      <c r="C2315" t="s">
        <v>2930</v>
      </c>
      <c r="D2315" t="s">
        <v>2307</v>
      </c>
      <c r="E2315">
        <v>98003</v>
      </c>
      <c r="F2315" t="s">
        <v>1573</v>
      </c>
      <c r="G2315" t="s">
        <v>1986</v>
      </c>
      <c r="H2315" t="s">
        <v>4632</v>
      </c>
      <c r="I2315">
        <v>47.313218999999997</v>
      </c>
      <c r="J2315">
        <v>-122.31357300000001</v>
      </c>
      <c r="K2315" t="s">
        <v>3936</v>
      </c>
      <c r="L2315" t="s">
        <v>3946</v>
      </c>
      <c r="M2315" t="s">
        <v>5575</v>
      </c>
      <c r="P2315" t="s">
        <v>6157</v>
      </c>
    </row>
    <row r="2316" spans="1:16" x14ac:dyDescent="0.2">
      <c r="A2316" t="s">
        <v>2048</v>
      </c>
      <c r="B2316" t="s">
        <v>2983</v>
      </c>
      <c r="C2316" t="s">
        <v>2961</v>
      </c>
      <c r="D2316" t="s">
        <v>2307</v>
      </c>
      <c r="E2316">
        <v>98001</v>
      </c>
      <c r="F2316" t="s">
        <v>1573</v>
      </c>
      <c r="G2316" t="s">
        <v>2014</v>
      </c>
      <c r="H2316" t="s">
        <v>4633</v>
      </c>
      <c r="I2316">
        <v>47.315196</v>
      </c>
      <c r="J2316">
        <v>-122.28417899999999</v>
      </c>
      <c r="K2316" t="s">
        <v>3936</v>
      </c>
      <c r="L2316" t="s">
        <v>3946</v>
      </c>
      <c r="M2316" t="s">
        <v>5575</v>
      </c>
      <c r="P2316" t="s">
        <v>2983</v>
      </c>
    </row>
    <row r="2317" spans="1:16" x14ac:dyDescent="0.2">
      <c r="A2317" t="s">
        <v>2226</v>
      </c>
      <c r="B2317" t="s">
        <v>6237</v>
      </c>
      <c r="C2317" t="s">
        <v>2914</v>
      </c>
      <c r="D2317" t="s">
        <v>2307</v>
      </c>
      <c r="E2317">
        <v>98275</v>
      </c>
      <c r="F2317" t="s">
        <v>1573</v>
      </c>
      <c r="G2317" t="s">
        <v>1995</v>
      </c>
      <c r="H2317" t="s">
        <v>4635</v>
      </c>
      <c r="I2317">
        <v>47.946522999999999</v>
      </c>
      <c r="J2317">
        <v>-122.303436</v>
      </c>
      <c r="K2317" t="s">
        <v>3936</v>
      </c>
      <c r="L2317" t="s">
        <v>3946</v>
      </c>
      <c r="M2317" t="s">
        <v>5575</v>
      </c>
      <c r="P2317" t="s">
        <v>6038</v>
      </c>
    </row>
    <row r="2318" spans="1:16" x14ac:dyDescent="0.2">
      <c r="A2318" t="s">
        <v>2227</v>
      </c>
      <c r="B2318" t="s">
        <v>2985</v>
      </c>
      <c r="C2318" t="s">
        <v>2930</v>
      </c>
      <c r="D2318" t="s">
        <v>2307</v>
      </c>
      <c r="E2318">
        <v>98003</v>
      </c>
      <c r="F2318" t="s">
        <v>1573</v>
      </c>
      <c r="G2318" t="s">
        <v>1981</v>
      </c>
      <c r="H2318" t="s">
        <v>4636</v>
      </c>
      <c r="I2318">
        <v>47.313969</v>
      </c>
      <c r="J2318">
        <v>-122.30975599999999</v>
      </c>
      <c r="K2318" t="s">
        <v>3936</v>
      </c>
      <c r="L2318" t="s">
        <v>3946</v>
      </c>
      <c r="M2318" t="s">
        <v>5575</v>
      </c>
      <c r="P2318" t="s">
        <v>2985</v>
      </c>
    </row>
    <row r="2319" spans="1:16" x14ac:dyDescent="0.2">
      <c r="A2319" t="s">
        <v>2048</v>
      </c>
      <c r="B2319" t="s">
        <v>2986</v>
      </c>
      <c r="C2319" t="s">
        <v>2961</v>
      </c>
      <c r="D2319" t="s">
        <v>2307</v>
      </c>
      <c r="E2319">
        <v>98002</v>
      </c>
      <c r="F2319" t="s">
        <v>1573</v>
      </c>
      <c r="G2319" t="s">
        <v>2014</v>
      </c>
      <c r="H2319" t="s">
        <v>4637</v>
      </c>
      <c r="I2319">
        <v>47.321010000000001</v>
      </c>
      <c r="J2319">
        <v>-122.229302</v>
      </c>
      <c r="K2319" t="s">
        <v>3936</v>
      </c>
      <c r="L2319" t="s">
        <v>3946</v>
      </c>
      <c r="M2319" t="s">
        <v>5575</v>
      </c>
      <c r="P2319" t="s">
        <v>2986</v>
      </c>
    </row>
    <row r="2320" spans="1:16" x14ac:dyDescent="0.2">
      <c r="A2320" t="s">
        <v>3955</v>
      </c>
      <c r="B2320" t="s">
        <v>2987</v>
      </c>
      <c r="C2320" t="s">
        <v>2988</v>
      </c>
      <c r="D2320" t="s">
        <v>2307</v>
      </c>
      <c r="E2320">
        <v>98002</v>
      </c>
      <c r="F2320" t="s">
        <v>1658</v>
      </c>
      <c r="G2320" t="s">
        <v>2148</v>
      </c>
      <c r="H2320" t="s">
        <v>5959</v>
      </c>
      <c r="I2320">
        <v>47.320698</v>
      </c>
      <c r="J2320">
        <v>-122.227109</v>
      </c>
      <c r="K2320" t="s">
        <v>3936</v>
      </c>
      <c r="L2320" t="s">
        <v>3946</v>
      </c>
      <c r="M2320" t="s">
        <v>5575</v>
      </c>
      <c r="P2320" t="s">
        <v>2987</v>
      </c>
    </row>
    <row r="2321" spans="1:16" x14ac:dyDescent="0.2">
      <c r="A2321" t="s">
        <v>2059</v>
      </c>
      <c r="B2321" t="s">
        <v>2989</v>
      </c>
      <c r="C2321" t="s">
        <v>2961</v>
      </c>
      <c r="D2321" t="s">
        <v>2307</v>
      </c>
      <c r="E2321">
        <v>98002</v>
      </c>
      <c r="F2321" t="s">
        <v>1600</v>
      </c>
      <c r="G2321" t="s">
        <v>2060</v>
      </c>
      <c r="H2321" t="s">
        <v>5284</v>
      </c>
      <c r="I2321">
        <v>47.320708000000003</v>
      </c>
      <c r="J2321">
        <v>-122.225802</v>
      </c>
      <c r="K2321" t="s">
        <v>3936</v>
      </c>
      <c r="L2321" t="s">
        <v>3946</v>
      </c>
      <c r="M2321" t="s">
        <v>5575</v>
      </c>
      <c r="P2321" t="s">
        <v>2989</v>
      </c>
    </row>
    <row r="2322" spans="1:16" x14ac:dyDescent="0.2">
      <c r="A2322" t="s">
        <v>2007</v>
      </c>
      <c r="B2322" t="s">
        <v>2990</v>
      </c>
      <c r="C2322" t="s">
        <v>2930</v>
      </c>
      <c r="D2322" t="s">
        <v>2307</v>
      </c>
      <c r="E2322">
        <v>98003</v>
      </c>
      <c r="F2322" t="s">
        <v>1658</v>
      </c>
      <c r="G2322" t="s">
        <v>2110</v>
      </c>
      <c r="H2322" t="s">
        <v>5960</v>
      </c>
      <c r="I2322">
        <v>47.311787000000002</v>
      </c>
      <c r="J2322">
        <v>-122.31439399999999</v>
      </c>
      <c r="K2322" t="s">
        <v>3936</v>
      </c>
      <c r="L2322" t="s">
        <v>3946</v>
      </c>
      <c r="M2322" t="s">
        <v>5575</v>
      </c>
      <c r="P2322" t="s">
        <v>2990</v>
      </c>
    </row>
    <row r="2323" spans="1:16" x14ac:dyDescent="0.2">
      <c r="A2323" t="s">
        <v>3955</v>
      </c>
      <c r="B2323" t="s">
        <v>2991</v>
      </c>
      <c r="C2323" t="s">
        <v>2907</v>
      </c>
      <c r="D2323" t="s">
        <v>2307</v>
      </c>
      <c r="E2323">
        <v>98203</v>
      </c>
      <c r="F2323" t="s">
        <v>1658</v>
      </c>
      <c r="G2323" t="s">
        <v>2125</v>
      </c>
      <c r="H2323" t="s">
        <v>5961</v>
      </c>
      <c r="I2323">
        <v>47.938364999999997</v>
      </c>
      <c r="J2323">
        <v>-122.21829099999999</v>
      </c>
      <c r="K2323" t="s">
        <v>3936</v>
      </c>
      <c r="L2323" t="s">
        <v>3946</v>
      </c>
      <c r="M2323" t="s">
        <v>5575</v>
      </c>
      <c r="P2323" t="s">
        <v>2991</v>
      </c>
    </row>
    <row r="2324" spans="1:16" x14ac:dyDescent="0.2">
      <c r="A2324" t="s">
        <v>2228</v>
      </c>
      <c r="B2324" t="s">
        <v>2992</v>
      </c>
      <c r="C2324" t="s">
        <v>2961</v>
      </c>
      <c r="D2324" t="s">
        <v>2307</v>
      </c>
      <c r="E2324">
        <v>98002</v>
      </c>
      <c r="F2324" t="s">
        <v>1600</v>
      </c>
      <c r="G2324" t="s">
        <v>5421</v>
      </c>
      <c r="H2324" t="s">
        <v>5118</v>
      </c>
      <c r="I2324">
        <v>47.318694000000001</v>
      </c>
      <c r="J2324">
        <v>-122.221304</v>
      </c>
      <c r="K2324" t="s">
        <v>3936</v>
      </c>
      <c r="L2324" t="s">
        <v>3946</v>
      </c>
      <c r="M2324" t="s">
        <v>5575</v>
      </c>
      <c r="P2324" t="s">
        <v>2992</v>
      </c>
    </row>
    <row r="2325" spans="1:16" x14ac:dyDescent="0.2">
      <c r="A2325" t="s">
        <v>2011</v>
      </c>
      <c r="B2325" t="s">
        <v>2993</v>
      </c>
      <c r="C2325" t="s">
        <v>2930</v>
      </c>
      <c r="D2325" t="s">
        <v>2307</v>
      </c>
      <c r="E2325">
        <v>98003</v>
      </c>
      <c r="F2325" t="s">
        <v>1573</v>
      </c>
      <c r="G2325" t="s">
        <v>1986</v>
      </c>
      <c r="H2325" t="s">
        <v>4638</v>
      </c>
      <c r="I2325">
        <v>47.307189000000001</v>
      </c>
      <c r="J2325">
        <v>-122.33486499999999</v>
      </c>
      <c r="K2325" t="s">
        <v>3936</v>
      </c>
      <c r="L2325" t="s">
        <v>3946</v>
      </c>
      <c r="M2325" t="s">
        <v>5575</v>
      </c>
      <c r="P2325" t="s">
        <v>5735</v>
      </c>
    </row>
    <row r="2326" spans="1:16" x14ac:dyDescent="0.2">
      <c r="A2326" t="s">
        <v>2229</v>
      </c>
      <c r="B2326" t="s">
        <v>2994</v>
      </c>
      <c r="C2326" t="s">
        <v>2995</v>
      </c>
      <c r="D2326" t="s">
        <v>2307</v>
      </c>
      <c r="E2326">
        <v>98272</v>
      </c>
      <c r="F2326" t="s">
        <v>1600</v>
      </c>
      <c r="G2326" t="s">
        <v>2107</v>
      </c>
      <c r="H2326" t="s">
        <v>5805</v>
      </c>
      <c r="I2326">
        <v>47.862470000000002</v>
      </c>
      <c r="J2326">
        <v>-122.009479</v>
      </c>
      <c r="K2326" t="s">
        <v>3936</v>
      </c>
      <c r="L2326" t="s">
        <v>3946</v>
      </c>
      <c r="M2326" t="s">
        <v>5575</v>
      </c>
      <c r="P2326" t="s">
        <v>5672</v>
      </c>
    </row>
    <row r="2327" spans="1:16" x14ac:dyDescent="0.2">
      <c r="A2327" t="s">
        <v>2230</v>
      </c>
      <c r="B2327" t="s">
        <v>6241</v>
      </c>
      <c r="C2327" t="s">
        <v>2995</v>
      </c>
      <c r="D2327" t="s">
        <v>2307</v>
      </c>
      <c r="E2327">
        <v>98272</v>
      </c>
      <c r="F2327" t="s">
        <v>1583</v>
      </c>
      <c r="G2327" t="s">
        <v>1980</v>
      </c>
      <c r="H2327" t="s">
        <v>5422</v>
      </c>
      <c r="I2327">
        <v>47.862470000000002</v>
      </c>
      <c r="J2327">
        <v>-122.009479</v>
      </c>
      <c r="K2327" t="s">
        <v>3936</v>
      </c>
      <c r="L2327" t="s">
        <v>3946</v>
      </c>
      <c r="M2327" t="s">
        <v>5575</v>
      </c>
      <c r="P2327" t="s">
        <v>6039</v>
      </c>
    </row>
    <row r="2328" spans="1:16" x14ac:dyDescent="0.2">
      <c r="A2328" t="s">
        <v>2011</v>
      </c>
      <c r="B2328" t="s">
        <v>2996</v>
      </c>
      <c r="C2328" t="s">
        <v>2997</v>
      </c>
      <c r="D2328" t="s">
        <v>2307</v>
      </c>
      <c r="E2328">
        <v>98332</v>
      </c>
      <c r="F2328" t="s">
        <v>1573</v>
      </c>
      <c r="G2328" t="s">
        <v>1986</v>
      </c>
      <c r="H2328" t="s">
        <v>4639</v>
      </c>
      <c r="I2328">
        <v>47.361066999999998</v>
      </c>
      <c r="J2328">
        <v>-122.60713800000001</v>
      </c>
      <c r="K2328" t="s">
        <v>3936</v>
      </c>
      <c r="L2328" t="s">
        <v>3946</v>
      </c>
      <c r="M2328" t="s">
        <v>5575</v>
      </c>
      <c r="P2328" t="s">
        <v>2996</v>
      </c>
    </row>
    <row r="2329" spans="1:16" x14ac:dyDescent="0.2">
      <c r="A2329" t="s">
        <v>2231</v>
      </c>
      <c r="B2329" t="s">
        <v>2999</v>
      </c>
      <c r="C2329" t="s">
        <v>2888</v>
      </c>
      <c r="D2329" t="s">
        <v>2307</v>
      </c>
      <c r="E2329">
        <v>98290</v>
      </c>
      <c r="F2329" t="s">
        <v>1591</v>
      </c>
      <c r="G2329" t="s">
        <v>1969</v>
      </c>
      <c r="H2329" t="s">
        <v>5423</v>
      </c>
      <c r="I2329">
        <v>47.911645</v>
      </c>
      <c r="J2329">
        <v>-122.098798</v>
      </c>
      <c r="K2329" t="s">
        <v>3936</v>
      </c>
      <c r="L2329" t="s">
        <v>3946</v>
      </c>
      <c r="M2329" t="s">
        <v>5575</v>
      </c>
      <c r="P2329" t="s">
        <v>2999</v>
      </c>
    </row>
    <row r="2330" spans="1:16" x14ac:dyDescent="0.2">
      <c r="A2330" t="s">
        <v>2232</v>
      </c>
      <c r="B2330" t="s">
        <v>3000</v>
      </c>
      <c r="C2330" t="s">
        <v>2900</v>
      </c>
      <c r="D2330" t="s">
        <v>2307</v>
      </c>
      <c r="E2330">
        <v>98203</v>
      </c>
      <c r="F2330" t="s">
        <v>1716</v>
      </c>
      <c r="G2330" t="s">
        <v>2005</v>
      </c>
      <c r="H2330" t="s">
        <v>4640</v>
      </c>
      <c r="I2330">
        <v>47.944164000000001</v>
      </c>
      <c r="J2330">
        <v>-122.216675</v>
      </c>
      <c r="K2330" t="s">
        <v>3936</v>
      </c>
      <c r="L2330" t="s">
        <v>3946</v>
      </c>
      <c r="M2330" t="s">
        <v>5575</v>
      </c>
      <c r="P2330" t="s">
        <v>3000</v>
      </c>
    </row>
    <row r="2331" spans="1:16" x14ac:dyDescent="0.2">
      <c r="A2331" t="s">
        <v>2233</v>
      </c>
      <c r="B2331" t="s">
        <v>3001</v>
      </c>
      <c r="C2331" t="s">
        <v>2888</v>
      </c>
      <c r="D2331" t="s">
        <v>2307</v>
      </c>
      <c r="E2331">
        <v>98290</v>
      </c>
      <c r="F2331" t="s">
        <v>1583</v>
      </c>
      <c r="G2331" t="s">
        <v>1980</v>
      </c>
      <c r="H2331" t="s">
        <v>4971</v>
      </c>
      <c r="I2331">
        <v>47.914239999999999</v>
      </c>
      <c r="J2331">
        <v>-122.106459</v>
      </c>
      <c r="K2331" t="s">
        <v>3936</v>
      </c>
      <c r="L2331" t="s">
        <v>3946</v>
      </c>
      <c r="M2331" t="s">
        <v>5575</v>
      </c>
      <c r="P2331" t="s">
        <v>3001</v>
      </c>
    </row>
    <row r="2332" spans="1:16" x14ac:dyDescent="0.2">
      <c r="A2332" t="s">
        <v>2234</v>
      </c>
      <c r="B2332" t="s">
        <v>3002</v>
      </c>
      <c r="C2332" t="s">
        <v>2888</v>
      </c>
      <c r="D2332" t="s">
        <v>2307</v>
      </c>
      <c r="E2332">
        <v>98290</v>
      </c>
      <c r="F2332" t="s">
        <v>1600</v>
      </c>
      <c r="G2332" t="s">
        <v>1986</v>
      </c>
      <c r="H2332" t="s">
        <v>4641</v>
      </c>
      <c r="I2332">
        <v>47.911313999999997</v>
      </c>
      <c r="J2332">
        <v>-122.09601000000001</v>
      </c>
      <c r="K2332" t="s">
        <v>3936</v>
      </c>
      <c r="L2332" t="s">
        <v>3946</v>
      </c>
      <c r="M2332" t="s">
        <v>5575</v>
      </c>
      <c r="P2332" t="s">
        <v>3002</v>
      </c>
    </row>
    <row r="2333" spans="1:16" x14ac:dyDescent="0.2">
      <c r="A2333" t="s">
        <v>2235</v>
      </c>
      <c r="B2333" t="s">
        <v>3003</v>
      </c>
      <c r="C2333" t="s">
        <v>2888</v>
      </c>
      <c r="D2333" t="s">
        <v>2307</v>
      </c>
      <c r="E2333">
        <v>98290</v>
      </c>
      <c r="F2333" t="s">
        <v>1600</v>
      </c>
      <c r="G2333" t="s">
        <v>1986</v>
      </c>
      <c r="H2333" t="s">
        <v>5424</v>
      </c>
      <c r="I2333">
        <v>47.911265</v>
      </c>
      <c r="J2333">
        <v>-122.094674</v>
      </c>
      <c r="K2333" t="s">
        <v>3936</v>
      </c>
      <c r="L2333" t="s">
        <v>3946</v>
      </c>
      <c r="M2333" t="s">
        <v>5575</v>
      </c>
      <c r="P2333" t="s">
        <v>3003</v>
      </c>
    </row>
    <row r="2334" spans="1:16" x14ac:dyDescent="0.2">
      <c r="A2334" t="s">
        <v>2236</v>
      </c>
      <c r="B2334" t="s">
        <v>6242</v>
      </c>
      <c r="C2334" t="s">
        <v>2961</v>
      </c>
      <c r="D2334" t="s">
        <v>2307</v>
      </c>
      <c r="E2334">
        <v>98002</v>
      </c>
      <c r="F2334" t="s">
        <v>2039</v>
      </c>
      <c r="G2334" t="s">
        <v>2005</v>
      </c>
      <c r="H2334" t="s">
        <v>5119</v>
      </c>
      <c r="I2334">
        <v>47.314545000000003</v>
      </c>
      <c r="J2334">
        <v>-122.21376600000001</v>
      </c>
      <c r="K2334" t="s">
        <v>3936</v>
      </c>
      <c r="L2334" t="s">
        <v>3946</v>
      </c>
      <c r="M2334" t="s">
        <v>5575</v>
      </c>
      <c r="P2334" t="s">
        <v>6040</v>
      </c>
    </row>
    <row r="2335" spans="1:16" x14ac:dyDescent="0.2">
      <c r="A2335" t="s">
        <v>2237</v>
      </c>
      <c r="B2335" t="s">
        <v>6243</v>
      </c>
      <c r="C2335" t="s">
        <v>2995</v>
      </c>
      <c r="D2335" t="s">
        <v>2307</v>
      </c>
      <c r="E2335">
        <v>98272</v>
      </c>
      <c r="F2335" t="s">
        <v>1583</v>
      </c>
      <c r="G2335" t="s">
        <v>1980</v>
      </c>
      <c r="H2335" t="s">
        <v>5120</v>
      </c>
      <c r="I2335">
        <v>47.869774</v>
      </c>
      <c r="J2335">
        <v>-122.009602</v>
      </c>
      <c r="K2335" t="s">
        <v>3936</v>
      </c>
      <c r="L2335" t="s">
        <v>3946</v>
      </c>
      <c r="M2335" t="s">
        <v>5575</v>
      </c>
      <c r="P2335" t="s">
        <v>6041</v>
      </c>
    </row>
    <row r="2336" spans="1:16" x14ac:dyDescent="0.2">
      <c r="A2336" t="s">
        <v>2011</v>
      </c>
      <c r="B2336" t="s">
        <v>6353</v>
      </c>
      <c r="C2336" t="s">
        <v>2995</v>
      </c>
      <c r="D2336" t="s">
        <v>2307</v>
      </c>
      <c r="E2336">
        <v>98272</v>
      </c>
      <c r="F2336" t="s">
        <v>1573</v>
      </c>
      <c r="G2336" t="s">
        <v>1986</v>
      </c>
      <c r="H2336" t="s">
        <v>4642</v>
      </c>
      <c r="I2336">
        <v>47.869774</v>
      </c>
      <c r="J2336">
        <v>-122.009602</v>
      </c>
      <c r="K2336" t="s">
        <v>3936</v>
      </c>
      <c r="L2336" t="s">
        <v>3946</v>
      </c>
      <c r="M2336" t="s">
        <v>5575</v>
      </c>
      <c r="P2336" t="s">
        <v>6159</v>
      </c>
    </row>
    <row r="2337" spans="1:16" x14ac:dyDescent="0.2">
      <c r="A2337" t="s">
        <v>2011</v>
      </c>
      <c r="B2337" t="s">
        <v>3004</v>
      </c>
      <c r="C2337" t="s">
        <v>2961</v>
      </c>
      <c r="D2337" t="s">
        <v>2307</v>
      </c>
      <c r="E2337">
        <v>98092</v>
      </c>
      <c r="F2337" t="s">
        <v>1573</v>
      </c>
      <c r="G2337" t="s">
        <v>1986</v>
      </c>
      <c r="H2337" t="s">
        <v>4643</v>
      </c>
      <c r="I2337">
        <v>47.322564</v>
      </c>
      <c r="J2337">
        <v>-122.172656</v>
      </c>
      <c r="K2337" t="s">
        <v>3936</v>
      </c>
      <c r="L2337" t="s">
        <v>3946</v>
      </c>
      <c r="M2337" t="s">
        <v>5575</v>
      </c>
      <c r="P2337" t="s">
        <v>3004</v>
      </c>
    </row>
    <row r="2338" spans="1:16" x14ac:dyDescent="0.2">
      <c r="A2338" t="s">
        <v>2018</v>
      </c>
      <c r="B2338" t="s">
        <v>3005</v>
      </c>
      <c r="C2338" t="s">
        <v>2961</v>
      </c>
      <c r="D2338" t="s">
        <v>2307</v>
      </c>
      <c r="E2338">
        <v>98001</v>
      </c>
      <c r="F2338" t="s">
        <v>1600</v>
      </c>
      <c r="G2338" t="s">
        <v>2027</v>
      </c>
      <c r="H2338" t="s">
        <v>5167</v>
      </c>
      <c r="I2338">
        <v>47.309189000000003</v>
      </c>
      <c r="J2338">
        <v>-122.22971800000001</v>
      </c>
      <c r="K2338" t="s">
        <v>3936</v>
      </c>
      <c r="L2338" t="s">
        <v>3946</v>
      </c>
      <c r="M2338" t="s">
        <v>5575</v>
      </c>
      <c r="P2338" t="s">
        <v>3005</v>
      </c>
    </row>
    <row r="2339" spans="1:16" x14ac:dyDescent="0.2">
      <c r="A2339" t="s">
        <v>2238</v>
      </c>
      <c r="B2339" t="s">
        <v>6244</v>
      </c>
      <c r="C2339" t="s">
        <v>2888</v>
      </c>
      <c r="D2339" t="s">
        <v>2307</v>
      </c>
      <c r="E2339">
        <v>98290</v>
      </c>
      <c r="F2339" t="s">
        <v>1600</v>
      </c>
      <c r="G2339" t="s">
        <v>1986</v>
      </c>
      <c r="H2339" t="s">
        <v>4644</v>
      </c>
      <c r="I2339">
        <v>47.912703999999998</v>
      </c>
      <c r="J2339">
        <v>-122.08973899999999</v>
      </c>
      <c r="K2339" t="s">
        <v>3936</v>
      </c>
      <c r="L2339" t="s">
        <v>3946</v>
      </c>
      <c r="M2339" t="s">
        <v>5575</v>
      </c>
      <c r="P2339" t="s">
        <v>6042</v>
      </c>
    </row>
    <row r="2340" spans="1:16" x14ac:dyDescent="0.2">
      <c r="A2340" t="s">
        <v>2015</v>
      </c>
      <c r="B2340" t="s">
        <v>3006</v>
      </c>
      <c r="C2340" t="s">
        <v>2979</v>
      </c>
      <c r="D2340" t="s">
        <v>2307</v>
      </c>
      <c r="E2340">
        <v>98023</v>
      </c>
      <c r="F2340" t="s">
        <v>1573</v>
      </c>
      <c r="G2340" t="s">
        <v>1999</v>
      </c>
      <c r="H2340" t="s">
        <v>5963</v>
      </c>
      <c r="I2340">
        <v>47.300834000000002</v>
      </c>
      <c r="J2340">
        <v>-122.358819</v>
      </c>
      <c r="K2340" t="s">
        <v>3936</v>
      </c>
      <c r="L2340" t="s">
        <v>3946</v>
      </c>
      <c r="M2340" t="s">
        <v>5575</v>
      </c>
      <c r="P2340" t="s">
        <v>3006</v>
      </c>
    </row>
    <row r="2341" spans="1:16" x14ac:dyDescent="0.2">
      <c r="A2341" t="s">
        <v>2011</v>
      </c>
      <c r="B2341" t="s">
        <v>3007</v>
      </c>
      <c r="C2341" t="s">
        <v>2930</v>
      </c>
      <c r="D2341" t="s">
        <v>2307</v>
      </c>
      <c r="E2341">
        <v>98023</v>
      </c>
      <c r="F2341" t="s">
        <v>1573</v>
      </c>
      <c r="G2341" t="s">
        <v>1986</v>
      </c>
      <c r="H2341" t="s">
        <v>4645</v>
      </c>
      <c r="I2341">
        <v>47.300851999999999</v>
      </c>
      <c r="J2341">
        <v>-122.358797</v>
      </c>
      <c r="K2341" t="s">
        <v>3936</v>
      </c>
      <c r="L2341" t="s">
        <v>3946</v>
      </c>
      <c r="M2341" t="s">
        <v>5575</v>
      </c>
      <c r="P2341" t="s">
        <v>3007</v>
      </c>
    </row>
    <row r="2342" spans="1:16" x14ac:dyDescent="0.2">
      <c r="A2342" t="s">
        <v>2059</v>
      </c>
      <c r="B2342" t="s">
        <v>3008</v>
      </c>
      <c r="C2342" t="s">
        <v>2930</v>
      </c>
      <c r="D2342" t="s">
        <v>2307</v>
      </c>
      <c r="E2342">
        <v>98023</v>
      </c>
      <c r="F2342" t="s">
        <v>1600</v>
      </c>
      <c r="G2342" t="s">
        <v>2135</v>
      </c>
      <c r="H2342" t="s">
        <v>5964</v>
      </c>
      <c r="I2342">
        <v>47.300835999999997</v>
      </c>
      <c r="J2342">
        <v>-122.36307100000001</v>
      </c>
      <c r="K2342" t="s">
        <v>3936</v>
      </c>
      <c r="L2342" t="s">
        <v>3946</v>
      </c>
      <c r="M2342" t="s">
        <v>5575</v>
      </c>
      <c r="P2342" t="s">
        <v>3008</v>
      </c>
    </row>
    <row r="2343" spans="1:16" x14ac:dyDescent="0.2">
      <c r="A2343" t="s">
        <v>3955</v>
      </c>
      <c r="B2343" t="s">
        <v>3009</v>
      </c>
      <c r="C2343" t="s">
        <v>3010</v>
      </c>
      <c r="D2343" t="s">
        <v>2307</v>
      </c>
      <c r="E2343">
        <v>98023</v>
      </c>
      <c r="F2343" t="s">
        <v>1658</v>
      </c>
      <c r="G2343" t="s">
        <v>2148</v>
      </c>
      <c r="H2343" t="s">
        <v>5965</v>
      </c>
      <c r="I2343">
        <v>47.300575000000002</v>
      </c>
      <c r="J2343">
        <v>-122.361126</v>
      </c>
      <c r="K2343" t="s">
        <v>3936</v>
      </c>
      <c r="L2343" t="s">
        <v>3946</v>
      </c>
      <c r="M2343" t="s">
        <v>5575</v>
      </c>
      <c r="P2343" t="s">
        <v>3009</v>
      </c>
    </row>
    <row r="2344" spans="1:16" x14ac:dyDescent="0.2">
      <c r="A2344" t="s">
        <v>2007</v>
      </c>
      <c r="B2344" t="s">
        <v>3011</v>
      </c>
      <c r="C2344" t="s">
        <v>2930</v>
      </c>
      <c r="D2344" t="s">
        <v>2307</v>
      </c>
      <c r="E2344">
        <v>98023</v>
      </c>
      <c r="F2344" t="s">
        <v>1658</v>
      </c>
      <c r="G2344" t="s">
        <v>2066</v>
      </c>
      <c r="H2344" t="s">
        <v>5966</v>
      </c>
      <c r="I2344">
        <v>47.300558000000002</v>
      </c>
      <c r="J2344">
        <v>-122.36131399999999</v>
      </c>
      <c r="K2344" t="s">
        <v>3936</v>
      </c>
      <c r="L2344" t="s">
        <v>3946</v>
      </c>
      <c r="M2344" t="s">
        <v>5575</v>
      </c>
      <c r="P2344" t="s">
        <v>3011</v>
      </c>
    </row>
    <row r="2345" spans="1:16" x14ac:dyDescent="0.2">
      <c r="A2345" t="s">
        <v>2018</v>
      </c>
      <c r="B2345" t="s">
        <v>3012</v>
      </c>
      <c r="C2345" t="s">
        <v>2930</v>
      </c>
      <c r="D2345" t="s">
        <v>2307</v>
      </c>
      <c r="E2345">
        <v>98023</v>
      </c>
      <c r="F2345" t="s">
        <v>2019</v>
      </c>
      <c r="G2345" t="s">
        <v>1991</v>
      </c>
      <c r="H2345" t="s">
        <v>5168</v>
      </c>
      <c r="I2345">
        <v>47.300421999999998</v>
      </c>
      <c r="J2345">
        <v>-122.36071800000001</v>
      </c>
      <c r="K2345" t="s">
        <v>3936</v>
      </c>
      <c r="L2345" t="s">
        <v>3946</v>
      </c>
      <c r="M2345" t="s">
        <v>5575</v>
      </c>
      <c r="P2345" t="s">
        <v>3012</v>
      </c>
    </row>
    <row r="2346" spans="1:16" x14ac:dyDescent="0.2">
      <c r="A2346" t="s">
        <v>2239</v>
      </c>
      <c r="B2346" t="s">
        <v>3012</v>
      </c>
      <c r="C2346" t="s">
        <v>2930</v>
      </c>
      <c r="D2346" t="s">
        <v>2307</v>
      </c>
      <c r="E2346">
        <v>98023</v>
      </c>
      <c r="F2346" t="s">
        <v>2090</v>
      </c>
      <c r="G2346" t="s">
        <v>1969</v>
      </c>
      <c r="H2346" t="s">
        <v>4646</v>
      </c>
      <c r="I2346">
        <v>47.300421999999998</v>
      </c>
      <c r="J2346">
        <v>-122.36071800000001</v>
      </c>
      <c r="K2346" t="s">
        <v>3936</v>
      </c>
      <c r="L2346" t="s">
        <v>3946</v>
      </c>
      <c r="M2346" t="s">
        <v>5575</v>
      </c>
      <c r="P2346" t="s">
        <v>3012</v>
      </c>
    </row>
    <row r="2347" spans="1:16" x14ac:dyDescent="0.2">
      <c r="A2347" t="s">
        <v>2015</v>
      </c>
      <c r="B2347" t="s">
        <v>3013</v>
      </c>
      <c r="C2347" t="s">
        <v>3014</v>
      </c>
      <c r="D2347" t="s">
        <v>2307</v>
      </c>
      <c r="E2347">
        <v>98065</v>
      </c>
      <c r="F2347" t="s">
        <v>1573</v>
      </c>
      <c r="G2347" t="s">
        <v>2071</v>
      </c>
      <c r="H2347" t="s">
        <v>5967</v>
      </c>
      <c r="I2347">
        <v>47.530741999999996</v>
      </c>
      <c r="J2347">
        <v>-121.873142</v>
      </c>
      <c r="K2347" t="s">
        <v>3936</v>
      </c>
      <c r="L2347" t="s">
        <v>3946</v>
      </c>
      <c r="M2347" t="s">
        <v>5575</v>
      </c>
      <c r="P2347" t="s">
        <v>3013</v>
      </c>
    </row>
    <row r="2348" spans="1:16" x14ac:dyDescent="0.2">
      <c r="A2348" t="s">
        <v>2241</v>
      </c>
      <c r="B2348" t="s">
        <v>3016</v>
      </c>
      <c r="C2348" t="s">
        <v>3014</v>
      </c>
      <c r="D2348" t="s">
        <v>2307</v>
      </c>
      <c r="E2348">
        <v>98065</v>
      </c>
      <c r="F2348" t="s">
        <v>2094</v>
      </c>
      <c r="G2348" t="s">
        <v>2005</v>
      </c>
      <c r="H2348" t="s">
        <v>5425</v>
      </c>
      <c r="I2348">
        <v>47.530741999999996</v>
      </c>
      <c r="J2348">
        <v>-121.873142</v>
      </c>
      <c r="K2348" t="s">
        <v>3936</v>
      </c>
      <c r="L2348" t="s">
        <v>3946</v>
      </c>
      <c r="M2348" t="s">
        <v>5575</v>
      </c>
      <c r="P2348" t="s">
        <v>3016</v>
      </c>
    </row>
    <row r="2349" spans="1:16" x14ac:dyDescent="0.2">
      <c r="A2349" t="s">
        <v>2240</v>
      </c>
      <c r="B2349" t="s">
        <v>3015</v>
      </c>
      <c r="C2349" t="s">
        <v>3014</v>
      </c>
      <c r="D2349" t="s">
        <v>2307</v>
      </c>
      <c r="E2349">
        <v>98065</v>
      </c>
      <c r="F2349" t="s">
        <v>1716</v>
      </c>
      <c r="G2349" t="s">
        <v>1995</v>
      </c>
      <c r="H2349" t="s">
        <v>5426</v>
      </c>
      <c r="I2349">
        <v>47.530741999999996</v>
      </c>
      <c r="J2349">
        <v>-121.873142</v>
      </c>
      <c r="K2349" t="s">
        <v>3936</v>
      </c>
      <c r="L2349" t="s">
        <v>3946</v>
      </c>
      <c r="M2349" t="s">
        <v>5575</v>
      </c>
      <c r="P2349" t="s">
        <v>3015</v>
      </c>
    </row>
    <row r="2350" spans="1:16" x14ac:dyDescent="0.2">
      <c r="A2350" t="s">
        <v>2048</v>
      </c>
      <c r="B2350" t="s">
        <v>3017</v>
      </c>
      <c r="C2350" t="s">
        <v>2995</v>
      </c>
      <c r="D2350" t="s">
        <v>2307</v>
      </c>
      <c r="E2350">
        <v>98272</v>
      </c>
      <c r="F2350" t="s">
        <v>1573</v>
      </c>
      <c r="G2350" t="s">
        <v>2014</v>
      </c>
      <c r="H2350" t="s">
        <v>4647</v>
      </c>
      <c r="I2350">
        <v>47.873100000000001</v>
      </c>
      <c r="J2350">
        <v>-122.00717299999999</v>
      </c>
      <c r="K2350" t="s">
        <v>3936</v>
      </c>
      <c r="L2350" t="s">
        <v>3946</v>
      </c>
      <c r="M2350" t="s">
        <v>5575</v>
      </c>
      <c r="P2350" t="s">
        <v>3017</v>
      </c>
    </row>
    <row r="2351" spans="1:16" x14ac:dyDescent="0.2">
      <c r="A2351" t="s">
        <v>2011</v>
      </c>
      <c r="B2351" t="s">
        <v>6354</v>
      </c>
      <c r="C2351" t="s">
        <v>2900</v>
      </c>
      <c r="D2351" t="s">
        <v>2307</v>
      </c>
      <c r="E2351">
        <v>98201</v>
      </c>
      <c r="F2351" t="s">
        <v>1573</v>
      </c>
      <c r="G2351" t="s">
        <v>1986</v>
      </c>
      <c r="H2351" t="s">
        <v>4648</v>
      </c>
      <c r="I2351">
        <v>47.950329000000004</v>
      </c>
      <c r="J2351">
        <v>-122.21396300000001</v>
      </c>
      <c r="K2351" t="s">
        <v>3936</v>
      </c>
      <c r="L2351" t="s">
        <v>3946</v>
      </c>
      <c r="M2351" t="s">
        <v>5575</v>
      </c>
      <c r="P2351" t="s">
        <v>6160</v>
      </c>
    </row>
    <row r="2352" spans="1:16" x14ac:dyDescent="0.2">
      <c r="A2352" t="s">
        <v>2242</v>
      </c>
      <c r="B2352" t="s">
        <v>3018</v>
      </c>
      <c r="C2352" t="s">
        <v>2961</v>
      </c>
      <c r="D2352" t="s">
        <v>2307</v>
      </c>
      <c r="E2352">
        <v>98002</v>
      </c>
      <c r="F2352" t="s">
        <v>1583</v>
      </c>
      <c r="G2352" t="s">
        <v>1980</v>
      </c>
      <c r="H2352" t="s">
        <v>5121</v>
      </c>
      <c r="I2352">
        <v>47.307561</v>
      </c>
      <c r="J2352">
        <v>-122.22398800000001</v>
      </c>
      <c r="K2352" t="s">
        <v>3936</v>
      </c>
      <c r="L2352" t="s">
        <v>3946</v>
      </c>
      <c r="M2352" t="s">
        <v>5575</v>
      </c>
      <c r="P2352" t="s">
        <v>3018</v>
      </c>
    </row>
    <row r="2353" spans="1:16" x14ac:dyDescent="0.2">
      <c r="A2353" t="s">
        <v>2243</v>
      </c>
      <c r="B2353" t="s">
        <v>3019</v>
      </c>
      <c r="C2353" t="s">
        <v>2961</v>
      </c>
      <c r="D2353" t="s">
        <v>2307</v>
      </c>
      <c r="E2353">
        <v>98002</v>
      </c>
      <c r="F2353" t="s">
        <v>1716</v>
      </c>
      <c r="G2353" t="s">
        <v>2005</v>
      </c>
      <c r="H2353" t="s">
        <v>5428</v>
      </c>
      <c r="I2353">
        <v>47.306147000000003</v>
      </c>
      <c r="J2353">
        <v>-122.228813</v>
      </c>
      <c r="K2353" t="s">
        <v>3936</v>
      </c>
      <c r="L2353" t="s">
        <v>3946</v>
      </c>
      <c r="M2353" t="s">
        <v>5575</v>
      </c>
      <c r="P2353" t="s">
        <v>3019</v>
      </c>
    </row>
    <row r="2354" spans="1:16" x14ac:dyDescent="0.2">
      <c r="A2354" t="s">
        <v>2244</v>
      </c>
      <c r="B2354" t="s">
        <v>3020</v>
      </c>
      <c r="C2354" t="s">
        <v>2888</v>
      </c>
      <c r="D2354" t="s">
        <v>2307</v>
      </c>
      <c r="E2354">
        <v>98290</v>
      </c>
      <c r="F2354" t="s">
        <v>1716</v>
      </c>
      <c r="G2354" t="s">
        <v>2107</v>
      </c>
      <c r="H2354" t="s">
        <v>5122</v>
      </c>
      <c r="I2354">
        <v>47.920811</v>
      </c>
      <c r="J2354">
        <v>-122.098266</v>
      </c>
      <c r="K2354" t="s">
        <v>3936</v>
      </c>
      <c r="L2354" t="s">
        <v>3946</v>
      </c>
      <c r="M2354" t="s">
        <v>5575</v>
      </c>
      <c r="P2354" t="s">
        <v>3020</v>
      </c>
    </row>
    <row r="2355" spans="1:16" x14ac:dyDescent="0.2">
      <c r="A2355" t="s">
        <v>2011</v>
      </c>
      <c r="B2355" t="s">
        <v>6355</v>
      </c>
      <c r="C2355" t="s">
        <v>2888</v>
      </c>
      <c r="D2355" t="s">
        <v>2307</v>
      </c>
      <c r="E2355">
        <v>98290</v>
      </c>
      <c r="F2355" t="s">
        <v>1573</v>
      </c>
      <c r="G2355" t="s">
        <v>1986</v>
      </c>
      <c r="H2355" t="s">
        <v>4649</v>
      </c>
      <c r="I2355">
        <v>47.920881999999999</v>
      </c>
      <c r="J2355">
        <v>-122.09786099999999</v>
      </c>
      <c r="K2355" t="s">
        <v>3936</v>
      </c>
      <c r="L2355" t="s">
        <v>3946</v>
      </c>
      <c r="M2355" t="s">
        <v>5575</v>
      </c>
      <c r="P2355" t="s">
        <v>6161</v>
      </c>
    </row>
    <row r="2356" spans="1:16" x14ac:dyDescent="0.2">
      <c r="A2356" t="s">
        <v>2011</v>
      </c>
      <c r="B2356" t="s">
        <v>3021</v>
      </c>
      <c r="C2356" t="s">
        <v>3022</v>
      </c>
      <c r="D2356" t="s">
        <v>2307</v>
      </c>
      <c r="E2356">
        <v>98038</v>
      </c>
      <c r="F2356" t="s">
        <v>1573</v>
      </c>
      <c r="G2356" t="s">
        <v>1986</v>
      </c>
      <c r="H2356" t="s">
        <v>4650</v>
      </c>
      <c r="I2356">
        <v>47.357875</v>
      </c>
      <c r="J2356">
        <v>-122.053769</v>
      </c>
      <c r="K2356" t="s">
        <v>3936</v>
      </c>
      <c r="L2356" t="s">
        <v>3946</v>
      </c>
      <c r="M2356" t="s">
        <v>5575</v>
      </c>
      <c r="P2356" t="s">
        <v>5779</v>
      </c>
    </row>
    <row r="2357" spans="1:16" x14ac:dyDescent="0.2">
      <c r="A2357" t="s">
        <v>2011</v>
      </c>
      <c r="B2357" t="s">
        <v>3023</v>
      </c>
      <c r="C2357" t="s">
        <v>2930</v>
      </c>
      <c r="D2357" t="s">
        <v>2307</v>
      </c>
      <c r="E2357">
        <v>98023</v>
      </c>
      <c r="F2357" t="s">
        <v>1573</v>
      </c>
      <c r="G2357" t="s">
        <v>1986</v>
      </c>
      <c r="H2357" t="s">
        <v>4651</v>
      </c>
      <c r="I2357">
        <v>47.295754000000002</v>
      </c>
      <c r="J2357">
        <v>-122.344213</v>
      </c>
      <c r="K2357" t="s">
        <v>3936</v>
      </c>
      <c r="L2357" t="s">
        <v>3946</v>
      </c>
      <c r="M2357" t="s">
        <v>5575</v>
      </c>
      <c r="P2357" t="s">
        <v>3023</v>
      </c>
    </row>
    <row r="2358" spans="1:16" x14ac:dyDescent="0.2">
      <c r="A2358" t="s">
        <v>2059</v>
      </c>
      <c r="B2358" t="s">
        <v>3024</v>
      </c>
      <c r="C2358" t="s">
        <v>2888</v>
      </c>
      <c r="D2358" t="s">
        <v>2307</v>
      </c>
      <c r="E2358">
        <v>98290</v>
      </c>
      <c r="F2358" t="s">
        <v>1600</v>
      </c>
      <c r="G2358" t="s">
        <v>2063</v>
      </c>
      <c r="H2358" t="s">
        <v>5968</v>
      </c>
      <c r="I2358">
        <v>47.921931999999998</v>
      </c>
      <c r="J2358">
        <v>-122.097803</v>
      </c>
      <c r="K2358" t="s">
        <v>3936</v>
      </c>
      <c r="L2358" t="s">
        <v>3946</v>
      </c>
      <c r="M2358" t="s">
        <v>5575</v>
      </c>
      <c r="P2358" t="s">
        <v>3024</v>
      </c>
    </row>
    <row r="2359" spans="1:16" x14ac:dyDescent="0.2">
      <c r="A2359" t="s">
        <v>3952</v>
      </c>
      <c r="B2359" t="s">
        <v>3025</v>
      </c>
      <c r="C2359" t="s">
        <v>2900</v>
      </c>
      <c r="D2359" t="s">
        <v>2307</v>
      </c>
      <c r="E2359">
        <v>98203</v>
      </c>
      <c r="F2359" t="s">
        <v>1573</v>
      </c>
      <c r="G2359" t="s">
        <v>2014</v>
      </c>
      <c r="H2359" t="s">
        <v>4652</v>
      </c>
      <c r="I2359">
        <v>47.953876000000001</v>
      </c>
      <c r="J2359">
        <v>-122.213539</v>
      </c>
      <c r="K2359" t="s">
        <v>3936</v>
      </c>
      <c r="L2359" t="s">
        <v>3946</v>
      </c>
      <c r="M2359" t="s">
        <v>5575</v>
      </c>
      <c r="P2359" t="s">
        <v>3025</v>
      </c>
    </row>
    <row r="2360" spans="1:16" x14ac:dyDescent="0.2">
      <c r="A2360" t="s">
        <v>2059</v>
      </c>
      <c r="B2360" t="s">
        <v>3026</v>
      </c>
      <c r="C2360" t="s">
        <v>2961</v>
      </c>
      <c r="D2360" t="s">
        <v>2307</v>
      </c>
      <c r="E2360">
        <v>98002</v>
      </c>
      <c r="F2360" t="s">
        <v>1600</v>
      </c>
      <c r="G2360" t="s">
        <v>2060</v>
      </c>
      <c r="H2360" t="s">
        <v>5969</v>
      </c>
      <c r="I2360">
        <v>47.303068000000003</v>
      </c>
      <c r="J2360">
        <v>-122.22862000000001</v>
      </c>
      <c r="K2360" t="s">
        <v>3936</v>
      </c>
      <c r="L2360" t="s">
        <v>3946</v>
      </c>
      <c r="M2360" t="s">
        <v>5575</v>
      </c>
      <c r="P2360" t="s">
        <v>3026</v>
      </c>
    </row>
    <row r="2361" spans="1:16" x14ac:dyDescent="0.2">
      <c r="A2361" t="s">
        <v>2011</v>
      </c>
      <c r="B2361" t="s">
        <v>3027</v>
      </c>
      <c r="C2361" t="s">
        <v>2968</v>
      </c>
      <c r="D2361" t="s">
        <v>2307</v>
      </c>
      <c r="E2361">
        <v>98038</v>
      </c>
      <c r="F2361" t="s">
        <v>1573</v>
      </c>
      <c r="G2361" t="s">
        <v>1986</v>
      </c>
      <c r="H2361" t="s">
        <v>4653</v>
      </c>
      <c r="I2361">
        <v>47.366961000000003</v>
      </c>
      <c r="J2361">
        <v>-122.029985</v>
      </c>
      <c r="K2361" t="s">
        <v>3936</v>
      </c>
      <c r="L2361" t="s">
        <v>3946</v>
      </c>
      <c r="M2361" t="s">
        <v>5575</v>
      </c>
      <c r="P2361" t="s">
        <v>3027</v>
      </c>
    </row>
    <row r="2362" spans="1:16" x14ac:dyDescent="0.2">
      <c r="A2362" t="s">
        <v>2059</v>
      </c>
      <c r="B2362" t="s">
        <v>3028</v>
      </c>
      <c r="C2362" t="s">
        <v>2900</v>
      </c>
      <c r="D2362" t="s">
        <v>2307</v>
      </c>
      <c r="E2362">
        <v>98203</v>
      </c>
      <c r="F2362" t="s">
        <v>1600</v>
      </c>
      <c r="G2362" t="s">
        <v>2135</v>
      </c>
      <c r="H2362" t="s">
        <v>5970</v>
      </c>
      <c r="I2362">
        <v>47.955022</v>
      </c>
      <c r="J2362">
        <v>-122.21293</v>
      </c>
      <c r="K2362" t="s">
        <v>3936</v>
      </c>
      <c r="L2362" t="s">
        <v>3946</v>
      </c>
      <c r="M2362" t="s">
        <v>5575</v>
      </c>
      <c r="P2362" t="s">
        <v>3028</v>
      </c>
    </row>
    <row r="2363" spans="1:16" x14ac:dyDescent="0.2">
      <c r="A2363" t="s">
        <v>2007</v>
      </c>
      <c r="B2363" t="s">
        <v>3030</v>
      </c>
      <c r="C2363" t="s">
        <v>2961</v>
      </c>
      <c r="D2363" t="s">
        <v>2307</v>
      </c>
      <c r="E2363">
        <v>98002</v>
      </c>
      <c r="F2363" t="s">
        <v>1658</v>
      </c>
      <c r="G2363" t="s">
        <v>2008</v>
      </c>
      <c r="H2363" t="s">
        <v>5285</v>
      </c>
      <c r="I2363">
        <v>47.301537000000003</v>
      </c>
      <c r="J2363">
        <v>-122.22506799999999</v>
      </c>
      <c r="K2363" t="s">
        <v>3936</v>
      </c>
      <c r="L2363" t="s">
        <v>3946</v>
      </c>
      <c r="M2363" t="s">
        <v>5575</v>
      </c>
      <c r="P2363" t="s">
        <v>3030</v>
      </c>
    </row>
    <row r="2364" spans="1:16" x14ac:dyDescent="0.2">
      <c r="A2364" t="s">
        <v>2011</v>
      </c>
      <c r="B2364" t="s">
        <v>6356</v>
      </c>
      <c r="C2364" t="s">
        <v>2961</v>
      </c>
      <c r="D2364" t="s">
        <v>2307</v>
      </c>
      <c r="E2364">
        <v>98005</v>
      </c>
      <c r="F2364" t="s">
        <v>1573</v>
      </c>
      <c r="G2364" t="s">
        <v>1986</v>
      </c>
      <c r="H2364" t="s">
        <v>4654</v>
      </c>
      <c r="I2364">
        <v>47.301537000000003</v>
      </c>
      <c r="J2364">
        <v>-122.22506799999999</v>
      </c>
      <c r="K2364" t="s">
        <v>3936</v>
      </c>
      <c r="L2364" t="s">
        <v>3946</v>
      </c>
      <c r="M2364" t="s">
        <v>5575</v>
      </c>
      <c r="P2364" t="s">
        <v>6162</v>
      </c>
    </row>
    <row r="2365" spans="1:16" x14ac:dyDescent="0.2">
      <c r="A2365" t="s">
        <v>2245</v>
      </c>
      <c r="B2365" t="s">
        <v>3031</v>
      </c>
      <c r="C2365" t="s">
        <v>2888</v>
      </c>
      <c r="D2365" t="s">
        <v>2307</v>
      </c>
      <c r="E2365">
        <v>98290</v>
      </c>
      <c r="F2365" t="s">
        <v>1591</v>
      </c>
      <c r="G2365" t="s">
        <v>1969</v>
      </c>
      <c r="H2365" t="s">
        <v>5169</v>
      </c>
      <c r="I2365">
        <v>47.920485999999997</v>
      </c>
      <c r="J2365">
        <v>-122.085285</v>
      </c>
      <c r="K2365" t="s">
        <v>3936</v>
      </c>
      <c r="L2365" t="s">
        <v>3946</v>
      </c>
      <c r="M2365" t="s">
        <v>5575</v>
      </c>
      <c r="P2365" t="s">
        <v>3031</v>
      </c>
    </row>
    <row r="2366" spans="1:16" x14ac:dyDescent="0.2">
      <c r="A2366" t="s">
        <v>2011</v>
      </c>
      <c r="B2366" t="s">
        <v>3032</v>
      </c>
      <c r="C2366" t="s">
        <v>2930</v>
      </c>
      <c r="D2366" t="s">
        <v>2307</v>
      </c>
      <c r="E2366">
        <v>98003</v>
      </c>
      <c r="F2366" t="s">
        <v>1573</v>
      </c>
      <c r="G2366" t="s">
        <v>1986</v>
      </c>
      <c r="H2366" t="s">
        <v>4655</v>
      </c>
      <c r="I2366">
        <v>47.292019000000003</v>
      </c>
      <c r="J2366">
        <v>-122.313294</v>
      </c>
      <c r="K2366" t="s">
        <v>3936</v>
      </c>
      <c r="L2366" t="s">
        <v>3946</v>
      </c>
      <c r="M2366" t="s">
        <v>5575</v>
      </c>
      <c r="P2366" t="s">
        <v>3032</v>
      </c>
    </row>
    <row r="2367" spans="1:16" x14ac:dyDescent="0.2">
      <c r="A2367" t="s">
        <v>2015</v>
      </c>
      <c r="B2367" t="s">
        <v>6357</v>
      </c>
      <c r="C2367" t="s">
        <v>2995</v>
      </c>
      <c r="D2367" t="s">
        <v>2307</v>
      </c>
      <c r="E2367">
        <v>98272</v>
      </c>
      <c r="F2367" t="s">
        <v>1573</v>
      </c>
      <c r="G2367" t="s">
        <v>2016</v>
      </c>
      <c r="H2367" t="s">
        <v>5972</v>
      </c>
      <c r="I2367">
        <v>47.863543999999997</v>
      </c>
      <c r="J2367">
        <v>-121.976005</v>
      </c>
      <c r="K2367" t="s">
        <v>3936</v>
      </c>
      <c r="L2367" t="s">
        <v>3946</v>
      </c>
      <c r="M2367" t="s">
        <v>5575</v>
      </c>
      <c r="P2367" t="s">
        <v>6163</v>
      </c>
    </row>
    <row r="2368" spans="1:16" x14ac:dyDescent="0.2">
      <c r="A2368" t="s">
        <v>2261</v>
      </c>
      <c r="B2368" t="s">
        <v>5123</v>
      </c>
      <c r="C2368" t="s">
        <v>2995</v>
      </c>
      <c r="D2368" t="s">
        <v>2307</v>
      </c>
      <c r="E2368">
        <v>98272</v>
      </c>
      <c r="F2368" t="s">
        <v>1571</v>
      </c>
      <c r="G2368" t="s">
        <v>1987</v>
      </c>
      <c r="H2368" t="s">
        <v>5124</v>
      </c>
      <c r="I2368">
        <v>47.857450999999998</v>
      </c>
      <c r="J2368">
        <v>-121.96749699999999</v>
      </c>
      <c r="K2368" t="s">
        <v>3936</v>
      </c>
      <c r="L2368" t="s">
        <v>3946</v>
      </c>
      <c r="M2368" t="s">
        <v>5575</v>
      </c>
      <c r="P2368" t="s">
        <v>5123</v>
      </c>
    </row>
    <row r="2369" spans="1:16" x14ac:dyDescent="0.2">
      <c r="A2369" t="s">
        <v>3955</v>
      </c>
      <c r="B2369" t="s">
        <v>3033</v>
      </c>
      <c r="C2369" t="s">
        <v>3034</v>
      </c>
      <c r="D2369" t="s">
        <v>2307</v>
      </c>
      <c r="E2369">
        <v>98272</v>
      </c>
      <c r="F2369" t="s">
        <v>1658</v>
      </c>
      <c r="G2369" t="s">
        <v>2148</v>
      </c>
      <c r="H2369" t="s">
        <v>5973</v>
      </c>
      <c r="I2369">
        <v>47.858820999999999</v>
      </c>
      <c r="J2369">
        <v>-121.96889299999999</v>
      </c>
      <c r="K2369" t="s">
        <v>3936</v>
      </c>
      <c r="L2369" t="s">
        <v>3946</v>
      </c>
      <c r="M2369" t="s">
        <v>5575</v>
      </c>
      <c r="P2369" t="s">
        <v>3033</v>
      </c>
    </row>
    <row r="2370" spans="1:16" x14ac:dyDescent="0.2">
      <c r="A2370" t="s">
        <v>2246</v>
      </c>
      <c r="B2370" t="s">
        <v>3035</v>
      </c>
      <c r="C2370" t="s">
        <v>2995</v>
      </c>
      <c r="D2370" t="s">
        <v>2307</v>
      </c>
      <c r="E2370">
        <v>98272</v>
      </c>
      <c r="F2370" t="s">
        <v>1600</v>
      </c>
      <c r="G2370" t="s">
        <v>1982</v>
      </c>
      <c r="H2370" t="s">
        <v>5430</v>
      </c>
      <c r="I2370">
        <v>47.858983000000002</v>
      </c>
      <c r="J2370">
        <v>-121.96834800000001</v>
      </c>
      <c r="K2370" t="s">
        <v>3936</v>
      </c>
      <c r="L2370" t="s">
        <v>3946</v>
      </c>
      <c r="M2370" t="s">
        <v>5575</v>
      </c>
      <c r="P2370" t="s">
        <v>3035</v>
      </c>
    </row>
    <row r="2371" spans="1:16" x14ac:dyDescent="0.2">
      <c r="A2371" t="s">
        <v>3955</v>
      </c>
      <c r="B2371" t="s">
        <v>3036</v>
      </c>
      <c r="C2371" t="s">
        <v>2988</v>
      </c>
      <c r="D2371" t="s">
        <v>2307</v>
      </c>
      <c r="E2371">
        <v>98002</v>
      </c>
      <c r="F2371" t="s">
        <v>1658</v>
      </c>
      <c r="G2371" t="s">
        <v>2148</v>
      </c>
      <c r="H2371" t="s">
        <v>5974</v>
      </c>
      <c r="I2371">
        <v>47.300230999999997</v>
      </c>
      <c r="J2371">
        <v>-122.222818</v>
      </c>
      <c r="K2371" t="s">
        <v>3936</v>
      </c>
      <c r="L2371" t="s">
        <v>3946</v>
      </c>
      <c r="M2371" t="s">
        <v>5575</v>
      </c>
      <c r="P2371" t="s">
        <v>3036</v>
      </c>
    </row>
    <row r="2372" spans="1:16" x14ac:dyDescent="0.2">
      <c r="A2372" t="s">
        <v>2011</v>
      </c>
      <c r="B2372" t="s">
        <v>3037</v>
      </c>
      <c r="C2372" t="s">
        <v>2961</v>
      </c>
      <c r="D2372" t="s">
        <v>2307</v>
      </c>
      <c r="E2372">
        <v>98001</v>
      </c>
      <c r="F2372" t="s">
        <v>1573</v>
      </c>
      <c r="G2372" t="s">
        <v>1986</v>
      </c>
      <c r="H2372" t="s">
        <v>4656</v>
      </c>
      <c r="I2372">
        <v>47.296290999999997</v>
      </c>
      <c r="J2372">
        <v>-122.24764</v>
      </c>
      <c r="K2372" t="s">
        <v>3936</v>
      </c>
      <c r="L2372" t="s">
        <v>3946</v>
      </c>
      <c r="M2372" t="s">
        <v>5575</v>
      </c>
      <c r="P2372" t="s">
        <v>5780</v>
      </c>
    </row>
    <row r="2373" spans="1:16" x14ac:dyDescent="0.2">
      <c r="A2373" t="s">
        <v>2011</v>
      </c>
      <c r="B2373" t="s">
        <v>3038</v>
      </c>
      <c r="C2373" t="s">
        <v>2995</v>
      </c>
      <c r="D2373" t="s">
        <v>2307</v>
      </c>
      <c r="E2373">
        <v>98272</v>
      </c>
      <c r="F2373" t="s">
        <v>1573</v>
      </c>
      <c r="G2373" t="s">
        <v>1986</v>
      </c>
      <c r="H2373" t="s">
        <v>4657</v>
      </c>
      <c r="I2373">
        <v>47.858553999999998</v>
      </c>
      <c r="J2373">
        <v>-121.967696</v>
      </c>
      <c r="K2373" t="s">
        <v>3936</v>
      </c>
      <c r="L2373" t="s">
        <v>3946</v>
      </c>
      <c r="M2373" t="s">
        <v>5575</v>
      </c>
      <c r="P2373" t="s">
        <v>3038</v>
      </c>
    </row>
    <row r="2374" spans="1:16" x14ac:dyDescent="0.2">
      <c r="A2374" t="s">
        <v>2015</v>
      </c>
      <c r="B2374" t="s">
        <v>3039</v>
      </c>
      <c r="C2374" t="s">
        <v>2961</v>
      </c>
      <c r="D2374" t="s">
        <v>2307</v>
      </c>
      <c r="E2374">
        <v>98001</v>
      </c>
      <c r="F2374" t="s">
        <v>1573</v>
      </c>
      <c r="G2374" t="s">
        <v>2016</v>
      </c>
      <c r="H2374" t="s">
        <v>5975</v>
      </c>
      <c r="I2374">
        <v>47.296292000000001</v>
      </c>
      <c r="J2374">
        <v>-122.245966</v>
      </c>
      <c r="K2374" t="s">
        <v>3936</v>
      </c>
      <c r="L2374" t="s">
        <v>3946</v>
      </c>
      <c r="M2374" t="s">
        <v>5575</v>
      </c>
      <c r="P2374" t="s">
        <v>3039</v>
      </c>
    </row>
    <row r="2375" spans="1:16" x14ac:dyDescent="0.2">
      <c r="A2375" t="s">
        <v>2247</v>
      </c>
      <c r="B2375" t="s">
        <v>5288</v>
      </c>
      <c r="C2375" t="s">
        <v>2961</v>
      </c>
      <c r="D2375" t="s">
        <v>2307</v>
      </c>
      <c r="E2375">
        <v>98001</v>
      </c>
      <c r="F2375" t="s">
        <v>1658</v>
      </c>
      <c r="G2375" t="s">
        <v>5289</v>
      </c>
      <c r="H2375" t="s">
        <v>4658</v>
      </c>
      <c r="I2375">
        <v>47.296562999999999</v>
      </c>
      <c r="J2375">
        <v>-122.245617</v>
      </c>
      <c r="K2375" t="s">
        <v>3936</v>
      </c>
      <c r="L2375" t="s">
        <v>3946</v>
      </c>
      <c r="M2375" t="s">
        <v>5575</v>
      </c>
      <c r="P2375" t="s">
        <v>5288</v>
      </c>
    </row>
    <row r="2376" spans="1:16" x14ac:dyDescent="0.2">
      <c r="A2376" t="s">
        <v>2248</v>
      </c>
      <c r="B2376" t="s">
        <v>3040</v>
      </c>
      <c r="C2376" t="s">
        <v>2888</v>
      </c>
      <c r="D2376" t="s">
        <v>2307</v>
      </c>
      <c r="E2376">
        <v>98290</v>
      </c>
      <c r="F2376" t="s">
        <v>1585</v>
      </c>
      <c r="G2376" t="s">
        <v>2107</v>
      </c>
      <c r="H2376" t="s">
        <v>5125</v>
      </c>
      <c r="I2376">
        <v>47.928486999999997</v>
      </c>
      <c r="J2376">
        <v>-122.098964</v>
      </c>
      <c r="K2376" t="s">
        <v>3936</v>
      </c>
      <c r="L2376" t="s">
        <v>3946</v>
      </c>
      <c r="M2376" t="s">
        <v>5575</v>
      </c>
      <c r="P2376" t="s">
        <v>3040</v>
      </c>
    </row>
    <row r="2377" spans="1:16" x14ac:dyDescent="0.2">
      <c r="A2377" t="s">
        <v>2007</v>
      </c>
      <c r="B2377" t="s">
        <v>3041</v>
      </c>
      <c r="C2377" t="s">
        <v>2995</v>
      </c>
      <c r="D2377" t="s">
        <v>2307</v>
      </c>
      <c r="E2377">
        <v>98272</v>
      </c>
      <c r="F2377" t="s">
        <v>1658</v>
      </c>
      <c r="G2377" t="s">
        <v>2110</v>
      </c>
      <c r="H2377" t="s">
        <v>5290</v>
      </c>
      <c r="I2377">
        <v>47.858268000000002</v>
      </c>
      <c r="J2377">
        <v>-121.965182</v>
      </c>
      <c r="K2377" t="s">
        <v>3936</v>
      </c>
      <c r="L2377" t="s">
        <v>3946</v>
      </c>
      <c r="M2377" t="s">
        <v>5575</v>
      </c>
      <c r="P2377" t="s">
        <v>3041</v>
      </c>
    </row>
    <row r="2378" spans="1:16" x14ac:dyDescent="0.2">
      <c r="A2378" t="s">
        <v>2059</v>
      </c>
      <c r="B2378" t="s">
        <v>3042</v>
      </c>
      <c r="C2378" t="s">
        <v>2930</v>
      </c>
      <c r="D2378" t="s">
        <v>2307</v>
      </c>
      <c r="E2378">
        <v>98003</v>
      </c>
      <c r="F2378" t="s">
        <v>1600</v>
      </c>
      <c r="G2378" t="s">
        <v>2060</v>
      </c>
      <c r="H2378" t="s">
        <v>5976</v>
      </c>
      <c r="I2378">
        <v>47.290522000000003</v>
      </c>
      <c r="J2378">
        <v>-122.313092</v>
      </c>
      <c r="K2378" t="s">
        <v>3936</v>
      </c>
      <c r="L2378" t="s">
        <v>3946</v>
      </c>
      <c r="M2378" t="s">
        <v>5575</v>
      </c>
      <c r="P2378" t="s">
        <v>3042</v>
      </c>
    </row>
    <row r="2379" spans="1:16" x14ac:dyDescent="0.2">
      <c r="A2379" t="s">
        <v>2249</v>
      </c>
      <c r="B2379" t="s">
        <v>6245</v>
      </c>
      <c r="C2379" t="s">
        <v>2930</v>
      </c>
      <c r="D2379" t="s">
        <v>2307</v>
      </c>
      <c r="E2379">
        <v>98003</v>
      </c>
      <c r="F2379" t="s">
        <v>2035</v>
      </c>
      <c r="G2379" t="s">
        <v>2005</v>
      </c>
      <c r="H2379" t="s">
        <v>5806</v>
      </c>
      <c r="I2379">
        <v>47.289720000000003</v>
      </c>
      <c r="J2379">
        <v>-122.318094</v>
      </c>
      <c r="K2379" t="s">
        <v>3936</v>
      </c>
      <c r="L2379" t="s">
        <v>3946</v>
      </c>
      <c r="M2379" t="s">
        <v>5575</v>
      </c>
      <c r="P2379" t="s">
        <v>6043</v>
      </c>
    </row>
    <row r="2380" spans="1:16" x14ac:dyDescent="0.2">
      <c r="A2380" t="s">
        <v>2059</v>
      </c>
      <c r="B2380" t="s">
        <v>3043</v>
      </c>
      <c r="C2380" t="s">
        <v>2995</v>
      </c>
      <c r="D2380" t="s">
        <v>2307</v>
      </c>
      <c r="E2380">
        <v>98272</v>
      </c>
      <c r="F2380" t="s">
        <v>1573</v>
      </c>
      <c r="G2380" t="s">
        <v>2067</v>
      </c>
      <c r="H2380" t="s">
        <v>5977</v>
      </c>
      <c r="I2380">
        <v>47.857937</v>
      </c>
      <c r="J2380">
        <v>-121.96395699999999</v>
      </c>
      <c r="K2380" t="s">
        <v>3936</v>
      </c>
      <c r="L2380" t="s">
        <v>3946</v>
      </c>
      <c r="M2380" t="s">
        <v>5575</v>
      </c>
      <c r="P2380" t="s">
        <v>3043</v>
      </c>
    </row>
    <row r="2381" spans="1:16" x14ac:dyDescent="0.2">
      <c r="A2381" t="s">
        <v>2048</v>
      </c>
      <c r="B2381" t="s">
        <v>3044</v>
      </c>
      <c r="C2381" t="s">
        <v>2888</v>
      </c>
      <c r="D2381" t="s">
        <v>2307</v>
      </c>
      <c r="E2381">
        <v>98290</v>
      </c>
      <c r="F2381" t="s">
        <v>1573</v>
      </c>
      <c r="G2381" t="s">
        <v>2014</v>
      </c>
      <c r="H2381" t="s">
        <v>4659</v>
      </c>
      <c r="I2381">
        <v>47.929755</v>
      </c>
      <c r="J2381">
        <v>-122.100318</v>
      </c>
      <c r="K2381" t="s">
        <v>3936</v>
      </c>
      <c r="L2381" t="s">
        <v>3946</v>
      </c>
      <c r="M2381" t="s">
        <v>5575</v>
      </c>
      <c r="P2381" t="s">
        <v>3044</v>
      </c>
    </row>
    <row r="2382" spans="1:16" x14ac:dyDescent="0.2">
      <c r="A2382" t="s">
        <v>2111</v>
      </c>
      <c r="B2382" t="s">
        <v>3045</v>
      </c>
      <c r="C2382" t="s">
        <v>2930</v>
      </c>
      <c r="D2382" t="s">
        <v>2307</v>
      </c>
      <c r="E2382">
        <v>98003</v>
      </c>
      <c r="F2382" t="s">
        <v>1600</v>
      </c>
      <c r="G2382" t="s">
        <v>2149</v>
      </c>
      <c r="H2382" t="s">
        <v>5431</v>
      </c>
      <c r="I2382">
        <v>47.289558</v>
      </c>
      <c r="J2382">
        <v>-122.31482200000001</v>
      </c>
      <c r="K2382" t="s">
        <v>3936</v>
      </c>
      <c r="L2382" t="s">
        <v>3946</v>
      </c>
      <c r="M2382" t="s">
        <v>5575</v>
      </c>
      <c r="P2382" t="s">
        <v>3045</v>
      </c>
    </row>
    <row r="2383" spans="1:16" x14ac:dyDescent="0.2">
      <c r="A2383" t="s">
        <v>2011</v>
      </c>
      <c r="B2383" t="s">
        <v>6358</v>
      </c>
      <c r="C2383" t="s">
        <v>2930</v>
      </c>
      <c r="D2383" t="s">
        <v>2307</v>
      </c>
      <c r="E2383">
        <v>98003</v>
      </c>
      <c r="F2383" t="s">
        <v>1573</v>
      </c>
      <c r="G2383" t="s">
        <v>1986</v>
      </c>
      <c r="H2383" t="s">
        <v>4660</v>
      </c>
      <c r="I2383">
        <v>47.289720000000003</v>
      </c>
      <c r="J2383">
        <v>-122.318094</v>
      </c>
      <c r="K2383" t="s">
        <v>3936</v>
      </c>
      <c r="L2383" t="s">
        <v>3946</v>
      </c>
      <c r="M2383" t="s">
        <v>5575</v>
      </c>
      <c r="P2383" t="s">
        <v>6043</v>
      </c>
    </row>
    <row r="2384" spans="1:16" x14ac:dyDescent="0.2">
      <c r="A2384" t="s">
        <v>2158</v>
      </c>
      <c r="B2384" t="s">
        <v>3047</v>
      </c>
      <c r="C2384" t="s">
        <v>2930</v>
      </c>
      <c r="D2384" t="s">
        <v>2307</v>
      </c>
      <c r="E2384">
        <v>98003</v>
      </c>
      <c r="F2384" t="s">
        <v>1716</v>
      </c>
      <c r="G2384" t="s">
        <v>2000</v>
      </c>
      <c r="H2384" t="s">
        <v>4662</v>
      </c>
      <c r="I2384">
        <v>47.288403000000002</v>
      </c>
      <c r="J2384">
        <v>-122.313326</v>
      </c>
      <c r="K2384" t="s">
        <v>3936</v>
      </c>
      <c r="L2384" t="s">
        <v>3946</v>
      </c>
      <c r="M2384" t="s">
        <v>5575</v>
      </c>
      <c r="P2384" t="s">
        <v>3047</v>
      </c>
    </row>
    <row r="2385" spans="1:16" x14ac:dyDescent="0.2">
      <c r="A2385" t="s">
        <v>2250</v>
      </c>
      <c r="B2385" t="s">
        <v>3048</v>
      </c>
      <c r="C2385" t="s">
        <v>2961</v>
      </c>
      <c r="D2385" t="s">
        <v>2307</v>
      </c>
      <c r="E2385">
        <v>98002</v>
      </c>
      <c r="F2385" t="s">
        <v>2044</v>
      </c>
      <c r="G2385" t="s">
        <v>2005</v>
      </c>
      <c r="H2385" t="s">
        <v>5127</v>
      </c>
      <c r="I2385">
        <v>47.295748000000003</v>
      </c>
      <c r="J2385">
        <v>-122.228782</v>
      </c>
      <c r="K2385" t="s">
        <v>3936</v>
      </c>
      <c r="L2385" t="s">
        <v>3946</v>
      </c>
      <c r="M2385" t="s">
        <v>5575</v>
      </c>
      <c r="P2385" t="s">
        <v>3048</v>
      </c>
    </row>
    <row r="2386" spans="1:16" x14ac:dyDescent="0.2">
      <c r="A2386" t="s">
        <v>3952</v>
      </c>
      <c r="B2386" t="s">
        <v>3049</v>
      </c>
      <c r="C2386" t="s">
        <v>2961</v>
      </c>
      <c r="D2386" t="s">
        <v>2307</v>
      </c>
      <c r="E2386">
        <v>98002</v>
      </c>
      <c r="F2386" t="s">
        <v>1573</v>
      </c>
      <c r="G2386" t="s">
        <v>2014</v>
      </c>
      <c r="H2386" t="s">
        <v>4663</v>
      </c>
      <c r="I2386">
        <v>47.296888000000003</v>
      </c>
      <c r="J2386">
        <v>-122.217389</v>
      </c>
      <c r="K2386" t="s">
        <v>3936</v>
      </c>
      <c r="L2386" t="s">
        <v>3946</v>
      </c>
      <c r="M2386" t="s">
        <v>5575</v>
      </c>
      <c r="P2386" t="s">
        <v>3049</v>
      </c>
    </row>
    <row r="2387" spans="1:16" x14ac:dyDescent="0.2">
      <c r="A2387" t="s">
        <v>3955</v>
      </c>
      <c r="B2387" t="s">
        <v>3050</v>
      </c>
      <c r="C2387" t="s">
        <v>3051</v>
      </c>
      <c r="D2387" t="s">
        <v>2307</v>
      </c>
      <c r="E2387">
        <v>98038</v>
      </c>
      <c r="F2387" t="s">
        <v>1658</v>
      </c>
      <c r="G2387" t="s">
        <v>2125</v>
      </c>
      <c r="H2387" t="s">
        <v>5291</v>
      </c>
      <c r="I2387">
        <v>47.361418999999998</v>
      </c>
      <c r="J2387">
        <v>-122.022704</v>
      </c>
      <c r="K2387" t="s">
        <v>3936</v>
      </c>
      <c r="L2387" t="s">
        <v>3946</v>
      </c>
      <c r="M2387" t="s">
        <v>5575</v>
      </c>
      <c r="P2387" t="s">
        <v>3050</v>
      </c>
    </row>
    <row r="2388" spans="1:16" x14ac:dyDescent="0.2">
      <c r="A2388" t="s">
        <v>2048</v>
      </c>
      <c r="B2388" t="s">
        <v>3053</v>
      </c>
      <c r="C2388" t="s">
        <v>2900</v>
      </c>
      <c r="D2388" t="s">
        <v>2307</v>
      </c>
      <c r="E2388">
        <v>98201</v>
      </c>
      <c r="F2388" t="s">
        <v>1573</v>
      </c>
      <c r="G2388" t="s">
        <v>2014</v>
      </c>
      <c r="H2388" t="s">
        <v>4665</v>
      </c>
      <c r="I2388">
        <v>47.964148000000002</v>
      </c>
      <c r="J2388">
        <v>-122.211082</v>
      </c>
      <c r="K2388" t="s">
        <v>3936</v>
      </c>
      <c r="L2388" t="s">
        <v>3946</v>
      </c>
      <c r="M2388" t="s">
        <v>5575</v>
      </c>
      <c r="P2388" t="s">
        <v>3053</v>
      </c>
    </row>
    <row r="2389" spans="1:16" x14ac:dyDescent="0.2">
      <c r="A2389" t="s">
        <v>2015</v>
      </c>
      <c r="B2389" t="s">
        <v>3054</v>
      </c>
      <c r="C2389" t="s">
        <v>3055</v>
      </c>
      <c r="D2389" t="s">
        <v>2307</v>
      </c>
      <c r="E2389">
        <v>98039</v>
      </c>
      <c r="F2389" t="s">
        <v>1573</v>
      </c>
      <c r="G2389" t="s">
        <v>2071</v>
      </c>
      <c r="H2389" t="s">
        <v>5978</v>
      </c>
      <c r="I2389">
        <v>47.359383999999999</v>
      </c>
      <c r="J2389">
        <v>-122.02027200000001</v>
      </c>
      <c r="K2389" t="s">
        <v>3936</v>
      </c>
      <c r="L2389" t="s">
        <v>3946</v>
      </c>
      <c r="M2389" t="s">
        <v>5575</v>
      </c>
      <c r="P2389" t="s">
        <v>3054</v>
      </c>
    </row>
    <row r="2390" spans="1:16" x14ac:dyDescent="0.2">
      <c r="A2390" t="s">
        <v>3952</v>
      </c>
      <c r="B2390" t="s">
        <v>3056</v>
      </c>
      <c r="C2390" t="s">
        <v>2930</v>
      </c>
      <c r="D2390" t="s">
        <v>2307</v>
      </c>
      <c r="E2390">
        <v>98023</v>
      </c>
      <c r="F2390" t="s">
        <v>1573</v>
      </c>
      <c r="G2390" t="s">
        <v>2014</v>
      </c>
      <c r="H2390" t="s">
        <v>4666</v>
      </c>
      <c r="I2390">
        <v>47.283400999999998</v>
      </c>
      <c r="J2390">
        <v>-122.361344</v>
      </c>
      <c r="K2390" t="s">
        <v>3936</v>
      </c>
      <c r="L2390" t="s">
        <v>3946</v>
      </c>
      <c r="M2390" t="s">
        <v>5575</v>
      </c>
      <c r="P2390" t="s">
        <v>3056</v>
      </c>
    </row>
    <row r="2391" spans="1:16" x14ac:dyDescent="0.2">
      <c r="A2391" t="s">
        <v>2251</v>
      </c>
      <c r="B2391" t="s">
        <v>3057</v>
      </c>
      <c r="C2391" t="s">
        <v>2930</v>
      </c>
      <c r="D2391" t="s">
        <v>2307</v>
      </c>
      <c r="E2391">
        <v>98023</v>
      </c>
      <c r="F2391" t="s">
        <v>1583</v>
      </c>
      <c r="G2391" t="s">
        <v>1980</v>
      </c>
      <c r="H2391" t="s">
        <v>4667</v>
      </c>
      <c r="I2391">
        <v>47.283414</v>
      </c>
      <c r="J2391">
        <v>-122.361329</v>
      </c>
      <c r="K2391" t="s">
        <v>3936</v>
      </c>
      <c r="L2391" t="s">
        <v>3946</v>
      </c>
      <c r="M2391" t="s">
        <v>5575</v>
      </c>
      <c r="P2391" t="s">
        <v>3057</v>
      </c>
    </row>
    <row r="2392" spans="1:16" x14ac:dyDescent="0.2">
      <c r="A2392" t="s">
        <v>2011</v>
      </c>
      <c r="B2392" t="s">
        <v>3058</v>
      </c>
      <c r="C2392" t="s">
        <v>2888</v>
      </c>
      <c r="D2392" t="s">
        <v>2307</v>
      </c>
      <c r="E2392">
        <v>98290</v>
      </c>
      <c r="F2392" t="s">
        <v>1573</v>
      </c>
      <c r="G2392" t="s">
        <v>1986</v>
      </c>
      <c r="H2392" t="s">
        <v>4668</v>
      </c>
      <c r="I2392">
        <v>47.942556000000003</v>
      </c>
      <c r="J2392">
        <v>-122.10852800000001</v>
      </c>
      <c r="K2392" t="s">
        <v>3936</v>
      </c>
      <c r="L2392" t="s">
        <v>3946</v>
      </c>
      <c r="M2392" t="s">
        <v>5575</v>
      </c>
      <c r="P2392" t="s">
        <v>3058</v>
      </c>
    </row>
    <row r="2393" spans="1:16" x14ac:dyDescent="0.2">
      <c r="A2393" t="s">
        <v>2011</v>
      </c>
      <c r="B2393" t="s">
        <v>3059</v>
      </c>
      <c r="C2393" t="s">
        <v>3060</v>
      </c>
      <c r="D2393" t="s">
        <v>2307</v>
      </c>
      <c r="E2393">
        <v>98236</v>
      </c>
      <c r="F2393" t="s">
        <v>1573</v>
      </c>
      <c r="G2393" t="s">
        <v>1986</v>
      </c>
      <c r="H2393" t="s">
        <v>4669</v>
      </c>
      <c r="I2393">
        <v>47.9803</v>
      </c>
      <c r="J2393">
        <v>-122.36140399999999</v>
      </c>
      <c r="K2393" t="s">
        <v>3936</v>
      </c>
      <c r="L2393" t="s">
        <v>3946</v>
      </c>
      <c r="M2393" t="s">
        <v>5575</v>
      </c>
      <c r="P2393" t="s">
        <v>3059</v>
      </c>
    </row>
    <row r="2394" spans="1:16" x14ac:dyDescent="0.2">
      <c r="A2394" t="s">
        <v>3955</v>
      </c>
      <c r="B2394" t="s">
        <v>3061</v>
      </c>
      <c r="C2394" t="s">
        <v>3062</v>
      </c>
      <c r="D2394" t="s">
        <v>2307</v>
      </c>
      <c r="E2394">
        <v>98236</v>
      </c>
      <c r="F2394" t="s">
        <v>1658</v>
      </c>
      <c r="G2394" t="s">
        <v>2128</v>
      </c>
      <c r="H2394" t="s">
        <v>5979</v>
      </c>
      <c r="I2394">
        <v>47.980333999999999</v>
      </c>
      <c r="J2394">
        <v>-122.361766</v>
      </c>
      <c r="K2394" t="s">
        <v>3936</v>
      </c>
      <c r="L2394" t="s">
        <v>3946</v>
      </c>
      <c r="M2394" t="s">
        <v>5575</v>
      </c>
      <c r="P2394" t="s">
        <v>3061</v>
      </c>
    </row>
    <row r="2395" spans="1:16" x14ac:dyDescent="0.2">
      <c r="A2395" t="s">
        <v>2011</v>
      </c>
      <c r="B2395" t="s">
        <v>3063</v>
      </c>
      <c r="C2395" t="s">
        <v>2900</v>
      </c>
      <c r="D2395" t="s">
        <v>2307</v>
      </c>
      <c r="E2395">
        <v>98201</v>
      </c>
      <c r="F2395" t="s">
        <v>1573</v>
      </c>
      <c r="G2395" t="s">
        <v>1986</v>
      </c>
      <c r="H2395" t="s">
        <v>4670</v>
      </c>
      <c r="I2395">
        <v>47.968516999999999</v>
      </c>
      <c r="J2395">
        <v>-122.20132099999999</v>
      </c>
      <c r="K2395" t="s">
        <v>3936</v>
      </c>
      <c r="L2395" t="s">
        <v>3946</v>
      </c>
      <c r="M2395" t="s">
        <v>5575</v>
      </c>
      <c r="P2395" t="s">
        <v>5781</v>
      </c>
    </row>
    <row r="2396" spans="1:16" x14ac:dyDescent="0.2">
      <c r="A2396" t="s">
        <v>2048</v>
      </c>
      <c r="B2396" t="s">
        <v>3064</v>
      </c>
      <c r="C2396" t="s">
        <v>2961</v>
      </c>
      <c r="D2396" t="s">
        <v>2307</v>
      </c>
      <c r="E2396">
        <v>98002</v>
      </c>
      <c r="F2396" t="s">
        <v>1573</v>
      </c>
      <c r="G2396" t="s">
        <v>2014</v>
      </c>
      <c r="H2396" t="s">
        <v>4671</v>
      </c>
      <c r="I2396">
        <v>47.288581000000001</v>
      </c>
      <c r="J2396">
        <v>-122.19291</v>
      </c>
      <c r="K2396" t="s">
        <v>3936</v>
      </c>
      <c r="L2396" t="s">
        <v>3946</v>
      </c>
      <c r="M2396" t="s">
        <v>5575</v>
      </c>
      <c r="P2396" t="s">
        <v>3064</v>
      </c>
    </row>
    <row r="2397" spans="1:16" x14ac:dyDescent="0.2">
      <c r="A2397" t="s">
        <v>2252</v>
      </c>
      <c r="B2397" t="s">
        <v>3065</v>
      </c>
      <c r="C2397" t="s">
        <v>2961</v>
      </c>
      <c r="D2397" t="s">
        <v>2307</v>
      </c>
      <c r="E2397">
        <v>98092</v>
      </c>
      <c r="F2397" t="s">
        <v>1600</v>
      </c>
      <c r="G2397" t="s">
        <v>2165</v>
      </c>
      <c r="H2397" t="s">
        <v>5128</v>
      </c>
      <c r="I2397">
        <v>47.288448000000002</v>
      </c>
      <c r="J2397">
        <v>-122.184647</v>
      </c>
      <c r="K2397" t="s">
        <v>3936</v>
      </c>
      <c r="L2397" t="s">
        <v>3946</v>
      </c>
      <c r="M2397" t="s">
        <v>5575</v>
      </c>
      <c r="P2397" t="s">
        <v>3065</v>
      </c>
    </row>
    <row r="2398" spans="1:16" x14ac:dyDescent="0.2">
      <c r="A2398" t="s">
        <v>2253</v>
      </c>
      <c r="B2398" t="s">
        <v>3066</v>
      </c>
      <c r="C2398" t="s">
        <v>3067</v>
      </c>
      <c r="D2398" t="s">
        <v>2307</v>
      </c>
      <c r="E2398">
        <v>98421</v>
      </c>
      <c r="F2398" t="s">
        <v>1583</v>
      </c>
      <c r="G2398" t="s">
        <v>1980</v>
      </c>
      <c r="H2398" t="s">
        <v>4672</v>
      </c>
      <c r="I2398">
        <v>47.274614999999997</v>
      </c>
      <c r="J2398">
        <v>-122.398194</v>
      </c>
      <c r="K2398" t="s">
        <v>3936</v>
      </c>
      <c r="L2398" t="s">
        <v>3946</v>
      </c>
      <c r="M2398" t="s">
        <v>5575</v>
      </c>
      <c r="P2398" t="s">
        <v>3066</v>
      </c>
    </row>
    <row r="2399" spans="1:16" x14ac:dyDescent="0.2">
      <c r="A2399" t="s">
        <v>2011</v>
      </c>
      <c r="B2399" t="s">
        <v>3068</v>
      </c>
      <c r="C2399" t="s">
        <v>2900</v>
      </c>
      <c r="D2399" t="s">
        <v>2307</v>
      </c>
      <c r="E2399">
        <v>98201</v>
      </c>
      <c r="F2399" t="s">
        <v>1573</v>
      </c>
      <c r="G2399" t="s">
        <v>1986</v>
      </c>
      <c r="H2399" t="s">
        <v>4673</v>
      </c>
      <c r="I2399">
        <v>47.976301999999997</v>
      </c>
      <c r="J2399">
        <v>-122.211607</v>
      </c>
      <c r="K2399" t="s">
        <v>3936</v>
      </c>
      <c r="L2399" t="s">
        <v>3946</v>
      </c>
      <c r="M2399" t="s">
        <v>5575</v>
      </c>
      <c r="P2399" t="s">
        <v>3068</v>
      </c>
    </row>
    <row r="2400" spans="1:16" x14ac:dyDescent="0.2">
      <c r="A2400" t="s">
        <v>2254</v>
      </c>
      <c r="B2400" t="s">
        <v>3069</v>
      </c>
      <c r="C2400" t="s">
        <v>2995</v>
      </c>
      <c r="D2400" t="s">
        <v>2307</v>
      </c>
      <c r="E2400">
        <v>98272</v>
      </c>
      <c r="F2400" t="s">
        <v>1602</v>
      </c>
      <c r="G2400" t="s">
        <v>2005</v>
      </c>
      <c r="H2400" t="s">
        <v>4674</v>
      </c>
      <c r="I2400">
        <v>47.855853000000003</v>
      </c>
      <c r="J2400">
        <v>-121.925039</v>
      </c>
      <c r="K2400" t="s">
        <v>3936</v>
      </c>
      <c r="L2400" t="s">
        <v>3946</v>
      </c>
      <c r="M2400" t="s">
        <v>5575</v>
      </c>
      <c r="P2400" t="s">
        <v>3069</v>
      </c>
    </row>
    <row r="2401" spans="1:16" x14ac:dyDescent="0.2">
      <c r="A2401" t="s">
        <v>1686</v>
      </c>
      <c r="B2401" t="s">
        <v>3070</v>
      </c>
      <c r="C2401" t="s">
        <v>2997</v>
      </c>
      <c r="D2401" t="s">
        <v>2307</v>
      </c>
      <c r="E2401">
        <v>98335</v>
      </c>
      <c r="F2401" t="s">
        <v>1573</v>
      </c>
      <c r="G2401" t="s">
        <v>2136</v>
      </c>
      <c r="H2401" t="s">
        <v>4675</v>
      </c>
      <c r="I2401">
        <v>47.308151000000002</v>
      </c>
      <c r="J2401">
        <v>-122.575081</v>
      </c>
      <c r="K2401" t="s">
        <v>3936</v>
      </c>
      <c r="L2401" t="s">
        <v>3946</v>
      </c>
      <c r="M2401" t="s">
        <v>5575</v>
      </c>
      <c r="P2401" t="s">
        <v>3070</v>
      </c>
    </row>
    <row r="2402" spans="1:16" x14ac:dyDescent="0.2">
      <c r="A2402" t="s">
        <v>2119</v>
      </c>
      <c r="B2402" t="s">
        <v>3071</v>
      </c>
      <c r="C2402" t="s">
        <v>2900</v>
      </c>
      <c r="D2402" t="s">
        <v>2307</v>
      </c>
      <c r="E2402">
        <v>98201</v>
      </c>
      <c r="F2402" t="s">
        <v>1600</v>
      </c>
      <c r="G2402" t="s">
        <v>2107</v>
      </c>
      <c r="H2402" t="s">
        <v>5980</v>
      </c>
      <c r="I2402">
        <v>47.976894000000001</v>
      </c>
      <c r="J2402">
        <v>-122.197198</v>
      </c>
      <c r="K2402" t="s">
        <v>3936</v>
      </c>
      <c r="L2402" t="s">
        <v>3946</v>
      </c>
      <c r="M2402" t="s">
        <v>5575</v>
      </c>
      <c r="P2402" t="s">
        <v>3071</v>
      </c>
    </row>
    <row r="2403" spans="1:16" x14ac:dyDescent="0.2">
      <c r="A2403" t="s">
        <v>2118</v>
      </c>
      <c r="B2403" t="s">
        <v>3071</v>
      </c>
      <c r="C2403" t="s">
        <v>2900</v>
      </c>
      <c r="D2403" t="s">
        <v>2307</v>
      </c>
      <c r="E2403">
        <v>98201</v>
      </c>
      <c r="F2403" t="s">
        <v>1600</v>
      </c>
      <c r="G2403" t="s">
        <v>2255</v>
      </c>
      <c r="H2403" t="s">
        <v>5981</v>
      </c>
      <c r="I2403">
        <v>47.976894000000001</v>
      </c>
      <c r="J2403">
        <v>-122.197198</v>
      </c>
      <c r="K2403" t="s">
        <v>3936</v>
      </c>
      <c r="L2403" t="s">
        <v>3946</v>
      </c>
      <c r="M2403" t="s">
        <v>5575</v>
      </c>
      <c r="P2403" t="s">
        <v>3071</v>
      </c>
    </row>
    <row r="2404" spans="1:16" x14ac:dyDescent="0.2">
      <c r="A2404" t="s">
        <v>2256</v>
      </c>
      <c r="B2404" t="s">
        <v>3072</v>
      </c>
      <c r="C2404" t="s">
        <v>2900</v>
      </c>
      <c r="D2404" t="s">
        <v>2307</v>
      </c>
      <c r="E2404">
        <v>98201</v>
      </c>
      <c r="F2404" t="s">
        <v>1716</v>
      </c>
      <c r="G2404" t="s">
        <v>1990</v>
      </c>
      <c r="H2404" t="s">
        <v>5129</v>
      </c>
      <c r="I2404">
        <v>47.979177999999997</v>
      </c>
      <c r="J2404">
        <v>-122.20841</v>
      </c>
      <c r="K2404" t="s">
        <v>3936</v>
      </c>
      <c r="L2404" t="s">
        <v>3946</v>
      </c>
      <c r="M2404" t="s">
        <v>5575</v>
      </c>
      <c r="P2404" t="s">
        <v>3072</v>
      </c>
    </row>
    <row r="2405" spans="1:16" x14ac:dyDescent="0.2">
      <c r="A2405" t="s">
        <v>2011</v>
      </c>
      <c r="B2405" t="s">
        <v>3073</v>
      </c>
      <c r="C2405" t="s">
        <v>2900</v>
      </c>
      <c r="D2405" t="s">
        <v>2307</v>
      </c>
      <c r="E2405">
        <v>98201</v>
      </c>
      <c r="F2405" t="s">
        <v>1573</v>
      </c>
      <c r="G2405" t="s">
        <v>1986</v>
      </c>
      <c r="H2405" t="s">
        <v>4676</v>
      </c>
      <c r="I2405">
        <v>47.979154999999999</v>
      </c>
      <c r="J2405">
        <v>-122.20825499999999</v>
      </c>
      <c r="K2405" t="s">
        <v>3936</v>
      </c>
      <c r="L2405" t="s">
        <v>3946</v>
      </c>
      <c r="M2405" t="s">
        <v>5575</v>
      </c>
      <c r="P2405" t="s">
        <v>3073</v>
      </c>
    </row>
    <row r="2406" spans="1:16" x14ac:dyDescent="0.2">
      <c r="A2406" t="s">
        <v>2257</v>
      </c>
      <c r="B2406" t="s">
        <v>3074</v>
      </c>
      <c r="C2406" t="s">
        <v>2900</v>
      </c>
      <c r="D2406" t="s">
        <v>2307</v>
      </c>
      <c r="E2406">
        <v>98201</v>
      </c>
      <c r="F2406" t="s">
        <v>1591</v>
      </c>
      <c r="G2406" t="s">
        <v>1969</v>
      </c>
      <c r="H2406" t="s">
        <v>4958</v>
      </c>
      <c r="I2406">
        <v>47.979140999999998</v>
      </c>
      <c r="J2406">
        <v>-122.205645</v>
      </c>
      <c r="K2406" t="s">
        <v>3936</v>
      </c>
      <c r="L2406" t="s">
        <v>3946</v>
      </c>
      <c r="M2406" t="s">
        <v>5575</v>
      </c>
      <c r="P2406" t="s">
        <v>3074</v>
      </c>
    </row>
    <row r="2407" spans="1:16" x14ac:dyDescent="0.2">
      <c r="A2407" t="s">
        <v>2059</v>
      </c>
      <c r="B2407" t="s">
        <v>3075</v>
      </c>
      <c r="C2407" t="s">
        <v>3076</v>
      </c>
      <c r="D2407" t="s">
        <v>2307</v>
      </c>
      <c r="E2407">
        <v>98047</v>
      </c>
      <c r="F2407" t="s">
        <v>1573</v>
      </c>
      <c r="G2407" t="s">
        <v>2067</v>
      </c>
      <c r="H2407" t="s">
        <v>5982</v>
      </c>
      <c r="I2407">
        <v>47.273083</v>
      </c>
      <c r="J2407">
        <v>-122.25567599999999</v>
      </c>
      <c r="K2407" t="s">
        <v>3936</v>
      </c>
      <c r="L2407" t="s">
        <v>3946</v>
      </c>
      <c r="M2407" t="s">
        <v>5575</v>
      </c>
      <c r="P2407" t="s">
        <v>3075</v>
      </c>
    </row>
    <row r="2408" spans="1:16" x14ac:dyDescent="0.2">
      <c r="A2408" t="s">
        <v>2258</v>
      </c>
      <c r="B2408" t="s">
        <v>3077</v>
      </c>
      <c r="C2408" t="s">
        <v>3014</v>
      </c>
      <c r="D2408" t="s">
        <v>2307</v>
      </c>
      <c r="E2408">
        <v>98065</v>
      </c>
      <c r="F2408" t="s">
        <v>2035</v>
      </c>
      <c r="G2408" t="s">
        <v>2005</v>
      </c>
      <c r="H2408" t="s">
        <v>5130</v>
      </c>
      <c r="I2408">
        <v>47.528661</v>
      </c>
      <c r="J2408">
        <v>-121.82502700000001</v>
      </c>
      <c r="K2408" t="s">
        <v>3936</v>
      </c>
      <c r="L2408" t="s">
        <v>3946</v>
      </c>
      <c r="M2408" t="s">
        <v>5575</v>
      </c>
      <c r="P2408" t="s">
        <v>3077</v>
      </c>
    </row>
    <row r="2409" spans="1:16" x14ac:dyDescent="0.2">
      <c r="A2409" t="s">
        <v>3955</v>
      </c>
      <c r="B2409" t="s">
        <v>3078</v>
      </c>
      <c r="C2409" t="s">
        <v>3079</v>
      </c>
      <c r="D2409" t="s">
        <v>2307</v>
      </c>
      <c r="E2409">
        <v>98047</v>
      </c>
      <c r="F2409" t="s">
        <v>1658</v>
      </c>
      <c r="G2409" t="s">
        <v>2148</v>
      </c>
      <c r="H2409" t="s">
        <v>5292</v>
      </c>
      <c r="I2409">
        <v>47.272461</v>
      </c>
      <c r="J2409">
        <v>-122.256877</v>
      </c>
      <c r="K2409" t="s">
        <v>3936</v>
      </c>
      <c r="L2409" t="s">
        <v>3946</v>
      </c>
      <c r="M2409" t="s">
        <v>5575</v>
      </c>
      <c r="P2409" t="s">
        <v>3078</v>
      </c>
    </row>
    <row r="2410" spans="1:16" x14ac:dyDescent="0.2">
      <c r="A2410" t="s">
        <v>2048</v>
      </c>
      <c r="B2410" t="s">
        <v>3080</v>
      </c>
      <c r="C2410" t="s">
        <v>3076</v>
      </c>
      <c r="D2410" t="s">
        <v>2307</v>
      </c>
      <c r="E2410">
        <v>98047</v>
      </c>
      <c r="F2410" t="s">
        <v>1573</v>
      </c>
      <c r="G2410" t="s">
        <v>2014</v>
      </c>
      <c r="H2410" t="s">
        <v>4677</v>
      </c>
      <c r="I2410">
        <v>47.272390999999999</v>
      </c>
      <c r="J2410">
        <v>-122.25647499999999</v>
      </c>
      <c r="K2410" t="s">
        <v>3936</v>
      </c>
      <c r="L2410" t="s">
        <v>3946</v>
      </c>
      <c r="M2410" t="s">
        <v>5575</v>
      </c>
      <c r="P2410" t="s">
        <v>3080</v>
      </c>
    </row>
    <row r="2411" spans="1:16" x14ac:dyDescent="0.2">
      <c r="A2411" t="s">
        <v>2018</v>
      </c>
      <c r="B2411" t="s">
        <v>3081</v>
      </c>
      <c r="C2411" t="s">
        <v>2900</v>
      </c>
      <c r="D2411" t="s">
        <v>2307</v>
      </c>
      <c r="E2411">
        <v>98201</v>
      </c>
      <c r="F2411" t="s">
        <v>1600</v>
      </c>
      <c r="G2411" t="s">
        <v>2027</v>
      </c>
      <c r="H2411" t="s">
        <v>5483</v>
      </c>
      <c r="I2411">
        <v>47.981766</v>
      </c>
      <c r="J2411">
        <v>-122.208353</v>
      </c>
      <c r="K2411" t="s">
        <v>3936</v>
      </c>
      <c r="L2411" t="s">
        <v>3946</v>
      </c>
      <c r="M2411" t="s">
        <v>5575</v>
      </c>
      <c r="P2411" t="s">
        <v>3081</v>
      </c>
    </row>
    <row r="2412" spans="1:16" x14ac:dyDescent="0.2">
      <c r="A2412" t="s">
        <v>3955</v>
      </c>
      <c r="B2412" t="s">
        <v>3082</v>
      </c>
      <c r="C2412" t="s">
        <v>3083</v>
      </c>
      <c r="D2412" t="s">
        <v>2307</v>
      </c>
      <c r="E2412">
        <v>98335</v>
      </c>
      <c r="F2412" t="s">
        <v>1658</v>
      </c>
      <c r="G2412" t="s">
        <v>2148</v>
      </c>
      <c r="H2412" t="s">
        <v>5983</v>
      </c>
      <c r="I2412">
        <v>47.304695000000002</v>
      </c>
      <c r="J2412">
        <v>-122.57939399999999</v>
      </c>
      <c r="K2412" t="s">
        <v>3936</v>
      </c>
      <c r="L2412" t="s">
        <v>3946</v>
      </c>
      <c r="M2412" t="s">
        <v>5575</v>
      </c>
      <c r="P2412" t="s">
        <v>3082</v>
      </c>
    </row>
    <row r="2413" spans="1:16" x14ac:dyDescent="0.2">
      <c r="A2413" t="s">
        <v>2011</v>
      </c>
      <c r="B2413" t="s">
        <v>6359</v>
      </c>
      <c r="C2413" t="s">
        <v>2961</v>
      </c>
      <c r="D2413" t="s">
        <v>2307</v>
      </c>
      <c r="E2413">
        <v>98002</v>
      </c>
      <c r="F2413" t="s">
        <v>1573</v>
      </c>
      <c r="G2413" t="s">
        <v>1986</v>
      </c>
      <c r="H2413" t="s">
        <v>4678</v>
      </c>
      <c r="I2413">
        <v>47.274223999999997</v>
      </c>
      <c r="J2413">
        <v>-122.228764</v>
      </c>
      <c r="K2413" t="s">
        <v>3936</v>
      </c>
      <c r="L2413" t="s">
        <v>3946</v>
      </c>
      <c r="M2413" t="s">
        <v>5575</v>
      </c>
      <c r="P2413" t="s">
        <v>6164</v>
      </c>
    </row>
    <row r="2414" spans="1:16" x14ac:dyDescent="0.2">
      <c r="A2414" t="s">
        <v>2059</v>
      </c>
      <c r="B2414" t="s">
        <v>3084</v>
      </c>
      <c r="C2414" t="s">
        <v>2900</v>
      </c>
      <c r="D2414" t="s">
        <v>2307</v>
      </c>
      <c r="E2414">
        <v>98201</v>
      </c>
      <c r="F2414" t="s">
        <v>1600</v>
      </c>
      <c r="G2414" t="s">
        <v>2063</v>
      </c>
      <c r="H2414" t="s">
        <v>5016</v>
      </c>
      <c r="I2414">
        <v>47.981766</v>
      </c>
      <c r="J2414">
        <v>-122.201272</v>
      </c>
      <c r="K2414" t="s">
        <v>3936</v>
      </c>
      <c r="L2414" t="s">
        <v>3946</v>
      </c>
      <c r="M2414" t="s">
        <v>5575</v>
      </c>
      <c r="P2414" t="s">
        <v>3084</v>
      </c>
    </row>
    <row r="2415" spans="1:16" x14ac:dyDescent="0.2">
      <c r="A2415" t="s">
        <v>2259</v>
      </c>
      <c r="B2415" t="s">
        <v>3085</v>
      </c>
      <c r="C2415" t="s">
        <v>2961</v>
      </c>
      <c r="D2415" t="s">
        <v>2307</v>
      </c>
      <c r="E2415">
        <v>98002</v>
      </c>
      <c r="F2415" t="s">
        <v>1591</v>
      </c>
      <c r="G2415" t="s">
        <v>1969</v>
      </c>
      <c r="H2415" t="s">
        <v>4988</v>
      </c>
      <c r="I2415">
        <v>47.272705000000002</v>
      </c>
      <c r="J2415">
        <v>-122.229034</v>
      </c>
      <c r="K2415" t="s">
        <v>3936</v>
      </c>
      <c r="L2415" t="s">
        <v>3946</v>
      </c>
      <c r="M2415" t="s">
        <v>5575</v>
      </c>
      <c r="P2415" t="s">
        <v>3085</v>
      </c>
    </row>
    <row r="2416" spans="1:16" x14ac:dyDescent="0.2">
      <c r="A2416" t="s">
        <v>2018</v>
      </c>
      <c r="B2416" t="s">
        <v>3086</v>
      </c>
      <c r="C2416" t="s">
        <v>3067</v>
      </c>
      <c r="D2416" t="s">
        <v>2307</v>
      </c>
      <c r="E2416">
        <v>98403</v>
      </c>
      <c r="F2416" t="s">
        <v>2019</v>
      </c>
      <c r="G2416" t="s">
        <v>1991</v>
      </c>
      <c r="H2416" t="s">
        <v>4972</v>
      </c>
      <c r="I2416">
        <v>47.274630000000002</v>
      </c>
      <c r="J2416">
        <v>-122.46717099999999</v>
      </c>
      <c r="K2416" t="s">
        <v>3936</v>
      </c>
      <c r="L2416" t="s">
        <v>3946</v>
      </c>
      <c r="M2416" t="s">
        <v>5575</v>
      </c>
      <c r="P2416" t="s">
        <v>3086</v>
      </c>
    </row>
    <row r="2417" spans="1:16" x14ac:dyDescent="0.2">
      <c r="A2417" t="s">
        <v>2007</v>
      </c>
      <c r="B2417" t="s">
        <v>3088</v>
      </c>
      <c r="C2417" t="s">
        <v>2997</v>
      </c>
      <c r="D2417" t="s">
        <v>2307</v>
      </c>
      <c r="E2417">
        <v>98335</v>
      </c>
      <c r="F2417" t="s">
        <v>1658</v>
      </c>
      <c r="G2417" t="s">
        <v>2110</v>
      </c>
      <c r="H2417" t="s">
        <v>5293</v>
      </c>
      <c r="I2417">
        <v>47.301763000000001</v>
      </c>
      <c r="J2417">
        <v>-122.579447</v>
      </c>
      <c r="K2417" t="s">
        <v>3936</v>
      </c>
      <c r="L2417" t="s">
        <v>3946</v>
      </c>
      <c r="M2417" t="s">
        <v>5575</v>
      </c>
      <c r="P2417" t="s">
        <v>3088</v>
      </c>
    </row>
    <row r="2418" spans="1:16" x14ac:dyDescent="0.2">
      <c r="A2418" t="s">
        <v>2011</v>
      </c>
      <c r="B2418" t="s">
        <v>3087</v>
      </c>
      <c r="C2418" t="s">
        <v>2997</v>
      </c>
      <c r="D2418" t="s">
        <v>2307</v>
      </c>
      <c r="E2418">
        <v>98335</v>
      </c>
      <c r="F2418" t="s">
        <v>1573</v>
      </c>
      <c r="G2418" t="s">
        <v>1986</v>
      </c>
      <c r="H2418" t="s">
        <v>4679</v>
      </c>
      <c r="I2418">
        <v>47.301786999999997</v>
      </c>
      <c r="J2418">
        <v>-122.579447</v>
      </c>
      <c r="K2418" t="s">
        <v>3936</v>
      </c>
      <c r="L2418" t="s">
        <v>3946</v>
      </c>
      <c r="M2418" t="s">
        <v>5575</v>
      </c>
      <c r="P2418" t="s">
        <v>3087</v>
      </c>
    </row>
    <row r="2419" spans="1:16" x14ac:dyDescent="0.2">
      <c r="A2419" t="s">
        <v>2011</v>
      </c>
      <c r="B2419" t="s">
        <v>3089</v>
      </c>
      <c r="C2419" t="s">
        <v>2900</v>
      </c>
      <c r="D2419" t="s">
        <v>2307</v>
      </c>
      <c r="E2419">
        <v>98207</v>
      </c>
      <c r="F2419" t="s">
        <v>1573</v>
      </c>
      <c r="G2419" t="s">
        <v>1986</v>
      </c>
      <c r="H2419" t="s">
        <v>4681</v>
      </c>
      <c r="I2419">
        <v>47.992530000000002</v>
      </c>
      <c r="J2419">
        <v>-122.21383899999999</v>
      </c>
      <c r="K2419" t="s">
        <v>3936</v>
      </c>
      <c r="L2419" t="s">
        <v>3946</v>
      </c>
      <c r="M2419" t="s">
        <v>5575</v>
      </c>
      <c r="P2419" t="s">
        <v>3089</v>
      </c>
    </row>
    <row r="2420" spans="1:16" x14ac:dyDescent="0.2">
      <c r="A2420" t="s">
        <v>2018</v>
      </c>
      <c r="B2420" t="s">
        <v>3090</v>
      </c>
      <c r="C2420" t="s">
        <v>3067</v>
      </c>
      <c r="D2420" t="s">
        <v>2307</v>
      </c>
      <c r="E2420">
        <v>98403</v>
      </c>
      <c r="F2420" t="s">
        <v>2019</v>
      </c>
      <c r="G2420" t="s">
        <v>1991</v>
      </c>
      <c r="H2420" t="s">
        <v>5484</v>
      </c>
      <c r="I2420">
        <v>47.264145999999997</v>
      </c>
      <c r="J2420">
        <v>-122.44759500000001</v>
      </c>
      <c r="K2420" t="s">
        <v>3936</v>
      </c>
      <c r="L2420" t="s">
        <v>3946</v>
      </c>
      <c r="M2420" t="s">
        <v>5575</v>
      </c>
      <c r="P2420" t="s">
        <v>3090</v>
      </c>
    </row>
    <row r="2421" spans="1:16" x14ac:dyDescent="0.2">
      <c r="A2421" t="s">
        <v>2007</v>
      </c>
      <c r="B2421" t="s">
        <v>3091</v>
      </c>
      <c r="C2421" t="s">
        <v>3067</v>
      </c>
      <c r="D2421" t="s">
        <v>2307</v>
      </c>
      <c r="E2421">
        <v>98407</v>
      </c>
      <c r="F2421" t="s">
        <v>1658</v>
      </c>
      <c r="G2421" t="s">
        <v>2066</v>
      </c>
      <c r="H2421" t="s">
        <v>5984</v>
      </c>
      <c r="I2421">
        <v>47.271172</v>
      </c>
      <c r="J2421">
        <v>-122.496402</v>
      </c>
      <c r="K2421" t="s">
        <v>3936</v>
      </c>
      <c r="L2421" t="s">
        <v>3946</v>
      </c>
      <c r="M2421" t="s">
        <v>5575</v>
      </c>
      <c r="P2421" t="s">
        <v>3091</v>
      </c>
    </row>
    <row r="2422" spans="1:16" x14ac:dyDescent="0.2">
      <c r="A2422" t="s">
        <v>3955</v>
      </c>
      <c r="B2422" t="s">
        <v>3092</v>
      </c>
      <c r="C2422" t="s">
        <v>3093</v>
      </c>
      <c r="D2422" t="s">
        <v>2307</v>
      </c>
      <c r="E2422">
        <v>98407</v>
      </c>
      <c r="F2422" t="s">
        <v>1658</v>
      </c>
      <c r="G2422" t="s">
        <v>2148</v>
      </c>
      <c r="H2422" t="s">
        <v>5985</v>
      </c>
      <c r="I2422">
        <v>47.274171000000003</v>
      </c>
      <c r="J2422">
        <v>-122.51574100000001</v>
      </c>
      <c r="K2422" t="s">
        <v>3936</v>
      </c>
      <c r="L2422" t="s">
        <v>3946</v>
      </c>
      <c r="M2422" t="s">
        <v>5575</v>
      </c>
      <c r="P2422" t="s">
        <v>3092</v>
      </c>
    </row>
    <row r="2423" spans="1:16" x14ac:dyDescent="0.2">
      <c r="A2423" t="s">
        <v>2048</v>
      </c>
      <c r="B2423" t="s">
        <v>3094</v>
      </c>
      <c r="C2423" t="s">
        <v>2900</v>
      </c>
      <c r="D2423" t="s">
        <v>2307</v>
      </c>
      <c r="E2423">
        <v>98201</v>
      </c>
      <c r="F2423" t="s">
        <v>1573</v>
      </c>
      <c r="G2423" t="s">
        <v>2014</v>
      </c>
      <c r="H2423" t="s">
        <v>4682</v>
      </c>
      <c r="I2423">
        <v>47.993490999999999</v>
      </c>
      <c r="J2423">
        <v>-122.201398</v>
      </c>
      <c r="K2423" t="s">
        <v>3936</v>
      </c>
      <c r="L2423" t="s">
        <v>3946</v>
      </c>
      <c r="M2423" t="s">
        <v>5575</v>
      </c>
      <c r="P2423" t="s">
        <v>3094</v>
      </c>
    </row>
    <row r="2424" spans="1:16" x14ac:dyDescent="0.2">
      <c r="A2424" t="s">
        <v>2011</v>
      </c>
      <c r="B2424" t="s">
        <v>3095</v>
      </c>
      <c r="C2424" t="s">
        <v>3096</v>
      </c>
      <c r="D2424" t="s">
        <v>2307</v>
      </c>
      <c r="E2424">
        <v>98528</v>
      </c>
      <c r="F2424" t="s">
        <v>1573</v>
      </c>
      <c r="G2424" t="s">
        <v>1986</v>
      </c>
      <c r="H2424" t="s">
        <v>4683</v>
      </c>
      <c r="I2424">
        <v>47.450232</v>
      </c>
      <c r="J2424">
        <v>-122.828074</v>
      </c>
      <c r="K2424" t="s">
        <v>3936</v>
      </c>
      <c r="L2424" t="s">
        <v>3946</v>
      </c>
      <c r="M2424" t="s">
        <v>5575</v>
      </c>
      <c r="P2424" t="s">
        <v>3095</v>
      </c>
    </row>
    <row r="2425" spans="1:16" x14ac:dyDescent="0.2">
      <c r="A2425" t="s">
        <v>2011</v>
      </c>
      <c r="B2425" t="s">
        <v>3097</v>
      </c>
      <c r="C2425" t="s">
        <v>3067</v>
      </c>
      <c r="D2425" t="s">
        <v>2307</v>
      </c>
      <c r="E2425">
        <v>98407</v>
      </c>
      <c r="F2425" t="s">
        <v>1573</v>
      </c>
      <c r="G2425" t="s">
        <v>1986</v>
      </c>
      <c r="H2425" t="s">
        <v>4684</v>
      </c>
      <c r="I2425">
        <v>47.273335000000003</v>
      </c>
      <c r="J2425">
        <v>-122.515697</v>
      </c>
      <c r="K2425" t="s">
        <v>3936</v>
      </c>
      <c r="L2425" t="s">
        <v>3946</v>
      </c>
      <c r="M2425" t="s">
        <v>5575</v>
      </c>
      <c r="P2425" t="s">
        <v>3097</v>
      </c>
    </row>
    <row r="2426" spans="1:16" x14ac:dyDescent="0.2">
      <c r="A2426" t="s">
        <v>3954</v>
      </c>
      <c r="B2426" t="s">
        <v>3098</v>
      </c>
      <c r="C2426" t="s">
        <v>3067</v>
      </c>
      <c r="D2426" t="s">
        <v>2307</v>
      </c>
      <c r="E2426">
        <v>98407</v>
      </c>
      <c r="F2426" t="s">
        <v>1600</v>
      </c>
      <c r="G2426" t="s">
        <v>2159</v>
      </c>
      <c r="H2426" t="s">
        <v>5986</v>
      </c>
      <c r="I2426">
        <v>47.271991999999997</v>
      </c>
      <c r="J2426">
        <v>-122.5157</v>
      </c>
      <c r="K2426" t="s">
        <v>3936</v>
      </c>
      <c r="L2426" t="s">
        <v>3946</v>
      </c>
      <c r="M2426" t="s">
        <v>5575</v>
      </c>
      <c r="P2426" t="s">
        <v>3098</v>
      </c>
    </row>
    <row r="2427" spans="1:16" x14ac:dyDescent="0.2">
      <c r="A2427" t="s">
        <v>2260</v>
      </c>
      <c r="B2427" t="s">
        <v>3099</v>
      </c>
      <c r="C2427" t="s">
        <v>3067</v>
      </c>
      <c r="D2427" t="s">
        <v>2307</v>
      </c>
      <c r="E2427">
        <v>98402</v>
      </c>
      <c r="F2427" t="s">
        <v>1583</v>
      </c>
      <c r="G2427" t="s">
        <v>1980</v>
      </c>
      <c r="H2427" t="s">
        <v>4685</v>
      </c>
      <c r="I2427">
        <v>47.259512999999998</v>
      </c>
      <c r="J2427">
        <v>-122.445803</v>
      </c>
      <c r="K2427" t="s">
        <v>3936</v>
      </c>
      <c r="L2427" t="s">
        <v>3946</v>
      </c>
      <c r="M2427" t="s">
        <v>5575</v>
      </c>
      <c r="P2427" t="s">
        <v>5673</v>
      </c>
    </row>
    <row r="2428" spans="1:16" x14ac:dyDescent="0.2">
      <c r="A2428" t="s">
        <v>1686</v>
      </c>
      <c r="B2428" t="s">
        <v>3100</v>
      </c>
      <c r="C2428" t="s">
        <v>3067</v>
      </c>
      <c r="D2428" t="s">
        <v>2307</v>
      </c>
      <c r="E2428">
        <v>98407</v>
      </c>
      <c r="F2428" t="s">
        <v>1573</v>
      </c>
      <c r="G2428" t="s">
        <v>2136</v>
      </c>
      <c r="H2428" t="s">
        <v>4686</v>
      </c>
      <c r="I2428">
        <v>47.271296</v>
      </c>
      <c r="J2428">
        <v>-122.515685</v>
      </c>
      <c r="K2428" t="s">
        <v>3936</v>
      </c>
      <c r="L2428" t="s">
        <v>3946</v>
      </c>
      <c r="M2428" t="s">
        <v>5575</v>
      </c>
      <c r="P2428" t="s">
        <v>3100</v>
      </c>
    </row>
    <row r="2429" spans="1:16" x14ac:dyDescent="0.2">
      <c r="A2429" t="s">
        <v>2260</v>
      </c>
      <c r="B2429" t="s">
        <v>3101</v>
      </c>
      <c r="C2429" t="s">
        <v>3067</v>
      </c>
      <c r="D2429" t="s">
        <v>2307</v>
      </c>
      <c r="E2429">
        <v>98402</v>
      </c>
      <c r="F2429" t="s">
        <v>1583</v>
      </c>
      <c r="G2429" t="s">
        <v>1980</v>
      </c>
      <c r="H2429" t="s">
        <v>4687</v>
      </c>
      <c r="I2429">
        <v>47.256326000000001</v>
      </c>
      <c r="J2429">
        <v>-122.440296</v>
      </c>
      <c r="K2429" t="s">
        <v>3936</v>
      </c>
      <c r="L2429" t="s">
        <v>3946</v>
      </c>
      <c r="M2429" t="s">
        <v>5575</v>
      </c>
      <c r="P2429" t="s">
        <v>3101</v>
      </c>
    </row>
    <row r="2430" spans="1:16" x14ac:dyDescent="0.2">
      <c r="A2430" t="s">
        <v>2018</v>
      </c>
      <c r="B2430" t="s">
        <v>3102</v>
      </c>
      <c r="C2430" t="s">
        <v>3067</v>
      </c>
      <c r="D2430" t="s">
        <v>2307</v>
      </c>
      <c r="E2430">
        <v>98402</v>
      </c>
      <c r="F2430" t="s">
        <v>2019</v>
      </c>
      <c r="G2430" t="s">
        <v>1991</v>
      </c>
      <c r="H2430" t="s">
        <v>5485</v>
      </c>
      <c r="I2430">
        <v>47.256194000000001</v>
      </c>
      <c r="J2430">
        <v>-122.440972</v>
      </c>
      <c r="K2430" t="s">
        <v>3936</v>
      </c>
      <c r="L2430" t="s">
        <v>3946</v>
      </c>
      <c r="M2430" t="s">
        <v>5575</v>
      </c>
      <c r="P2430" t="s">
        <v>3102</v>
      </c>
    </row>
    <row r="2431" spans="1:16" x14ac:dyDescent="0.2">
      <c r="A2431" t="s">
        <v>3952</v>
      </c>
      <c r="B2431" t="s">
        <v>3103</v>
      </c>
      <c r="C2431" t="s">
        <v>3104</v>
      </c>
      <c r="D2431" t="s">
        <v>2307</v>
      </c>
      <c r="E2431">
        <v>98371</v>
      </c>
      <c r="F2431" t="s">
        <v>1573</v>
      </c>
      <c r="G2431" t="s">
        <v>2014</v>
      </c>
      <c r="H2431" t="s">
        <v>4688</v>
      </c>
      <c r="I2431">
        <v>47.250720000000001</v>
      </c>
      <c r="J2431">
        <v>-122.293683</v>
      </c>
      <c r="K2431" t="s">
        <v>3936</v>
      </c>
      <c r="L2431" t="s">
        <v>3946</v>
      </c>
      <c r="M2431" t="s">
        <v>5575</v>
      </c>
      <c r="P2431" t="s">
        <v>3103</v>
      </c>
    </row>
    <row r="2432" spans="1:16" x14ac:dyDescent="0.2">
      <c r="A2432" t="s">
        <v>2011</v>
      </c>
      <c r="B2432" t="s">
        <v>3105</v>
      </c>
      <c r="C2432" t="s">
        <v>3067</v>
      </c>
      <c r="D2432" t="s">
        <v>2307</v>
      </c>
      <c r="E2432">
        <v>98402</v>
      </c>
      <c r="F2432" t="s">
        <v>1573</v>
      </c>
      <c r="G2432" t="s">
        <v>1986</v>
      </c>
      <c r="H2432" t="s">
        <v>4689</v>
      </c>
      <c r="I2432">
        <v>47.254939999999998</v>
      </c>
      <c r="J2432">
        <v>-122.44088499999999</v>
      </c>
      <c r="K2432" t="s">
        <v>3936</v>
      </c>
      <c r="L2432" t="s">
        <v>3946</v>
      </c>
      <c r="M2432" t="s">
        <v>5575</v>
      </c>
      <c r="P2432" t="s">
        <v>3105</v>
      </c>
    </row>
    <row r="2433" spans="1:16" x14ac:dyDescent="0.2">
      <c r="A2433" t="s">
        <v>2007</v>
      </c>
      <c r="B2433" t="s">
        <v>3106</v>
      </c>
      <c r="C2433" t="s">
        <v>3107</v>
      </c>
      <c r="D2433" t="s">
        <v>2307</v>
      </c>
      <c r="E2433">
        <v>98354</v>
      </c>
      <c r="F2433" t="s">
        <v>1658</v>
      </c>
      <c r="G2433" t="s">
        <v>2110</v>
      </c>
      <c r="H2433" t="s">
        <v>5988</v>
      </c>
      <c r="I2433">
        <v>47.250183</v>
      </c>
      <c r="J2433">
        <v>-122.29619599999999</v>
      </c>
      <c r="K2433" t="s">
        <v>3936</v>
      </c>
      <c r="L2433" t="s">
        <v>3946</v>
      </c>
      <c r="M2433" t="s">
        <v>5575</v>
      </c>
      <c r="P2433" t="s">
        <v>3106</v>
      </c>
    </row>
    <row r="2434" spans="1:16" x14ac:dyDescent="0.2">
      <c r="A2434" t="s">
        <v>2011</v>
      </c>
      <c r="B2434" t="s">
        <v>3106</v>
      </c>
      <c r="C2434" t="s">
        <v>3107</v>
      </c>
      <c r="D2434" t="s">
        <v>2307</v>
      </c>
      <c r="E2434">
        <v>98354</v>
      </c>
      <c r="F2434" t="s">
        <v>1573</v>
      </c>
      <c r="G2434" t="s">
        <v>1986</v>
      </c>
      <c r="H2434" t="s">
        <v>4690</v>
      </c>
      <c r="I2434">
        <v>47.250183</v>
      </c>
      <c r="J2434">
        <v>-122.29619599999999</v>
      </c>
      <c r="K2434" t="s">
        <v>3936</v>
      </c>
      <c r="L2434" t="s">
        <v>3946</v>
      </c>
      <c r="M2434" t="s">
        <v>5575</v>
      </c>
      <c r="P2434" t="s">
        <v>3106</v>
      </c>
    </row>
    <row r="2435" spans="1:16" x14ac:dyDescent="0.2">
      <c r="A2435" t="s">
        <v>3955</v>
      </c>
      <c r="B2435" t="s">
        <v>3108</v>
      </c>
      <c r="C2435" t="s">
        <v>3109</v>
      </c>
      <c r="D2435" t="s">
        <v>2307</v>
      </c>
      <c r="E2435">
        <v>98354</v>
      </c>
      <c r="F2435" t="s">
        <v>1658</v>
      </c>
      <c r="G2435" t="s">
        <v>2148</v>
      </c>
      <c r="H2435" t="s">
        <v>5989</v>
      </c>
      <c r="I2435">
        <v>47.248474999999999</v>
      </c>
      <c r="J2435">
        <v>-122.29402399999999</v>
      </c>
      <c r="K2435" t="s">
        <v>3936</v>
      </c>
      <c r="L2435" t="s">
        <v>3946</v>
      </c>
      <c r="M2435" t="s">
        <v>5575</v>
      </c>
      <c r="P2435" t="s">
        <v>3108</v>
      </c>
    </row>
    <row r="2436" spans="1:16" x14ac:dyDescent="0.2">
      <c r="A2436" t="s">
        <v>3954</v>
      </c>
      <c r="B2436" t="s">
        <v>3110</v>
      </c>
      <c r="C2436" t="s">
        <v>3067</v>
      </c>
      <c r="D2436" t="s">
        <v>2307</v>
      </c>
      <c r="E2436">
        <v>98403</v>
      </c>
      <c r="F2436" t="s">
        <v>1600</v>
      </c>
      <c r="G2436" t="s">
        <v>2139</v>
      </c>
      <c r="H2436" t="s">
        <v>5990</v>
      </c>
      <c r="I2436">
        <v>47.255774000000002</v>
      </c>
      <c r="J2436">
        <v>-122.46328800000001</v>
      </c>
      <c r="K2436" t="s">
        <v>3936</v>
      </c>
      <c r="L2436" t="s">
        <v>3946</v>
      </c>
      <c r="M2436" t="s">
        <v>5575</v>
      </c>
      <c r="P2436" t="s">
        <v>3110</v>
      </c>
    </row>
    <row r="2437" spans="1:16" x14ac:dyDescent="0.2">
      <c r="A2437" t="s">
        <v>2059</v>
      </c>
      <c r="B2437" t="s">
        <v>3111</v>
      </c>
      <c r="C2437" t="s">
        <v>3067</v>
      </c>
      <c r="D2437" t="s">
        <v>2307</v>
      </c>
      <c r="E2437">
        <v>98403</v>
      </c>
      <c r="F2437" t="s">
        <v>1600</v>
      </c>
      <c r="G2437" t="s">
        <v>2060</v>
      </c>
      <c r="H2437" t="s">
        <v>5294</v>
      </c>
      <c r="I2437">
        <v>47.255369999999999</v>
      </c>
      <c r="J2437">
        <v>-122.46449200000001</v>
      </c>
      <c r="K2437" t="s">
        <v>3936</v>
      </c>
      <c r="L2437" t="s">
        <v>3946</v>
      </c>
      <c r="M2437" t="s">
        <v>5575</v>
      </c>
      <c r="P2437" t="s">
        <v>3111</v>
      </c>
    </row>
    <row r="2438" spans="1:16" x14ac:dyDescent="0.2">
      <c r="A2438" t="s">
        <v>2261</v>
      </c>
      <c r="B2438" t="s">
        <v>3112</v>
      </c>
      <c r="C2438" t="s">
        <v>3113</v>
      </c>
      <c r="D2438" t="s">
        <v>2307</v>
      </c>
      <c r="E2438">
        <v>98010</v>
      </c>
      <c r="F2438" t="s">
        <v>1591</v>
      </c>
      <c r="G2438" t="s">
        <v>1969</v>
      </c>
      <c r="H2438" t="s">
        <v>5200</v>
      </c>
      <c r="I2438">
        <v>47.320002000000002</v>
      </c>
      <c r="J2438">
        <v>-122.00584499999999</v>
      </c>
      <c r="K2438" t="s">
        <v>3936</v>
      </c>
      <c r="L2438" t="s">
        <v>3946</v>
      </c>
      <c r="M2438" t="s">
        <v>5575</v>
      </c>
      <c r="P2438" t="s">
        <v>5712</v>
      </c>
    </row>
    <row r="2439" spans="1:16" x14ac:dyDescent="0.2">
      <c r="A2439" t="s">
        <v>2262</v>
      </c>
      <c r="B2439" t="s">
        <v>3114</v>
      </c>
      <c r="C2439" t="s">
        <v>3067</v>
      </c>
      <c r="D2439" t="s">
        <v>2307</v>
      </c>
      <c r="E2439">
        <v>98406</v>
      </c>
      <c r="F2439" t="s">
        <v>1583</v>
      </c>
      <c r="G2439" t="s">
        <v>1980</v>
      </c>
      <c r="H2439" t="s">
        <v>4691</v>
      </c>
      <c r="I2439">
        <v>47.255298000000003</v>
      </c>
      <c r="J2439">
        <v>-122.470506</v>
      </c>
      <c r="K2439" t="s">
        <v>3936</v>
      </c>
      <c r="L2439" t="s">
        <v>3946</v>
      </c>
      <c r="M2439" t="s">
        <v>5575</v>
      </c>
      <c r="P2439" t="s">
        <v>3114</v>
      </c>
    </row>
    <row r="2440" spans="1:16" x14ac:dyDescent="0.2">
      <c r="A2440" t="s">
        <v>2011</v>
      </c>
      <c r="B2440" t="s">
        <v>3115</v>
      </c>
      <c r="C2440" t="s">
        <v>3067</v>
      </c>
      <c r="D2440" t="s">
        <v>2307</v>
      </c>
      <c r="E2440">
        <v>98405</v>
      </c>
      <c r="F2440" t="s">
        <v>1573</v>
      </c>
      <c r="G2440" t="s">
        <v>1986</v>
      </c>
      <c r="H2440" t="s">
        <v>4692</v>
      </c>
      <c r="I2440">
        <v>47.251854999999999</v>
      </c>
      <c r="J2440">
        <v>-122.452022</v>
      </c>
      <c r="K2440" t="s">
        <v>3936</v>
      </c>
      <c r="L2440" t="s">
        <v>3946</v>
      </c>
      <c r="M2440" t="s">
        <v>5575</v>
      </c>
      <c r="P2440" t="s">
        <v>3115</v>
      </c>
    </row>
    <row r="2441" spans="1:16" x14ac:dyDescent="0.2">
      <c r="A2441" t="s">
        <v>2011</v>
      </c>
      <c r="B2441" t="s">
        <v>6360</v>
      </c>
      <c r="C2441" t="s">
        <v>3067</v>
      </c>
      <c r="D2441" t="s">
        <v>2307</v>
      </c>
      <c r="E2441">
        <v>98406</v>
      </c>
      <c r="F2441" t="s">
        <v>1573</v>
      </c>
      <c r="G2441" t="s">
        <v>1986</v>
      </c>
      <c r="H2441" t="s">
        <v>4693</v>
      </c>
      <c r="I2441">
        <v>47.255336999999997</v>
      </c>
      <c r="J2441">
        <v>-122.47495600000001</v>
      </c>
      <c r="K2441" t="s">
        <v>3936</v>
      </c>
      <c r="L2441" t="s">
        <v>3946</v>
      </c>
      <c r="M2441" t="s">
        <v>5575</v>
      </c>
      <c r="P2441" t="s">
        <v>6165</v>
      </c>
    </row>
    <row r="2442" spans="1:16" x14ac:dyDescent="0.2">
      <c r="A2442" t="s">
        <v>2018</v>
      </c>
      <c r="B2442" t="s">
        <v>3116</v>
      </c>
      <c r="C2442" t="s">
        <v>3067</v>
      </c>
      <c r="D2442" t="s">
        <v>2307</v>
      </c>
      <c r="E2442">
        <v>98402</v>
      </c>
      <c r="F2442" t="s">
        <v>2019</v>
      </c>
      <c r="G2442" t="s">
        <v>1991</v>
      </c>
      <c r="H2442" t="s">
        <v>5486</v>
      </c>
      <c r="I2442">
        <v>47.249997999999998</v>
      </c>
      <c r="J2442">
        <v>-122.43770000000001</v>
      </c>
      <c r="K2442" t="s">
        <v>3936</v>
      </c>
      <c r="L2442" t="s">
        <v>3946</v>
      </c>
      <c r="M2442" t="s">
        <v>5575</v>
      </c>
      <c r="P2442" t="s">
        <v>3116</v>
      </c>
    </row>
    <row r="2443" spans="1:16" x14ac:dyDescent="0.2">
      <c r="A2443" t="s">
        <v>2015</v>
      </c>
      <c r="B2443" t="s">
        <v>3117</v>
      </c>
      <c r="C2443" t="s">
        <v>3067</v>
      </c>
      <c r="D2443" t="s">
        <v>2307</v>
      </c>
      <c r="E2443">
        <v>98402</v>
      </c>
      <c r="F2443" t="s">
        <v>1573</v>
      </c>
      <c r="G2443" t="s">
        <v>1999</v>
      </c>
      <c r="H2443" t="s">
        <v>5991</v>
      </c>
      <c r="I2443">
        <v>47.249374000000003</v>
      </c>
      <c r="J2443">
        <v>-122.437889</v>
      </c>
      <c r="K2443" t="s">
        <v>3936</v>
      </c>
      <c r="L2443" t="s">
        <v>3946</v>
      </c>
      <c r="M2443" t="s">
        <v>5575</v>
      </c>
      <c r="P2443" t="s">
        <v>3117</v>
      </c>
    </row>
    <row r="2444" spans="1:16" x14ac:dyDescent="0.2">
      <c r="A2444" t="s">
        <v>3954</v>
      </c>
      <c r="B2444" t="s">
        <v>3118</v>
      </c>
      <c r="C2444" t="s">
        <v>3119</v>
      </c>
      <c r="D2444" t="s">
        <v>2307</v>
      </c>
      <c r="E2444">
        <v>98424</v>
      </c>
      <c r="F2444" t="s">
        <v>1573</v>
      </c>
      <c r="G2444" t="s">
        <v>2222</v>
      </c>
      <c r="H2444" t="s">
        <v>5295</v>
      </c>
      <c r="I2444">
        <v>47.24295</v>
      </c>
      <c r="J2444">
        <v>-122.359933</v>
      </c>
      <c r="K2444" t="s">
        <v>3936</v>
      </c>
      <c r="L2444" t="s">
        <v>3946</v>
      </c>
      <c r="M2444" t="s">
        <v>5575</v>
      </c>
      <c r="P2444" t="s">
        <v>3118</v>
      </c>
    </row>
    <row r="2445" spans="1:16" x14ac:dyDescent="0.2">
      <c r="A2445" t="s">
        <v>2263</v>
      </c>
      <c r="B2445" t="s">
        <v>3120</v>
      </c>
      <c r="C2445" t="s">
        <v>3119</v>
      </c>
      <c r="D2445" t="s">
        <v>2307</v>
      </c>
      <c r="E2445">
        <v>98424</v>
      </c>
      <c r="F2445" t="s">
        <v>2090</v>
      </c>
      <c r="G2445" t="s">
        <v>1969</v>
      </c>
      <c r="H2445" t="s">
        <v>4694</v>
      </c>
      <c r="I2445">
        <v>47.243262999999999</v>
      </c>
      <c r="J2445">
        <v>-122.372435</v>
      </c>
      <c r="K2445" t="s">
        <v>3936</v>
      </c>
      <c r="L2445" t="s">
        <v>3946</v>
      </c>
      <c r="M2445" t="s">
        <v>5575</v>
      </c>
      <c r="P2445" t="s">
        <v>3120</v>
      </c>
    </row>
    <row r="2446" spans="1:16" x14ac:dyDescent="0.2">
      <c r="A2446" t="s">
        <v>2011</v>
      </c>
      <c r="B2446" t="s">
        <v>6361</v>
      </c>
      <c r="C2446" t="s">
        <v>3119</v>
      </c>
      <c r="D2446" t="s">
        <v>2307</v>
      </c>
      <c r="E2446">
        <v>98424</v>
      </c>
      <c r="F2446" t="s">
        <v>1573</v>
      </c>
      <c r="G2446" t="s">
        <v>1986</v>
      </c>
      <c r="H2446" t="s">
        <v>4695</v>
      </c>
      <c r="I2446">
        <v>47.242984</v>
      </c>
      <c r="J2446">
        <v>-122.369935</v>
      </c>
      <c r="K2446" t="s">
        <v>3936</v>
      </c>
      <c r="L2446" t="s">
        <v>3946</v>
      </c>
      <c r="M2446" t="s">
        <v>5575</v>
      </c>
      <c r="P2446" t="s">
        <v>6166</v>
      </c>
    </row>
    <row r="2447" spans="1:16" x14ac:dyDescent="0.2">
      <c r="A2447" t="s">
        <v>2059</v>
      </c>
      <c r="B2447" t="s">
        <v>3121</v>
      </c>
      <c r="C2447" t="s">
        <v>3119</v>
      </c>
      <c r="D2447" t="s">
        <v>2307</v>
      </c>
      <c r="E2447">
        <v>98424</v>
      </c>
      <c r="F2447" t="s">
        <v>1573</v>
      </c>
      <c r="G2447" t="s">
        <v>2067</v>
      </c>
      <c r="H2447" t="s">
        <v>5992</v>
      </c>
      <c r="I2447">
        <v>47.242972000000002</v>
      </c>
      <c r="J2447">
        <v>-122.38269</v>
      </c>
      <c r="K2447" t="s">
        <v>3936</v>
      </c>
      <c r="L2447" t="s">
        <v>3946</v>
      </c>
      <c r="M2447" t="s">
        <v>5575</v>
      </c>
      <c r="P2447" t="s">
        <v>3121</v>
      </c>
    </row>
    <row r="2448" spans="1:16" x14ac:dyDescent="0.2">
      <c r="A2448" t="s">
        <v>2264</v>
      </c>
      <c r="B2448" t="s">
        <v>3122</v>
      </c>
      <c r="C2448" t="s">
        <v>2900</v>
      </c>
      <c r="D2448" t="s">
        <v>2307</v>
      </c>
      <c r="E2448">
        <v>98201</v>
      </c>
      <c r="F2448" t="s">
        <v>2019</v>
      </c>
      <c r="G2448" t="s">
        <v>1973</v>
      </c>
      <c r="H2448" t="s">
        <v>4696</v>
      </c>
      <c r="I2448">
        <v>48.005620999999998</v>
      </c>
      <c r="J2448">
        <v>-122.19794</v>
      </c>
      <c r="K2448" t="s">
        <v>3936</v>
      </c>
      <c r="L2448" t="s">
        <v>3946</v>
      </c>
      <c r="M2448" t="s">
        <v>5575</v>
      </c>
      <c r="P2448" t="s">
        <v>3122</v>
      </c>
    </row>
    <row r="2449" spans="1:16" x14ac:dyDescent="0.2">
      <c r="A2449" t="s">
        <v>2011</v>
      </c>
      <c r="B2449" t="s">
        <v>3123</v>
      </c>
      <c r="C2449" t="s">
        <v>2900</v>
      </c>
      <c r="D2449" t="s">
        <v>2307</v>
      </c>
      <c r="E2449">
        <v>98201</v>
      </c>
      <c r="F2449" t="s">
        <v>1573</v>
      </c>
      <c r="G2449" t="s">
        <v>1986</v>
      </c>
      <c r="H2449" t="s">
        <v>4697</v>
      </c>
      <c r="I2449">
        <v>48.005620999999998</v>
      </c>
      <c r="J2449">
        <v>-122.19794</v>
      </c>
      <c r="K2449" t="s">
        <v>3936</v>
      </c>
      <c r="L2449" t="s">
        <v>3946</v>
      </c>
      <c r="M2449" t="s">
        <v>5575</v>
      </c>
      <c r="P2449" t="s">
        <v>3123</v>
      </c>
    </row>
    <row r="2450" spans="1:16" x14ac:dyDescent="0.2">
      <c r="A2450" t="s">
        <v>2048</v>
      </c>
      <c r="B2450" t="s">
        <v>3125</v>
      </c>
      <c r="C2450" t="s">
        <v>3067</v>
      </c>
      <c r="D2450" t="s">
        <v>2307</v>
      </c>
      <c r="E2450">
        <v>98406</v>
      </c>
      <c r="F2450" t="s">
        <v>1573</v>
      </c>
      <c r="G2450" t="s">
        <v>2014</v>
      </c>
      <c r="H2450" t="s">
        <v>4698</v>
      </c>
      <c r="I2450">
        <v>47.260038999999999</v>
      </c>
      <c r="J2450">
        <v>-122.515776</v>
      </c>
      <c r="K2450" t="s">
        <v>3936</v>
      </c>
      <c r="L2450" t="s">
        <v>3946</v>
      </c>
      <c r="M2450" t="s">
        <v>5575</v>
      </c>
      <c r="P2450" t="s">
        <v>3125</v>
      </c>
    </row>
    <row r="2451" spans="1:16" x14ac:dyDescent="0.2">
      <c r="A2451" t="s">
        <v>2048</v>
      </c>
      <c r="B2451" t="s">
        <v>3126</v>
      </c>
      <c r="C2451" t="s">
        <v>3067</v>
      </c>
      <c r="D2451" t="s">
        <v>2307</v>
      </c>
      <c r="E2451">
        <v>98421</v>
      </c>
      <c r="F2451" t="s">
        <v>1573</v>
      </c>
      <c r="G2451" t="s">
        <v>2014</v>
      </c>
      <c r="H2451" t="s">
        <v>4699</v>
      </c>
      <c r="I2451">
        <v>47.242255</v>
      </c>
      <c r="J2451">
        <v>-122.412798</v>
      </c>
      <c r="K2451" t="s">
        <v>3936</v>
      </c>
      <c r="L2451" t="s">
        <v>3946</v>
      </c>
      <c r="M2451" t="s">
        <v>5575</v>
      </c>
      <c r="P2451" t="s">
        <v>3126</v>
      </c>
    </row>
    <row r="2452" spans="1:16" x14ac:dyDescent="0.2">
      <c r="A2452" t="s">
        <v>2011</v>
      </c>
      <c r="B2452" t="s">
        <v>3127</v>
      </c>
      <c r="C2452" t="s">
        <v>3067</v>
      </c>
      <c r="D2452" t="s">
        <v>2307</v>
      </c>
      <c r="E2452">
        <v>98402</v>
      </c>
      <c r="F2452" t="s">
        <v>1573</v>
      </c>
      <c r="G2452" t="s">
        <v>1986</v>
      </c>
      <c r="H2452" t="s">
        <v>4700</v>
      </c>
      <c r="I2452">
        <v>47.244681999999997</v>
      </c>
      <c r="J2452">
        <v>-122.436881</v>
      </c>
      <c r="K2452" t="s">
        <v>3936</v>
      </c>
      <c r="L2452" t="s">
        <v>3946</v>
      </c>
      <c r="M2452" t="s">
        <v>5575</v>
      </c>
      <c r="P2452" t="s">
        <v>3127</v>
      </c>
    </row>
    <row r="2453" spans="1:16" x14ac:dyDescent="0.2">
      <c r="A2453" t="s">
        <v>3952</v>
      </c>
      <c r="B2453" t="s">
        <v>3128</v>
      </c>
      <c r="C2453" t="s">
        <v>3067</v>
      </c>
      <c r="D2453" t="s">
        <v>2307</v>
      </c>
      <c r="E2453">
        <v>98406</v>
      </c>
      <c r="F2453" t="s">
        <v>1573</v>
      </c>
      <c r="G2453" t="s">
        <v>2014</v>
      </c>
      <c r="H2453" t="s">
        <v>4701</v>
      </c>
      <c r="I2453">
        <v>47.255265000000001</v>
      </c>
      <c r="J2453">
        <v>-122.505718</v>
      </c>
      <c r="K2453" t="s">
        <v>3936</v>
      </c>
      <c r="L2453" t="s">
        <v>3946</v>
      </c>
      <c r="M2453" t="s">
        <v>5575</v>
      </c>
      <c r="P2453" t="s">
        <v>3128</v>
      </c>
    </row>
    <row r="2454" spans="1:16" x14ac:dyDescent="0.2">
      <c r="A2454" t="s">
        <v>2048</v>
      </c>
      <c r="B2454" t="s">
        <v>3129</v>
      </c>
      <c r="C2454" t="s">
        <v>3067</v>
      </c>
      <c r="D2454" t="s">
        <v>2307</v>
      </c>
      <c r="E2454">
        <v>98424</v>
      </c>
      <c r="F2454" t="s">
        <v>1573</v>
      </c>
      <c r="G2454" t="s">
        <v>2014</v>
      </c>
      <c r="H2454" t="s">
        <v>4702</v>
      </c>
      <c r="I2454">
        <v>47.239089999999997</v>
      </c>
      <c r="J2454">
        <v>-122.359601</v>
      </c>
      <c r="K2454" t="s">
        <v>3936</v>
      </c>
      <c r="L2454" t="s">
        <v>3946</v>
      </c>
      <c r="M2454" t="s">
        <v>5575</v>
      </c>
      <c r="P2454" t="s">
        <v>3129</v>
      </c>
    </row>
    <row r="2455" spans="1:16" x14ac:dyDescent="0.2">
      <c r="A2455" t="s">
        <v>3955</v>
      </c>
      <c r="B2455" t="s">
        <v>3130</v>
      </c>
      <c r="C2455" t="s">
        <v>3093</v>
      </c>
      <c r="D2455" t="s">
        <v>2307</v>
      </c>
      <c r="E2455">
        <v>98421</v>
      </c>
      <c r="F2455" t="s">
        <v>1658</v>
      </c>
      <c r="G2455" t="s">
        <v>2125</v>
      </c>
      <c r="H2455" t="s">
        <v>5993</v>
      </c>
      <c r="I2455">
        <v>47.241680000000002</v>
      </c>
      <c r="J2455">
        <v>-122.418587</v>
      </c>
      <c r="K2455" t="s">
        <v>3936</v>
      </c>
      <c r="L2455" t="s">
        <v>3946</v>
      </c>
      <c r="M2455" t="s">
        <v>5575</v>
      </c>
      <c r="P2455" t="s">
        <v>3130</v>
      </c>
    </row>
    <row r="2456" spans="1:16" x14ac:dyDescent="0.2">
      <c r="A2456" t="s">
        <v>3955</v>
      </c>
      <c r="B2456" t="s">
        <v>3131</v>
      </c>
      <c r="C2456" t="s">
        <v>3132</v>
      </c>
      <c r="D2456" t="s">
        <v>2307</v>
      </c>
      <c r="E2456">
        <v>98424</v>
      </c>
      <c r="F2456" t="s">
        <v>1658</v>
      </c>
      <c r="G2456" t="s">
        <v>2148</v>
      </c>
      <c r="H2456" t="s">
        <v>5296</v>
      </c>
      <c r="I2456">
        <v>47.237935999999998</v>
      </c>
      <c r="J2456">
        <v>-122.357309</v>
      </c>
      <c r="K2456" t="s">
        <v>3936</v>
      </c>
      <c r="L2456" t="s">
        <v>3946</v>
      </c>
      <c r="M2456" t="s">
        <v>5575</v>
      </c>
      <c r="P2456" t="s">
        <v>3131</v>
      </c>
    </row>
    <row r="2457" spans="1:16" x14ac:dyDescent="0.2">
      <c r="A2457" t="s">
        <v>2011</v>
      </c>
      <c r="B2457" t="s">
        <v>3133</v>
      </c>
      <c r="C2457" t="s">
        <v>3067</v>
      </c>
      <c r="D2457" t="s">
        <v>2307</v>
      </c>
      <c r="E2457">
        <v>98406</v>
      </c>
      <c r="F2457" t="s">
        <v>1573</v>
      </c>
      <c r="G2457" t="s">
        <v>1986</v>
      </c>
      <c r="H2457" t="s">
        <v>4703</v>
      </c>
      <c r="I2457">
        <v>47.255580000000002</v>
      </c>
      <c r="J2457">
        <v>-122.51755799999999</v>
      </c>
      <c r="K2457" t="s">
        <v>3936</v>
      </c>
      <c r="L2457" t="s">
        <v>3946</v>
      </c>
      <c r="M2457" t="s">
        <v>5575</v>
      </c>
      <c r="P2457" t="s">
        <v>5783</v>
      </c>
    </row>
    <row r="2458" spans="1:16" x14ac:dyDescent="0.2">
      <c r="A2458" t="s">
        <v>2015</v>
      </c>
      <c r="B2458" t="s">
        <v>3134</v>
      </c>
      <c r="C2458" t="s">
        <v>3067</v>
      </c>
      <c r="D2458" t="s">
        <v>2307</v>
      </c>
      <c r="E2458">
        <v>98406</v>
      </c>
      <c r="F2458" t="s">
        <v>1573</v>
      </c>
      <c r="G2458" t="s">
        <v>1999</v>
      </c>
      <c r="H2458" t="s">
        <v>4704</v>
      </c>
      <c r="I2458">
        <v>47.255580999999999</v>
      </c>
      <c r="J2458">
        <v>-122.517788</v>
      </c>
      <c r="K2458" t="s">
        <v>3936</v>
      </c>
      <c r="L2458" t="s">
        <v>3946</v>
      </c>
      <c r="M2458" t="s">
        <v>5575</v>
      </c>
      <c r="P2458" t="s">
        <v>3134</v>
      </c>
    </row>
    <row r="2459" spans="1:16" x14ac:dyDescent="0.2">
      <c r="A2459" t="s">
        <v>2158</v>
      </c>
      <c r="B2459" t="s">
        <v>3135</v>
      </c>
      <c r="C2459" t="s">
        <v>3067</v>
      </c>
      <c r="D2459" t="s">
        <v>2307</v>
      </c>
      <c r="E2459">
        <v>98406</v>
      </c>
      <c r="F2459" t="s">
        <v>1716</v>
      </c>
      <c r="G2459" t="s">
        <v>2000</v>
      </c>
      <c r="H2459" t="s">
        <v>4705</v>
      </c>
      <c r="I2459">
        <v>47.255321000000002</v>
      </c>
      <c r="J2459">
        <v>-122.520549</v>
      </c>
      <c r="K2459" t="s">
        <v>3936</v>
      </c>
      <c r="L2459" t="s">
        <v>3946</v>
      </c>
      <c r="M2459" t="s">
        <v>5575</v>
      </c>
      <c r="P2459" t="s">
        <v>3135</v>
      </c>
    </row>
    <row r="2460" spans="1:16" x14ac:dyDescent="0.2">
      <c r="A2460" t="s">
        <v>2101</v>
      </c>
      <c r="B2460" t="s">
        <v>3136</v>
      </c>
      <c r="C2460" t="s">
        <v>3067</v>
      </c>
      <c r="D2460" t="s">
        <v>2307</v>
      </c>
      <c r="E2460">
        <v>98406</v>
      </c>
      <c r="F2460" t="s">
        <v>1600</v>
      </c>
      <c r="G2460" t="s">
        <v>2102</v>
      </c>
      <c r="H2460" t="s">
        <v>5435</v>
      </c>
      <c r="I2460">
        <v>47.255324000000002</v>
      </c>
      <c r="J2460">
        <v>-122.521489</v>
      </c>
      <c r="K2460" t="s">
        <v>3936</v>
      </c>
      <c r="L2460" t="s">
        <v>3946</v>
      </c>
      <c r="M2460" t="s">
        <v>5575</v>
      </c>
      <c r="P2460" t="s">
        <v>3136</v>
      </c>
    </row>
    <row r="2461" spans="1:16" x14ac:dyDescent="0.2">
      <c r="A2461" t="s">
        <v>2011</v>
      </c>
      <c r="B2461" t="s">
        <v>5596</v>
      </c>
      <c r="C2461" t="s">
        <v>3067</v>
      </c>
      <c r="D2461" t="s">
        <v>2307</v>
      </c>
      <c r="E2461" t="s">
        <v>6362</v>
      </c>
      <c r="F2461" t="s">
        <v>1573</v>
      </c>
      <c r="G2461" t="s">
        <v>1986</v>
      </c>
      <c r="H2461" t="s">
        <v>4706</v>
      </c>
      <c r="I2461">
        <v>47.239617000000003</v>
      </c>
      <c r="J2461">
        <v>-122.428444</v>
      </c>
      <c r="K2461" t="s">
        <v>3936</v>
      </c>
      <c r="L2461" t="s">
        <v>3946</v>
      </c>
      <c r="M2461" t="s">
        <v>5575</v>
      </c>
      <c r="P2461" t="s">
        <v>5736</v>
      </c>
    </row>
    <row r="2462" spans="1:16" x14ac:dyDescent="0.2">
      <c r="A2462" t="s">
        <v>2265</v>
      </c>
      <c r="B2462" t="s">
        <v>3124</v>
      </c>
      <c r="C2462" t="s">
        <v>2961</v>
      </c>
      <c r="D2462" t="s">
        <v>2307</v>
      </c>
      <c r="E2462">
        <v>98092</v>
      </c>
      <c r="F2462" t="s">
        <v>1658</v>
      </c>
      <c r="G2462" t="s">
        <v>2005</v>
      </c>
      <c r="H2462" t="s">
        <v>5436</v>
      </c>
      <c r="I2462">
        <v>47.244604000000002</v>
      </c>
      <c r="J2462">
        <v>-122.210469</v>
      </c>
      <c r="K2462" t="s">
        <v>3936</v>
      </c>
      <c r="L2462" t="s">
        <v>3946</v>
      </c>
      <c r="M2462" t="s">
        <v>5575</v>
      </c>
      <c r="P2462" t="s">
        <v>3124</v>
      </c>
    </row>
    <row r="2463" spans="1:16" x14ac:dyDescent="0.2">
      <c r="A2463" t="s">
        <v>2266</v>
      </c>
      <c r="B2463" t="s">
        <v>3137</v>
      </c>
      <c r="C2463" t="s">
        <v>3138</v>
      </c>
      <c r="D2463" t="s">
        <v>2307</v>
      </c>
      <c r="E2463">
        <v>98045</v>
      </c>
      <c r="F2463" t="s">
        <v>1716</v>
      </c>
      <c r="G2463" t="s">
        <v>2000</v>
      </c>
      <c r="H2463" t="s">
        <v>5437</v>
      </c>
      <c r="I2463">
        <v>47.491539000000003</v>
      </c>
      <c r="J2463">
        <v>-121.793277</v>
      </c>
      <c r="K2463" t="s">
        <v>3936</v>
      </c>
      <c r="L2463" t="s">
        <v>3946</v>
      </c>
      <c r="M2463" t="s">
        <v>5575</v>
      </c>
      <c r="P2463" t="s">
        <v>3137</v>
      </c>
    </row>
    <row r="2464" spans="1:16" x14ac:dyDescent="0.2">
      <c r="A2464" t="s">
        <v>2011</v>
      </c>
      <c r="B2464" t="s">
        <v>3139</v>
      </c>
      <c r="C2464" t="s">
        <v>2961</v>
      </c>
      <c r="D2464" t="s">
        <v>2307</v>
      </c>
      <c r="E2464">
        <v>98092</v>
      </c>
      <c r="F2464" t="s">
        <v>1573</v>
      </c>
      <c r="G2464" t="s">
        <v>1986</v>
      </c>
      <c r="H2464" t="s">
        <v>4708</v>
      </c>
      <c r="I2464">
        <v>47.244565999999999</v>
      </c>
      <c r="J2464">
        <v>-122.21056</v>
      </c>
      <c r="K2464" t="s">
        <v>3936</v>
      </c>
      <c r="L2464" t="s">
        <v>3946</v>
      </c>
      <c r="M2464" t="s">
        <v>5575</v>
      </c>
      <c r="P2464" t="s">
        <v>3139</v>
      </c>
    </row>
    <row r="2465" spans="1:16" x14ac:dyDescent="0.2">
      <c r="A2465" t="s">
        <v>2059</v>
      </c>
      <c r="B2465" t="s">
        <v>3140</v>
      </c>
      <c r="C2465" t="s">
        <v>3067</v>
      </c>
      <c r="D2465" t="s">
        <v>2307</v>
      </c>
      <c r="E2465">
        <v>98406</v>
      </c>
      <c r="F2465" t="s">
        <v>1600</v>
      </c>
      <c r="G2465" t="s">
        <v>2063</v>
      </c>
      <c r="H2465" t="s">
        <v>5994</v>
      </c>
      <c r="I2465">
        <v>47.255406999999998</v>
      </c>
      <c r="J2465">
        <v>-122.526493</v>
      </c>
      <c r="K2465" t="s">
        <v>3936</v>
      </c>
      <c r="L2465" t="s">
        <v>3946</v>
      </c>
      <c r="M2465" t="s">
        <v>5575</v>
      </c>
      <c r="P2465" t="s">
        <v>3140</v>
      </c>
    </row>
    <row r="2466" spans="1:16" x14ac:dyDescent="0.2">
      <c r="A2466" t="s">
        <v>2059</v>
      </c>
      <c r="B2466" t="s">
        <v>3141</v>
      </c>
      <c r="C2466" t="s">
        <v>3067</v>
      </c>
      <c r="D2466" t="s">
        <v>2307</v>
      </c>
      <c r="E2466">
        <v>98402</v>
      </c>
      <c r="F2466" t="s">
        <v>1600</v>
      </c>
      <c r="G2466" t="s">
        <v>2135</v>
      </c>
      <c r="H2466" t="s">
        <v>5995</v>
      </c>
      <c r="I2466">
        <v>47.239722999999998</v>
      </c>
      <c r="J2466">
        <v>-122.435857</v>
      </c>
      <c r="K2466" t="s">
        <v>3936</v>
      </c>
      <c r="L2466" t="s">
        <v>3946</v>
      </c>
      <c r="M2466" t="s">
        <v>5575</v>
      </c>
      <c r="P2466" t="s">
        <v>3141</v>
      </c>
    </row>
    <row r="2467" spans="1:16" x14ac:dyDescent="0.2">
      <c r="A2467" t="s">
        <v>2267</v>
      </c>
      <c r="B2467" t="s">
        <v>3142</v>
      </c>
      <c r="C2467" t="s">
        <v>3143</v>
      </c>
      <c r="D2467" t="s">
        <v>2307</v>
      </c>
      <c r="E2467">
        <v>98249</v>
      </c>
      <c r="F2467" t="s">
        <v>2268</v>
      </c>
      <c r="G2467" t="s">
        <v>1969</v>
      </c>
      <c r="H2467" t="s">
        <v>4709</v>
      </c>
      <c r="I2467">
        <v>48.009501</v>
      </c>
      <c r="J2467">
        <v>-122.533665</v>
      </c>
      <c r="K2467" t="s">
        <v>3936</v>
      </c>
      <c r="L2467" t="s">
        <v>3946</v>
      </c>
      <c r="M2467" t="s">
        <v>5575</v>
      </c>
      <c r="P2467" t="s">
        <v>3142</v>
      </c>
    </row>
    <row r="2468" spans="1:16" x14ac:dyDescent="0.2">
      <c r="A2468" t="s">
        <v>2015</v>
      </c>
      <c r="B2468" t="s">
        <v>3144</v>
      </c>
      <c r="C2468" t="s">
        <v>3145</v>
      </c>
      <c r="D2468" t="s">
        <v>2307</v>
      </c>
      <c r="E2468">
        <v>98045</v>
      </c>
      <c r="F2468" t="s">
        <v>1573</v>
      </c>
      <c r="G2468" t="s">
        <v>1999</v>
      </c>
      <c r="H2468" t="s">
        <v>5996</v>
      </c>
      <c r="I2468">
        <v>47.495683999999997</v>
      </c>
      <c r="J2468">
        <v>-121.786925</v>
      </c>
      <c r="K2468" t="s">
        <v>3936</v>
      </c>
      <c r="L2468" t="s">
        <v>3946</v>
      </c>
      <c r="M2468" t="s">
        <v>5575</v>
      </c>
      <c r="P2468" t="s">
        <v>3144</v>
      </c>
    </row>
    <row r="2469" spans="1:16" x14ac:dyDescent="0.2">
      <c r="A2469" t="s">
        <v>2011</v>
      </c>
      <c r="B2469" t="s">
        <v>3146</v>
      </c>
      <c r="C2469" t="s">
        <v>3067</v>
      </c>
      <c r="D2469" t="s">
        <v>2307</v>
      </c>
      <c r="E2469">
        <v>98465</v>
      </c>
      <c r="F2469" t="s">
        <v>1573</v>
      </c>
      <c r="G2469" t="s">
        <v>1986</v>
      </c>
      <c r="H2469" t="s">
        <v>4710</v>
      </c>
      <c r="I2469">
        <v>47.251412999999999</v>
      </c>
      <c r="J2469">
        <v>-122.516034</v>
      </c>
      <c r="K2469" t="s">
        <v>3936</v>
      </c>
      <c r="L2469" t="s">
        <v>3946</v>
      </c>
      <c r="M2469" t="s">
        <v>5575</v>
      </c>
      <c r="P2469" t="s">
        <v>3146</v>
      </c>
    </row>
    <row r="2470" spans="1:16" x14ac:dyDescent="0.2">
      <c r="A2470" t="s">
        <v>2007</v>
      </c>
      <c r="B2470" t="s">
        <v>3148</v>
      </c>
      <c r="C2470" t="s">
        <v>3149</v>
      </c>
      <c r="D2470" t="s">
        <v>2307</v>
      </c>
      <c r="E2470">
        <v>98258</v>
      </c>
      <c r="F2470" t="s">
        <v>1658</v>
      </c>
      <c r="G2470" t="s">
        <v>2008</v>
      </c>
      <c r="H2470" t="s">
        <v>5997</v>
      </c>
      <c r="I2470">
        <v>47.998105000000002</v>
      </c>
      <c r="J2470">
        <v>-122.10816699999999</v>
      </c>
      <c r="K2470" t="s">
        <v>3936</v>
      </c>
      <c r="L2470" t="s">
        <v>3946</v>
      </c>
      <c r="M2470" t="s">
        <v>5575</v>
      </c>
      <c r="P2470" t="s">
        <v>3148</v>
      </c>
    </row>
    <row r="2471" spans="1:16" x14ac:dyDescent="0.2">
      <c r="A2471" t="s">
        <v>2011</v>
      </c>
      <c r="B2471" t="s">
        <v>6363</v>
      </c>
      <c r="C2471" t="s">
        <v>3149</v>
      </c>
      <c r="D2471" t="s">
        <v>2307</v>
      </c>
      <c r="E2471">
        <v>98258</v>
      </c>
      <c r="F2471" t="s">
        <v>1573</v>
      </c>
      <c r="G2471" t="s">
        <v>1986</v>
      </c>
      <c r="H2471" t="s">
        <v>4712</v>
      </c>
      <c r="I2471">
        <v>47.998105000000002</v>
      </c>
      <c r="J2471">
        <v>-122.10816699999999</v>
      </c>
      <c r="K2471" t="s">
        <v>3936</v>
      </c>
      <c r="L2471" t="s">
        <v>3946</v>
      </c>
      <c r="M2471" t="s">
        <v>5575</v>
      </c>
      <c r="P2471" t="s">
        <v>6168</v>
      </c>
    </row>
    <row r="2472" spans="1:16" x14ac:dyDescent="0.2">
      <c r="A2472" t="s">
        <v>3952</v>
      </c>
      <c r="B2472" t="s">
        <v>3150</v>
      </c>
      <c r="C2472" t="s">
        <v>3149</v>
      </c>
      <c r="D2472" t="s">
        <v>2307</v>
      </c>
      <c r="E2472">
        <v>98258</v>
      </c>
      <c r="F2472" t="s">
        <v>1573</v>
      </c>
      <c r="G2472" t="s">
        <v>2014</v>
      </c>
      <c r="H2472" t="s">
        <v>4713</v>
      </c>
      <c r="I2472">
        <v>47.999422000000003</v>
      </c>
      <c r="J2472">
        <v>-122.11184299999999</v>
      </c>
      <c r="K2472" t="s">
        <v>3936</v>
      </c>
      <c r="L2472" t="s">
        <v>3946</v>
      </c>
      <c r="M2472" t="s">
        <v>5575</v>
      </c>
      <c r="P2472" t="s">
        <v>3150</v>
      </c>
    </row>
    <row r="2473" spans="1:16" x14ac:dyDescent="0.2">
      <c r="A2473" t="s">
        <v>2059</v>
      </c>
      <c r="B2473" t="s">
        <v>3151</v>
      </c>
      <c r="C2473" t="s">
        <v>3149</v>
      </c>
      <c r="D2473" t="s">
        <v>2307</v>
      </c>
      <c r="E2473">
        <v>98258</v>
      </c>
      <c r="F2473" t="s">
        <v>1600</v>
      </c>
      <c r="G2473" t="s">
        <v>2135</v>
      </c>
      <c r="H2473" t="s">
        <v>5998</v>
      </c>
      <c r="I2473">
        <v>48.000101999999998</v>
      </c>
      <c r="J2473">
        <v>-122.108001</v>
      </c>
      <c r="K2473" t="s">
        <v>3936</v>
      </c>
      <c r="L2473" t="s">
        <v>3946</v>
      </c>
      <c r="M2473" t="s">
        <v>5575</v>
      </c>
      <c r="P2473" t="s">
        <v>3151</v>
      </c>
    </row>
    <row r="2474" spans="1:16" x14ac:dyDescent="0.2">
      <c r="A2474" t="s">
        <v>2011</v>
      </c>
      <c r="B2474" t="s">
        <v>3152</v>
      </c>
      <c r="C2474" t="s">
        <v>3067</v>
      </c>
      <c r="D2474" t="s">
        <v>2307</v>
      </c>
      <c r="E2474">
        <v>98405</v>
      </c>
      <c r="F2474" t="s">
        <v>1573</v>
      </c>
      <c r="G2474" t="s">
        <v>1986</v>
      </c>
      <c r="H2474" t="s">
        <v>4714</v>
      </c>
      <c r="I2474">
        <v>47.237583999999998</v>
      </c>
      <c r="J2474">
        <v>-122.478016</v>
      </c>
      <c r="K2474" t="s">
        <v>3936</v>
      </c>
      <c r="L2474" t="s">
        <v>3946</v>
      </c>
      <c r="M2474" t="s">
        <v>5575</v>
      </c>
      <c r="P2474" t="s">
        <v>5737</v>
      </c>
    </row>
    <row r="2475" spans="1:16" x14ac:dyDescent="0.2">
      <c r="A2475" t="s">
        <v>2011</v>
      </c>
      <c r="B2475" t="s">
        <v>3153</v>
      </c>
      <c r="C2475" t="s">
        <v>3067</v>
      </c>
      <c r="D2475" t="s">
        <v>2307</v>
      </c>
      <c r="E2475">
        <v>98466</v>
      </c>
      <c r="F2475" t="s">
        <v>1573</v>
      </c>
      <c r="G2475" t="s">
        <v>1986</v>
      </c>
      <c r="H2475" t="s">
        <v>4715</v>
      </c>
      <c r="I2475">
        <v>47.242891999999998</v>
      </c>
      <c r="J2475">
        <v>-122.524057</v>
      </c>
      <c r="K2475" t="s">
        <v>3936</v>
      </c>
      <c r="L2475" t="s">
        <v>3946</v>
      </c>
      <c r="M2475" t="s">
        <v>5575</v>
      </c>
      <c r="P2475" t="s">
        <v>5784</v>
      </c>
    </row>
    <row r="2476" spans="1:16" x14ac:dyDescent="0.2">
      <c r="A2476" t="s">
        <v>2011</v>
      </c>
      <c r="B2476" t="s">
        <v>3154</v>
      </c>
      <c r="C2476" t="s">
        <v>3155</v>
      </c>
      <c r="D2476" t="s">
        <v>2307</v>
      </c>
      <c r="E2476">
        <v>98466</v>
      </c>
      <c r="F2476" t="s">
        <v>1573</v>
      </c>
      <c r="G2476" t="s">
        <v>1986</v>
      </c>
      <c r="H2476" t="s">
        <v>4716</v>
      </c>
      <c r="I2476">
        <v>47.241646000000003</v>
      </c>
      <c r="J2476">
        <v>-122.52620400000001</v>
      </c>
      <c r="K2476" t="s">
        <v>3936</v>
      </c>
      <c r="L2476" t="s">
        <v>3946</v>
      </c>
      <c r="M2476" t="s">
        <v>5575</v>
      </c>
      <c r="P2476" t="s">
        <v>3154</v>
      </c>
    </row>
    <row r="2477" spans="1:16" x14ac:dyDescent="0.2">
      <c r="A2477" t="s">
        <v>2269</v>
      </c>
      <c r="B2477" t="s">
        <v>3156</v>
      </c>
      <c r="C2477" t="s">
        <v>3155</v>
      </c>
      <c r="D2477" t="s">
        <v>2307</v>
      </c>
      <c r="E2477">
        <v>98466</v>
      </c>
      <c r="F2477" t="s">
        <v>2090</v>
      </c>
      <c r="G2477" t="s">
        <v>1969</v>
      </c>
      <c r="H2477" t="s">
        <v>4717</v>
      </c>
      <c r="I2477">
        <v>47.239060000000002</v>
      </c>
      <c r="J2477">
        <v>-122.516732</v>
      </c>
      <c r="K2477" t="s">
        <v>3936</v>
      </c>
      <c r="L2477" t="s">
        <v>3946</v>
      </c>
      <c r="M2477" t="s">
        <v>5575</v>
      </c>
      <c r="P2477" t="s">
        <v>3156</v>
      </c>
    </row>
    <row r="2478" spans="1:16" x14ac:dyDescent="0.2">
      <c r="A2478" t="s">
        <v>2270</v>
      </c>
      <c r="B2478" t="s">
        <v>3157</v>
      </c>
      <c r="C2478" t="s">
        <v>3155</v>
      </c>
      <c r="D2478" t="s">
        <v>2307</v>
      </c>
      <c r="E2478">
        <v>98466</v>
      </c>
      <c r="F2478" t="s">
        <v>1583</v>
      </c>
      <c r="G2478" t="s">
        <v>1980</v>
      </c>
      <c r="H2478" t="s">
        <v>4718</v>
      </c>
      <c r="I2478">
        <v>47.241000999999997</v>
      </c>
      <c r="J2478">
        <v>-122.52620400000001</v>
      </c>
      <c r="K2478" t="s">
        <v>3936</v>
      </c>
      <c r="L2478" t="s">
        <v>3946</v>
      </c>
      <c r="M2478" t="s">
        <v>5575</v>
      </c>
      <c r="P2478" t="s">
        <v>5738</v>
      </c>
    </row>
    <row r="2479" spans="1:16" x14ac:dyDescent="0.2">
      <c r="A2479" t="s">
        <v>3955</v>
      </c>
      <c r="B2479" t="s">
        <v>3158</v>
      </c>
      <c r="C2479" t="s">
        <v>3159</v>
      </c>
      <c r="D2479" t="s">
        <v>2307</v>
      </c>
      <c r="E2479">
        <v>98466</v>
      </c>
      <c r="F2479" t="s">
        <v>1658</v>
      </c>
      <c r="G2479" t="s">
        <v>2128</v>
      </c>
      <c r="H2479" t="s">
        <v>5999</v>
      </c>
      <c r="I2479">
        <v>47.240927999999997</v>
      </c>
      <c r="J2479">
        <v>-122.52647399999999</v>
      </c>
      <c r="K2479" t="s">
        <v>3936</v>
      </c>
      <c r="L2479" t="s">
        <v>3946</v>
      </c>
      <c r="M2479" t="s">
        <v>5575</v>
      </c>
      <c r="P2479" t="s">
        <v>3158</v>
      </c>
    </row>
    <row r="2480" spans="1:16" x14ac:dyDescent="0.2">
      <c r="A2480" t="s">
        <v>2006</v>
      </c>
      <c r="B2480" t="s">
        <v>3160</v>
      </c>
      <c r="C2480" t="s">
        <v>3067</v>
      </c>
      <c r="D2480" t="s">
        <v>2307</v>
      </c>
      <c r="E2480">
        <v>98401</v>
      </c>
      <c r="F2480" t="s">
        <v>1716</v>
      </c>
      <c r="G2480" t="s">
        <v>1989</v>
      </c>
      <c r="H2480" t="s">
        <v>5047</v>
      </c>
      <c r="I2480">
        <v>47.246574000000003</v>
      </c>
      <c r="J2480">
        <v>-122.553409</v>
      </c>
      <c r="K2480" t="s">
        <v>3936</v>
      </c>
      <c r="L2480" t="s">
        <v>3946</v>
      </c>
      <c r="M2480" t="s">
        <v>5575</v>
      </c>
      <c r="P2480" t="s">
        <v>3160</v>
      </c>
    </row>
    <row r="2481" spans="1:16" x14ac:dyDescent="0.2">
      <c r="A2481" t="s">
        <v>2007</v>
      </c>
      <c r="B2481" t="s">
        <v>3161</v>
      </c>
      <c r="C2481" t="s">
        <v>3162</v>
      </c>
      <c r="D2481" t="s">
        <v>2307</v>
      </c>
      <c r="E2481">
        <v>98466</v>
      </c>
      <c r="F2481" t="s">
        <v>1658</v>
      </c>
      <c r="G2481" t="s">
        <v>2110</v>
      </c>
      <c r="H2481" t="s">
        <v>6000</v>
      </c>
      <c r="I2481">
        <v>47.242348</v>
      </c>
      <c r="J2481">
        <v>-122.536984</v>
      </c>
      <c r="K2481" t="s">
        <v>3936</v>
      </c>
      <c r="L2481" t="s">
        <v>3946</v>
      </c>
      <c r="M2481" t="s">
        <v>5575</v>
      </c>
      <c r="P2481" t="s">
        <v>3161</v>
      </c>
    </row>
    <row r="2482" spans="1:16" x14ac:dyDescent="0.2">
      <c r="A2482" t="s">
        <v>2059</v>
      </c>
      <c r="B2482" t="s">
        <v>3163</v>
      </c>
      <c r="C2482" t="s">
        <v>3067</v>
      </c>
      <c r="D2482" t="s">
        <v>2307</v>
      </c>
      <c r="E2482">
        <v>98409</v>
      </c>
      <c r="F2482" t="s">
        <v>1600</v>
      </c>
      <c r="G2482" t="s">
        <v>2135</v>
      </c>
      <c r="H2482" t="s">
        <v>6001</v>
      </c>
      <c r="I2482">
        <v>47.234260999999996</v>
      </c>
      <c r="J2482">
        <v>-122.500134</v>
      </c>
      <c r="K2482" t="s">
        <v>3936</v>
      </c>
      <c r="L2482" t="s">
        <v>3946</v>
      </c>
      <c r="M2482" t="s">
        <v>5575</v>
      </c>
      <c r="P2482" t="s">
        <v>3163</v>
      </c>
    </row>
    <row r="2483" spans="1:16" x14ac:dyDescent="0.2">
      <c r="A2483" t="s">
        <v>2048</v>
      </c>
      <c r="B2483" t="s">
        <v>3164</v>
      </c>
      <c r="C2483" t="s">
        <v>3067</v>
      </c>
      <c r="D2483" t="s">
        <v>2307</v>
      </c>
      <c r="E2483">
        <v>98409</v>
      </c>
      <c r="F2483" t="s">
        <v>1573</v>
      </c>
      <c r="G2483" t="s">
        <v>2014</v>
      </c>
      <c r="H2483" t="s">
        <v>4719</v>
      </c>
      <c r="I2483">
        <v>47.231377000000002</v>
      </c>
      <c r="J2483">
        <v>-122.484504</v>
      </c>
      <c r="K2483" t="s">
        <v>3936</v>
      </c>
      <c r="L2483" t="s">
        <v>3946</v>
      </c>
      <c r="M2483" t="s">
        <v>5575</v>
      </c>
      <c r="P2483" t="s">
        <v>3164</v>
      </c>
    </row>
    <row r="2484" spans="1:16" x14ac:dyDescent="0.2">
      <c r="A2484" t="s">
        <v>2011</v>
      </c>
      <c r="B2484" t="s">
        <v>3165</v>
      </c>
      <c r="C2484" t="s">
        <v>3067</v>
      </c>
      <c r="D2484" t="s">
        <v>2307</v>
      </c>
      <c r="E2484">
        <v>98409</v>
      </c>
      <c r="F2484" t="s">
        <v>1573</v>
      </c>
      <c r="G2484" t="s">
        <v>1986</v>
      </c>
      <c r="H2484" t="s">
        <v>4720</v>
      </c>
      <c r="I2484">
        <v>47.234313</v>
      </c>
      <c r="J2484">
        <v>-122.50283</v>
      </c>
      <c r="K2484" t="s">
        <v>3936</v>
      </c>
      <c r="L2484" t="s">
        <v>3946</v>
      </c>
      <c r="M2484" t="s">
        <v>5575</v>
      </c>
      <c r="P2484" t="s">
        <v>3165</v>
      </c>
    </row>
    <row r="2485" spans="1:16" x14ac:dyDescent="0.2">
      <c r="A2485" t="s">
        <v>2271</v>
      </c>
      <c r="B2485" t="s">
        <v>3166</v>
      </c>
      <c r="C2485" t="s">
        <v>2995</v>
      </c>
      <c r="D2485" t="s">
        <v>2307</v>
      </c>
      <c r="E2485">
        <v>98272</v>
      </c>
      <c r="F2485" t="s">
        <v>1716</v>
      </c>
      <c r="G2485" t="s">
        <v>1981</v>
      </c>
      <c r="H2485" t="s">
        <v>4721</v>
      </c>
      <c r="I2485">
        <v>47.881602000000001</v>
      </c>
      <c r="J2485">
        <v>-121.857527</v>
      </c>
      <c r="K2485" t="s">
        <v>3936</v>
      </c>
      <c r="L2485" t="s">
        <v>3946</v>
      </c>
      <c r="M2485" t="s">
        <v>5575</v>
      </c>
      <c r="P2485" t="s">
        <v>3166</v>
      </c>
    </row>
    <row r="2486" spans="1:16" x14ac:dyDescent="0.2">
      <c r="A2486" t="s">
        <v>2011</v>
      </c>
      <c r="B2486" t="s">
        <v>3167</v>
      </c>
      <c r="C2486" t="s">
        <v>3067</v>
      </c>
      <c r="D2486" t="s">
        <v>2307</v>
      </c>
      <c r="E2486">
        <v>98418</v>
      </c>
      <c r="F2486" t="s">
        <v>1573</v>
      </c>
      <c r="G2486" t="s">
        <v>1986</v>
      </c>
      <c r="H2486" t="s">
        <v>4722</v>
      </c>
      <c r="I2486">
        <v>47.223242999999997</v>
      </c>
      <c r="J2486">
        <v>-122.43169399999999</v>
      </c>
      <c r="K2486" t="s">
        <v>3936</v>
      </c>
      <c r="L2486" t="s">
        <v>3946</v>
      </c>
      <c r="M2486" t="s">
        <v>5575</v>
      </c>
      <c r="P2486" t="s">
        <v>3167</v>
      </c>
    </row>
    <row r="2487" spans="1:16" x14ac:dyDescent="0.2">
      <c r="A2487" t="s">
        <v>1686</v>
      </c>
      <c r="B2487" t="s">
        <v>3168</v>
      </c>
      <c r="C2487" t="s">
        <v>3162</v>
      </c>
      <c r="D2487" t="s">
        <v>2307</v>
      </c>
      <c r="E2487">
        <v>98466</v>
      </c>
      <c r="F2487" t="s">
        <v>1573</v>
      </c>
      <c r="G2487" t="s">
        <v>2136</v>
      </c>
      <c r="H2487" t="s">
        <v>4723</v>
      </c>
      <c r="I2487">
        <v>47.235548999999999</v>
      </c>
      <c r="J2487">
        <v>-122.53052099999999</v>
      </c>
      <c r="K2487" t="s">
        <v>3936</v>
      </c>
      <c r="L2487" t="s">
        <v>3946</v>
      </c>
      <c r="M2487" t="s">
        <v>5575</v>
      </c>
      <c r="P2487" t="s">
        <v>3168</v>
      </c>
    </row>
    <row r="2488" spans="1:16" x14ac:dyDescent="0.2">
      <c r="A2488" t="s">
        <v>2272</v>
      </c>
      <c r="B2488" t="s">
        <v>3169</v>
      </c>
      <c r="C2488" t="s">
        <v>3170</v>
      </c>
      <c r="D2488" t="s">
        <v>2307</v>
      </c>
      <c r="E2488">
        <v>98294</v>
      </c>
      <c r="F2488" t="s">
        <v>1591</v>
      </c>
      <c r="G2488" t="s">
        <v>1969</v>
      </c>
      <c r="H2488" t="s">
        <v>5534</v>
      </c>
      <c r="I2488">
        <v>47.859422000000002</v>
      </c>
      <c r="J2488">
        <v>-121.826204</v>
      </c>
      <c r="K2488" t="s">
        <v>3936</v>
      </c>
      <c r="L2488" t="s">
        <v>3946</v>
      </c>
      <c r="M2488" t="s">
        <v>5575</v>
      </c>
      <c r="P2488" t="s">
        <v>5713</v>
      </c>
    </row>
    <row r="2489" spans="1:16" x14ac:dyDescent="0.2">
      <c r="A2489" t="s">
        <v>2048</v>
      </c>
      <c r="B2489" t="s">
        <v>3171</v>
      </c>
      <c r="C2489" t="s">
        <v>3067</v>
      </c>
      <c r="D2489" t="s">
        <v>2307</v>
      </c>
      <c r="E2489">
        <v>98466</v>
      </c>
      <c r="F2489" t="s">
        <v>1573</v>
      </c>
      <c r="G2489" t="s">
        <v>2014</v>
      </c>
      <c r="H2489" t="s">
        <v>4724</v>
      </c>
      <c r="I2489">
        <v>47.236434000000003</v>
      </c>
      <c r="J2489">
        <v>-122.53685299999999</v>
      </c>
      <c r="K2489" t="s">
        <v>3936</v>
      </c>
      <c r="L2489" t="s">
        <v>3946</v>
      </c>
      <c r="M2489" t="s">
        <v>5575</v>
      </c>
      <c r="P2489" t="s">
        <v>3171</v>
      </c>
    </row>
    <row r="2490" spans="1:16" x14ac:dyDescent="0.2">
      <c r="A2490" t="s">
        <v>3952</v>
      </c>
      <c r="B2490" t="s">
        <v>3172</v>
      </c>
      <c r="C2490" t="s">
        <v>3067</v>
      </c>
      <c r="D2490" t="s">
        <v>2307</v>
      </c>
      <c r="E2490">
        <v>98466</v>
      </c>
      <c r="F2490" t="s">
        <v>1573</v>
      </c>
      <c r="G2490" t="s">
        <v>2014</v>
      </c>
      <c r="H2490" t="s">
        <v>4725</v>
      </c>
      <c r="I2490">
        <v>47.235481</v>
      </c>
      <c r="J2490">
        <v>-122.534751</v>
      </c>
      <c r="K2490" t="s">
        <v>3936</v>
      </c>
      <c r="L2490" t="s">
        <v>3946</v>
      </c>
      <c r="M2490" t="s">
        <v>5575</v>
      </c>
      <c r="P2490" t="s">
        <v>3172</v>
      </c>
    </row>
    <row r="2491" spans="1:16" x14ac:dyDescent="0.2">
      <c r="A2491" t="s">
        <v>2011</v>
      </c>
      <c r="B2491" t="s">
        <v>3173</v>
      </c>
      <c r="C2491" t="s">
        <v>3067</v>
      </c>
      <c r="D2491" t="s">
        <v>2307</v>
      </c>
      <c r="E2491">
        <v>98466</v>
      </c>
      <c r="F2491" t="s">
        <v>1573</v>
      </c>
      <c r="G2491" t="s">
        <v>1986</v>
      </c>
      <c r="H2491" t="s">
        <v>4726</v>
      </c>
      <c r="I2491">
        <v>47.235232000000003</v>
      </c>
      <c r="J2491">
        <v>-122.537178</v>
      </c>
      <c r="K2491" t="s">
        <v>3936</v>
      </c>
      <c r="L2491" t="s">
        <v>3946</v>
      </c>
      <c r="M2491" t="s">
        <v>5575</v>
      </c>
      <c r="P2491" t="s">
        <v>3173</v>
      </c>
    </row>
    <row r="2492" spans="1:16" x14ac:dyDescent="0.2">
      <c r="A2492" t="s">
        <v>2101</v>
      </c>
      <c r="B2492" t="s">
        <v>3174</v>
      </c>
      <c r="C2492" t="s">
        <v>3067</v>
      </c>
      <c r="D2492" t="s">
        <v>2307</v>
      </c>
      <c r="E2492">
        <v>98409</v>
      </c>
      <c r="F2492" t="s">
        <v>1600</v>
      </c>
      <c r="G2492" t="s">
        <v>2102</v>
      </c>
      <c r="H2492" t="s">
        <v>4959</v>
      </c>
      <c r="I2492">
        <v>47.222327999999997</v>
      </c>
      <c r="J2492">
        <v>-122.471875</v>
      </c>
      <c r="K2492" t="s">
        <v>3936</v>
      </c>
      <c r="L2492" t="s">
        <v>3946</v>
      </c>
      <c r="M2492" t="s">
        <v>5575</v>
      </c>
      <c r="P2492" t="s">
        <v>3174</v>
      </c>
    </row>
    <row r="2493" spans="1:16" x14ac:dyDescent="0.2">
      <c r="A2493" t="s">
        <v>2011</v>
      </c>
      <c r="B2493" t="s">
        <v>3175</v>
      </c>
      <c r="C2493" t="s">
        <v>3067</v>
      </c>
      <c r="D2493" t="s">
        <v>2307</v>
      </c>
      <c r="E2493">
        <v>98409</v>
      </c>
      <c r="F2493" t="s">
        <v>1573</v>
      </c>
      <c r="G2493" t="s">
        <v>1986</v>
      </c>
      <c r="H2493" t="s">
        <v>4727</v>
      </c>
      <c r="I2493">
        <v>47.222538999999998</v>
      </c>
      <c r="J2493">
        <v>-122.47381</v>
      </c>
      <c r="K2493" t="s">
        <v>3936</v>
      </c>
      <c r="L2493" t="s">
        <v>3946</v>
      </c>
      <c r="M2493" t="s">
        <v>5575</v>
      </c>
      <c r="P2493" t="s">
        <v>3175</v>
      </c>
    </row>
    <row r="2494" spans="1:16" x14ac:dyDescent="0.2">
      <c r="A2494" t="s">
        <v>2103</v>
      </c>
      <c r="B2494" t="s">
        <v>3177</v>
      </c>
      <c r="C2494" t="s">
        <v>3067</v>
      </c>
      <c r="D2494" t="s">
        <v>2307</v>
      </c>
      <c r="E2494">
        <v>98409</v>
      </c>
      <c r="F2494" t="s">
        <v>1573</v>
      </c>
      <c r="G2494" t="s">
        <v>2104</v>
      </c>
      <c r="H2494" t="s">
        <v>6002</v>
      </c>
      <c r="I2494">
        <v>47.217892999999997</v>
      </c>
      <c r="J2494">
        <v>-122.46785300000001</v>
      </c>
      <c r="K2494" t="s">
        <v>3936</v>
      </c>
      <c r="L2494" t="s">
        <v>3946</v>
      </c>
      <c r="M2494" t="s">
        <v>5575</v>
      </c>
      <c r="P2494" t="s">
        <v>5739</v>
      </c>
    </row>
    <row r="2495" spans="1:16" x14ac:dyDescent="0.2">
      <c r="A2495" t="s">
        <v>2011</v>
      </c>
      <c r="B2495" t="s">
        <v>3176</v>
      </c>
      <c r="C2495" t="s">
        <v>3067</v>
      </c>
      <c r="D2495" t="s">
        <v>2307</v>
      </c>
      <c r="E2495">
        <v>98409</v>
      </c>
      <c r="F2495" t="s">
        <v>1573</v>
      </c>
      <c r="G2495" t="s">
        <v>1986</v>
      </c>
      <c r="H2495" t="s">
        <v>4728</v>
      </c>
      <c r="I2495">
        <v>47.217892999999997</v>
      </c>
      <c r="J2495">
        <v>-122.46785300000001</v>
      </c>
      <c r="K2495" t="s">
        <v>3936</v>
      </c>
      <c r="L2495" t="s">
        <v>3946</v>
      </c>
      <c r="M2495" t="s">
        <v>5575</v>
      </c>
      <c r="P2495" t="s">
        <v>3176</v>
      </c>
    </row>
    <row r="2496" spans="1:16" x14ac:dyDescent="0.2">
      <c r="A2496" t="s">
        <v>3952</v>
      </c>
      <c r="B2496" t="s">
        <v>3178</v>
      </c>
      <c r="C2496" t="s">
        <v>3067</v>
      </c>
      <c r="D2496" t="s">
        <v>2307</v>
      </c>
      <c r="E2496">
        <v>98409</v>
      </c>
      <c r="F2496" t="s">
        <v>1573</v>
      </c>
      <c r="G2496" t="s">
        <v>2014</v>
      </c>
      <c r="H2496" t="s">
        <v>4729</v>
      </c>
      <c r="I2496">
        <v>47.214331000000001</v>
      </c>
      <c r="J2496">
        <v>-122.472989</v>
      </c>
      <c r="K2496" t="s">
        <v>3936</v>
      </c>
      <c r="L2496" t="s">
        <v>3946</v>
      </c>
      <c r="M2496" t="s">
        <v>5575</v>
      </c>
      <c r="P2496" t="s">
        <v>3178</v>
      </c>
    </row>
    <row r="2497" spans="1:16" x14ac:dyDescent="0.2">
      <c r="A2497" t="s">
        <v>3952</v>
      </c>
      <c r="B2497" t="s">
        <v>3179</v>
      </c>
      <c r="C2497" t="s">
        <v>3067</v>
      </c>
      <c r="D2497" t="s">
        <v>2307</v>
      </c>
      <c r="E2497">
        <v>98408</v>
      </c>
      <c r="F2497" t="s">
        <v>1573</v>
      </c>
      <c r="G2497" t="s">
        <v>2014</v>
      </c>
      <c r="H2497" t="s">
        <v>4730</v>
      </c>
      <c r="I2497">
        <v>47.208849000000001</v>
      </c>
      <c r="J2497">
        <v>-122.43420399999999</v>
      </c>
      <c r="K2497" t="s">
        <v>3936</v>
      </c>
      <c r="L2497" t="s">
        <v>3946</v>
      </c>
      <c r="M2497" t="s">
        <v>5575</v>
      </c>
      <c r="P2497" t="s">
        <v>3179</v>
      </c>
    </row>
    <row r="2498" spans="1:16" x14ac:dyDescent="0.2">
      <c r="A2498" t="s">
        <v>2011</v>
      </c>
      <c r="B2498" t="s">
        <v>3180</v>
      </c>
      <c r="C2498" t="s">
        <v>3149</v>
      </c>
      <c r="D2498" t="s">
        <v>2307</v>
      </c>
      <c r="E2498">
        <v>98258</v>
      </c>
      <c r="F2498" t="s">
        <v>1573</v>
      </c>
      <c r="G2498" t="s">
        <v>1986</v>
      </c>
      <c r="H2498" t="s">
        <v>4731</v>
      </c>
      <c r="I2498">
        <v>48.013967999999998</v>
      </c>
      <c r="J2498">
        <v>-122.063941</v>
      </c>
      <c r="K2498" t="s">
        <v>3936</v>
      </c>
      <c r="L2498" t="s">
        <v>3946</v>
      </c>
      <c r="M2498" t="s">
        <v>5575</v>
      </c>
      <c r="P2498" t="s">
        <v>3180</v>
      </c>
    </row>
    <row r="2499" spans="1:16" x14ac:dyDescent="0.2">
      <c r="A2499" t="s">
        <v>2011</v>
      </c>
      <c r="B2499" t="s">
        <v>3181</v>
      </c>
      <c r="C2499" t="s">
        <v>3067</v>
      </c>
      <c r="D2499" t="s">
        <v>2307</v>
      </c>
      <c r="E2499">
        <v>98409</v>
      </c>
      <c r="F2499" t="s">
        <v>1573</v>
      </c>
      <c r="G2499" t="s">
        <v>1986</v>
      </c>
      <c r="H2499" t="s">
        <v>4732</v>
      </c>
      <c r="I2499">
        <v>47.211227999999998</v>
      </c>
      <c r="J2499">
        <v>-122.48347800000001</v>
      </c>
      <c r="K2499" t="s">
        <v>3936</v>
      </c>
      <c r="L2499" t="s">
        <v>3946</v>
      </c>
      <c r="M2499" t="s">
        <v>5575</v>
      </c>
      <c r="P2499" t="s">
        <v>3181</v>
      </c>
    </row>
    <row r="2500" spans="1:16" x14ac:dyDescent="0.2">
      <c r="A2500" t="s">
        <v>2273</v>
      </c>
      <c r="B2500" t="s">
        <v>3182</v>
      </c>
      <c r="C2500" t="s">
        <v>3170</v>
      </c>
      <c r="D2500" t="s">
        <v>2307</v>
      </c>
      <c r="E2500">
        <v>98294</v>
      </c>
      <c r="F2500" t="s">
        <v>1583</v>
      </c>
      <c r="G2500" t="s">
        <v>1980</v>
      </c>
      <c r="H2500" t="s">
        <v>4733</v>
      </c>
      <c r="I2500">
        <v>47.862110999999999</v>
      </c>
      <c r="J2500">
        <v>-121.80731900000001</v>
      </c>
      <c r="K2500" t="s">
        <v>3936</v>
      </c>
      <c r="L2500" t="s">
        <v>3946</v>
      </c>
      <c r="M2500" t="s">
        <v>5575</v>
      </c>
      <c r="P2500" t="s">
        <v>3182</v>
      </c>
    </row>
    <row r="2501" spans="1:16" x14ac:dyDescent="0.2">
      <c r="A2501" t="s">
        <v>2011</v>
      </c>
      <c r="B2501" t="s">
        <v>3183</v>
      </c>
      <c r="C2501" t="s">
        <v>3067</v>
      </c>
      <c r="D2501" t="s">
        <v>2307</v>
      </c>
      <c r="E2501">
        <v>98404</v>
      </c>
      <c r="F2501" t="s">
        <v>1573</v>
      </c>
      <c r="G2501" t="s">
        <v>1986</v>
      </c>
      <c r="H2501" t="s">
        <v>4734</v>
      </c>
      <c r="I2501">
        <v>47.206170999999998</v>
      </c>
      <c r="J2501">
        <v>-122.42588499999999</v>
      </c>
      <c r="K2501" t="s">
        <v>3936</v>
      </c>
      <c r="L2501" t="s">
        <v>3946</v>
      </c>
      <c r="M2501" t="s">
        <v>5575</v>
      </c>
      <c r="P2501" t="s">
        <v>3183</v>
      </c>
    </row>
    <row r="2502" spans="1:16" x14ac:dyDescent="0.2">
      <c r="A2502" t="s">
        <v>2059</v>
      </c>
      <c r="B2502" t="s">
        <v>3184</v>
      </c>
      <c r="C2502" t="s">
        <v>3067</v>
      </c>
      <c r="D2502" t="s">
        <v>2307</v>
      </c>
      <c r="E2502">
        <v>98408</v>
      </c>
      <c r="F2502" t="s">
        <v>1600</v>
      </c>
      <c r="G2502" t="s">
        <v>2135</v>
      </c>
      <c r="H2502" t="s">
        <v>6003</v>
      </c>
      <c r="I2502">
        <v>47.206828000000002</v>
      </c>
      <c r="J2502">
        <v>-122.433874</v>
      </c>
      <c r="K2502" t="s">
        <v>3936</v>
      </c>
      <c r="L2502" t="s">
        <v>3946</v>
      </c>
      <c r="M2502" t="s">
        <v>5575</v>
      </c>
      <c r="P2502" t="s">
        <v>3184</v>
      </c>
    </row>
    <row r="2503" spans="1:16" x14ac:dyDescent="0.2">
      <c r="A2503" t="s">
        <v>2011</v>
      </c>
      <c r="B2503" t="s">
        <v>3185</v>
      </c>
      <c r="C2503" t="s">
        <v>3186</v>
      </c>
      <c r="D2503" t="s">
        <v>2307</v>
      </c>
      <c r="E2503">
        <v>98371</v>
      </c>
      <c r="F2503" t="s">
        <v>1573</v>
      </c>
      <c r="G2503" t="s">
        <v>1986</v>
      </c>
      <c r="H2503" t="s">
        <v>4735</v>
      </c>
      <c r="I2503">
        <v>47.202447999999997</v>
      </c>
      <c r="J2503">
        <v>-122.30894600000001</v>
      </c>
      <c r="K2503" t="s">
        <v>3936</v>
      </c>
      <c r="L2503" t="s">
        <v>3946</v>
      </c>
      <c r="M2503" t="s">
        <v>5575</v>
      </c>
      <c r="P2503" t="s">
        <v>3185</v>
      </c>
    </row>
    <row r="2504" spans="1:16" x14ac:dyDescent="0.2">
      <c r="A2504" t="s">
        <v>2059</v>
      </c>
      <c r="B2504" t="s">
        <v>3187</v>
      </c>
      <c r="C2504" t="s">
        <v>3067</v>
      </c>
      <c r="D2504" t="s">
        <v>2307</v>
      </c>
      <c r="E2504">
        <v>98409</v>
      </c>
      <c r="F2504" t="s">
        <v>1600</v>
      </c>
      <c r="G2504" t="s">
        <v>2063</v>
      </c>
      <c r="H2504" t="s">
        <v>6004</v>
      </c>
      <c r="I2504">
        <v>47.209933999999997</v>
      </c>
      <c r="J2504">
        <v>-122.463728</v>
      </c>
      <c r="K2504" t="s">
        <v>3936</v>
      </c>
      <c r="L2504" t="s">
        <v>3946</v>
      </c>
      <c r="M2504" t="s">
        <v>5575</v>
      </c>
      <c r="P2504" t="s">
        <v>3187</v>
      </c>
    </row>
    <row r="2505" spans="1:16" x14ac:dyDescent="0.2">
      <c r="A2505" t="s">
        <v>2011</v>
      </c>
      <c r="B2505" t="s">
        <v>3188</v>
      </c>
      <c r="C2505" t="s">
        <v>3162</v>
      </c>
      <c r="D2505" t="s">
        <v>2307</v>
      </c>
      <c r="E2505">
        <v>98466</v>
      </c>
      <c r="F2505" t="s">
        <v>1573</v>
      </c>
      <c r="G2505" t="s">
        <v>1986</v>
      </c>
      <c r="H2505" t="s">
        <v>4736</v>
      </c>
      <c r="I2505">
        <v>47.220998999999999</v>
      </c>
      <c r="J2505">
        <v>-122.535004</v>
      </c>
      <c r="K2505" t="s">
        <v>3936</v>
      </c>
      <c r="L2505" t="s">
        <v>3946</v>
      </c>
      <c r="M2505" t="s">
        <v>5575</v>
      </c>
      <c r="P2505" t="s">
        <v>3188</v>
      </c>
    </row>
    <row r="2506" spans="1:16" x14ac:dyDescent="0.2">
      <c r="A2506" t="s">
        <v>2059</v>
      </c>
      <c r="B2506" t="s">
        <v>3189</v>
      </c>
      <c r="C2506" t="s">
        <v>3162</v>
      </c>
      <c r="D2506" t="s">
        <v>2307</v>
      </c>
      <c r="E2506">
        <v>98466</v>
      </c>
      <c r="F2506" t="s">
        <v>1600</v>
      </c>
      <c r="G2506" t="s">
        <v>2135</v>
      </c>
      <c r="H2506" t="s">
        <v>5298</v>
      </c>
      <c r="I2506">
        <v>47.221212999999999</v>
      </c>
      <c r="J2506">
        <v>-122.537327</v>
      </c>
      <c r="K2506" t="s">
        <v>3936</v>
      </c>
      <c r="L2506" t="s">
        <v>3946</v>
      </c>
      <c r="M2506" t="s">
        <v>5575</v>
      </c>
      <c r="P2506" t="s">
        <v>3189</v>
      </c>
    </row>
    <row r="2507" spans="1:16" x14ac:dyDescent="0.2">
      <c r="A2507" t="s">
        <v>2011</v>
      </c>
      <c r="B2507" t="s">
        <v>3190</v>
      </c>
      <c r="C2507" t="s">
        <v>3191</v>
      </c>
      <c r="D2507" t="s">
        <v>2307</v>
      </c>
      <c r="E2507">
        <v>98390</v>
      </c>
      <c r="F2507" t="s">
        <v>1573</v>
      </c>
      <c r="G2507" t="s">
        <v>1986</v>
      </c>
      <c r="H2507" t="s">
        <v>4738</v>
      </c>
      <c r="I2507">
        <v>47.169685000000001</v>
      </c>
      <c r="J2507">
        <v>-122.16802800000001</v>
      </c>
      <c r="K2507" t="s">
        <v>3936</v>
      </c>
      <c r="L2507" t="s">
        <v>3946</v>
      </c>
      <c r="M2507" t="s">
        <v>5575</v>
      </c>
      <c r="P2507" t="s">
        <v>3190</v>
      </c>
    </row>
    <row r="2508" spans="1:16" x14ac:dyDescent="0.2">
      <c r="A2508" t="s">
        <v>2048</v>
      </c>
      <c r="B2508" t="s">
        <v>3192</v>
      </c>
      <c r="C2508" t="s">
        <v>3193</v>
      </c>
      <c r="D2508" t="s">
        <v>2307</v>
      </c>
      <c r="E2508">
        <v>98390</v>
      </c>
      <c r="F2508" t="s">
        <v>1573</v>
      </c>
      <c r="G2508" t="s">
        <v>2014</v>
      </c>
      <c r="H2508" t="s">
        <v>4739</v>
      </c>
      <c r="I2508">
        <v>47.202981000000001</v>
      </c>
      <c r="J2508">
        <v>-122.245541</v>
      </c>
      <c r="K2508" t="s">
        <v>3936</v>
      </c>
      <c r="L2508" t="s">
        <v>3946</v>
      </c>
      <c r="M2508" t="s">
        <v>5575</v>
      </c>
      <c r="P2508" t="s">
        <v>3192</v>
      </c>
    </row>
    <row r="2509" spans="1:16" x14ac:dyDescent="0.2">
      <c r="A2509" t="s">
        <v>2011</v>
      </c>
      <c r="B2509" t="s">
        <v>3194</v>
      </c>
      <c r="C2509" t="s">
        <v>3067</v>
      </c>
      <c r="D2509" t="s">
        <v>2307</v>
      </c>
      <c r="E2509">
        <v>98409</v>
      </c>
      <c r="F2509" t="s">
        <v>1573</v>
      </c>
      <c r="G2509" t="s">
        <v>1986</v>
      </c>
      <c r="H2509" t="s">
        <v>4740</v>
      </c>
      <c r="I2509">
        <v>47.209068000000002</v>
      </c>
      <c r="J2509">
        <v>-122.483909</v>
      </c>
      <c r="K2509" t="s">
        <v>3936</v>
      </c>
      <c r="L2509" t="s">
        <v>3946</v>
      </c>
      <c r="M2509" t="s">
        <v>5575</v>
      </c>
      <c r="P2509" t="s">
        <v>3194</v>
      </c>
    </row>
    <row r="2510" spans="1:16" x14ac:dyDescent="0.2">
      <c r="A2510" t="s">
        <v>2011</v>
      </c>
      <c r="B2510" t="s">
        <v>3195</v>
      </c>
      <c r="C2510" t="s">
        <v>3193</v>
      </c>
      <c r="D2510" t="s">
        <v>2307</v>
      </c>
      <c r="E2510">
        <v>98390</v>
      </c>
      <c r="F2510" t="s">
        <v>1573</v>
      </c>
      <c r="G2510" t="s">
        <v>1986</v>
      </c>
      <c r="H2510" t="s">
        <v>4741</v>
      </c>
      <c r="I2510">
        <v>47.203060000000001</v>
      </c>
      <c r="J2510">
        <v>-122.23041600000001</v>
      </c>
      <c r="K2510" t="s">
        <v>3936</v>
      </c>
      <c r="L2510" t="s">
        <v>3946</v>
      </c>
      <c r="M2510" t="s">
        <v>5575</v>
      </c>
      <c r="P2510" t="s">
        <v>3195</v>
      </c>
    </row>
    <row r="2511" spans="1:16" x14ac:dyDescent="0.2">
      <c r="A2511" t="s">
        <v>2015</v>
      </c>
      <c r="B2511" t="s">
        <v>3196</v>
      </c>
      <c r="C2511" t="s">
        <v>3193</v>
      </c>
      <c r="D2511" t="s">
        <v>2307</v>
      </c>
      <c r="E2511">
        <v>98390</v>
      </c>
      <c r="F2511" t="s">
        <v>1573</v>
      </c>
      <c r="G2511" t="s">
        <v>2024</v>
      </c>
      <c r="H2511" t="s">
        <v>6006</v>
      </c>
      <c r="I2511">
        <v>47.202795000000002</v>
      </c>
      <c r="J2511">
        <v>-122.229331</v>
      </c>
      <c r="K2511" t="s">
        <v>3936</v>
      </c>
      <c r="L2511" t="s">
        <v>3946</v>
      </c>
      <c r="M2511" t="s">
        <v>5575</v>
      </c>
      <c r="P2511" t="s">
        <v>3196</v>
      </c>
    </row>
    <row r="2512" spans="1:16" x14ac:dyDescent="0.2">
      <c r="A2512" t="s">
        <v>2011</v>
      </c>
      <c r="B2512" t="s">
        <v>3197</v>
      </c>
      <c r="C2512" t="s">
        <v>3149</v>
      </c>
      <c r="D2512" t="s">
        <v>2307</v>
      </c>
      <c r="E2512">
        <v>98258</v>
      </c>
      <c r="F2512" t="s">
        <v>1573</v>
      </c>
      <c r="G2512" t="s">
        <v>1986</v>
      </c>
      <c r="H2512" t="s">
        <v>4742</v>
      </c>
      <c r="I2512">
        <v>48.022208999999997</v>
      </c>
      <c r="J2512">
        <v>-122.064733</v>
      </c>
      <c r="K2512" t="s">
        <v>3936</v>
      </c>
      <c r="L2512" t="s">
        <v>3946</v>
      </c>
      <c r="M2512" t="s">
        <v>5575</v>
      </c>
      <c r="P2512" t="s">
        <v>3197</v>
      </c>
    </row>
    <row r="2513" spans="1:16" x14ac:dyDescent="0.2">
      <c r="A2513" t="s">
        <v>2007</v>
      </c>
      <c r="B2513" t="s">
        <v>3198</v>
      </c>
      <c r="C2513" t="s">
        <v>3067</v>
      </c>
      <c r="D2513" t="s">
        <v>2307</v>
      </c>
      <c r="E2513">
        <v>98409</v>
      </c>
      <c r="F2513" t="s">
        <v>1658</v>
      </c>
      <c r="G2513" t="s">
        <v>2008</v>
      </c>
      <c r="H2513" t="s">
        <v>5299</v>
      </c>
      <c r="I2513">
        <v>47.207853999999998</v>
      </c>
      <c r="J2513">
        <v>-122.485232</v>
      </c>
      <c r="K2513" t="s">
        <v>3936</v>
      </c>
      <c r="L2513" t="s">
        <v>3946</v>
      </c>
      <c r="M2513" t="s">
        <v>5575</v>
      </c>
      <c r="P2513" t="s">
        <v>3198</v>
      </c>
    </row>
    <row r="2514" spans="1:16" x14ac:dyDescent="0.2">
      <c r="A2514" t="s">
        <v>2059</v>
      </c>
      <c r="B2514" t="s">
        <v>3199</v>
      </c>
      <c r="C2514" t="s">
        <v>3193</v>
      </c>
      <c r="D2514" t="s">
        <v>2307</v>
      </c>
      <c r="E2514">
        <v>98390</v>
      </c>
      <c r="F2514" t="s">
        <v>1600</v>
      </c>
      <c r="G2514" t="s">
        <v>2060</v>
      </c>
      <c r="H2514" t="s">
        <v>5597</v>
      </c>
      <c r="I2514">
        <v>47.201410000000003</v>
      </c>
      <c r="J2514">
        <v>-122.229337</v>
      </c>
      <c r="K2514" t="s">
        <v>3936</v>
      </c>
      <c r="L2514" t="s">
        <v>3946</v>
      </c>
      <c r="M2514" t="s">
        <v>5575</v>
      </c>
      <c r="P2514" t="s">
        <v>3199</v>
      </c>
    </row>
    <row r="2515" spans="1:16" x14ac:dyDescent="0.2">
      <c r="A2515" t="s">
        <v>2059</v>
      </c>
      <c r="B2515" t="s">
        <v>3200</v>
      </c>
      <c r="C2515" t="s">
        <v>3201</v>
      </c>
      <c r="D2515" t="s">
        <v>2307</v>
      </c>
      <c r="E2515">
        <v>98270</v>
      </c>
      <c r="F2515" t="s">
        <v>1600</v>
      </c>
      <c r="G2515" t="s">
        <v>2063</v>
      </c>
      <c r="H2515" t="s">
        <v>5598</v>
      </c>
      <c r="I2515">
        <v>48.051982000000002</v>
      </c>
      <c r="J2515">
        <v>-122.183187</v>
      </c>
      <c r="K2515" t="s">
        <v>3936</v>
      </c>
      <c r="L2515" t="s">
        <v>3946</v>
      </c>
      <c r="M2515" t="s">
        <v>5575</v>
      </c>
      <c r="P2515" t="s">
        <v>3200</v>
      </c>
    </row>
    <row r="2516" spans="1:16" x14ac:dyDescent="0.2">
      <c r="A2516" t="s">
        <v>2048</v>
      </c>
      <c r="B2516" t="s">
        <v>3202</v>
      </c>
      <c r="C2516" t="s">
        <v>3201</v>
      </c>
      <c r="D2516" t="s">
        <v>2307</v>
      </c>
      <c r="E2516">
        <v>98270</v>
      </c>
      <c r="F2516" t="s">
        <v>1573</v>
      </c>
      <c r="G2516" t="s">
        <v>2014</v>
      </c>
      <c r="H2516" t="s">
        <v>4743</v>
      </c>
      <c r="I2516">
        <v>48.051712000000002</v>
      </c>
      <c r="J2516">
        <v>-122.18319099999999</v>
      </c>
      <c r="K2516" t="s">
        <v>3936</v>
      </c>
      <c r="L2516" t="s">
        <v>3946</v>
      </c>
      <c r="M2516" t="s">
        <v>5575</v>
      </c>
      <c r="P2516" t="s">
        <v>3202</v>
      </c>
    </row>
    <row r="2517" spans="1:16" x14ac:dyDescent="0.2">
      <c r="A2517" t="s">
        <v>3955</v>
      </c>
      <c r="B2517" t="s">
        <v>3203</v>
      </c>
      <c r="C2517" t="s">
        <v>3204</v>
      </c>
      <c r="D2517" t="s">
        <v>2307</v>
      </c>
      <c r="E2517">
        <v>98270</v>
      </c>
      <c r="F2517" t="s">
        <v>1658</v>
      </c>
      <c r="G2517" t="s">
        <v>2128</v>
      </c>
      <c r="H2517" t="s">
        <v>5599</v>
      </c>
      <c r="I2517">
        <v>48.050939999999997</v>
      </c>
      <c r="J2517">
        <v>-122.17922299999999</v>
      </c>
      <c r="K2517" t="s">
        <v>3936</v>
      </c>
      <c r="L2517" t="s">
        <v>3946</v>
      </c>
      <c r="M2517" t="s">
        <v>5575</v>
      </c>
      <c r="P2517" t="s">
        <v>3203</v>
      </c>
    </row>
    <row r="2518" spans="1:16" x14ac:dyDescent="0.2">
      <c r="A2518" t="s">
        <v>2011</v>
      </c>
      <c r="B2518" t="s">
        <v>3205</v>
      </c>
      <c r="C2518" t="s">
        <v>3201</v>
      </c>
      <c r="D2518" t="s">
        <v>2307</v>
      </c>
      <c r="E2518">
        <v>98270</v>
      </c>
      <c r="F2518" t="s">
        <v>1573</v>
      </c>
      <c r="G2518" t="s">
        <v>1986</v>
      </c>
      <c r="H2518" t="s">
        <v>4744</v>
      </c>
      <c r="I2518">
        <v>48.052041000000003</v>
      </c>
      <c r="J2518">
        <v>-122.18190300000001</v>
      </c>
      <c r="K2518" t="s">
        <v>3936</v>
      </c>
      <c r="L2518" t="s">
        <v>3946</v>
      </c>
      <c r="M2518" t="s">
        <v>5575</v>
      </c>
      <c r="P2518" t="s">
        <v>3205</v>
      </c>
    </row>
    <row r="2519" spans="1:16" x14ac:dyDescent="0.2">
      <c r="A2519" t="s">
        <v>2274</v>
      </c>
      <c r="B2519" t="s">
        <v>3206</v>
      </c>
      <c r="C2519" t="s">
        <v>3201</v>
      </c>
      <c r="D2519" t="s">
        <v>2307</v>
      </c>
      <c r="E2519">
        <v>98270</v>
      </c>
      <c r="F2519" t="s">
        <v>1600</v>
      </c>
      <c r="G2519" t="s">
        <v>1981</v>
      </c>
      <c r="H2519" t="s">
        <v>4973</v>
      </c>
      <c r="I2519">
        <v>48.050952000000002</v>
      </c>
      <c r="J2519">
        <v>-122.17676400000001</v>
      </c>
      <c r="K2519" t="s">
        <v>3936</v>
      </c>
      <c r="L2519" t="s">
        <v>3946</v>
      </c>
      <c r="M2519" t="s">
        <v>5575</v>
      </c>
      <c r="P2519" t="s">
        <v>3206</v>
      </c>
    </row>
    <row r="2520" spans="1:16" x14ac:dyDescent="0.2">
      <c r="A2520" t="s">
        <v>2048</v>
      </c>
      <c r="B2520" t="s">
        <v>3207</v>
      </c>
      <c r="C2520" t="s">
        <v>3067</v>
      </c>
      <c r="D2520" t="s">
        <v>2307</v>
      </c>
      <c r="E2520">
        <v>98467</v>
      </c>
      <c r="F2520" t="s">
        <v>1573</v>
      </c>
      <c r="G2520" t="s">
        <v>2014</v>
      </c>
      <c r="H2520" t="s">
        <v>4746</v>
      </c>
      <c r="I2520">
        <v>47.207653000000001</v>
      </c>
      <c r="J2520">
        <v>-122.505144</v>
      </c>
      <c r="K2520" t="s">
        <v>3936</v>
      </c>
      <c r="L2520" t="s">
        <v>3946</v>
      </c>
      <c r="M2520" t="s">
        <v>5575</v>
      </c>
      <c r="P2520" t="s">
        <v>3207</v>
      </c>
    </row>
    <row r="2521" spans="1:16" x14ac:dyDescent="0.2">
      <c r="A2521" t="s">
        <v>2275</v>
      </c>
      <c r="B2521" t="s">
        <v>3208</v>
      </c>
      <c r="C2521" t="s">
        <v>3162</v>
      </c>
      <c r="D2521" t="s">
        <v>2307</v>
      </c>
      <c r="E2521">
        <v>98467</v>
      </c>
      <c r="F2521" t="s">
        <v>1591</v>
      </c>
      <c r="G2521" t="s">
        <v>1969</v>
      </c>
      <c r="H2521" t="s">
        <v>4747</v>
      </c>
      <c r="I2521">
        <v>47.207205999999999</v>
      </c>
      <c r="J2521">
        <v>-122.50549100000001</v>
      </c>
      <c r="K2521" t="s">
        <v>3936</v>
      </c>
      <c r="L2521" t="s">
        <v>3946</v>
      </c>
      <c r="M2521" t="s">
        <v>5575</v>
      </c>
      <c r="P2521" t="s">
        <v>3208</v>
      </c>
    </row>
    <row r="2522" spans="1:16" x14ac:dyDescent="0.2">
      <c r="A2522" t="s">
        <v>2276</v>
      </c>
      <c r="B2522" t="s">
        <v>3209</v>
      </c>
      <c r="C2522" t="s">
        <v>3201</v>
      </c>
      <c r="D2522" t="s">
        <v>2307</v>
      </c>
      <c r="E2522">
        <v>98270</v>
      </c>
      <c r="F2522" t="s">
        <v>1583</v>
      </c>
      <c r="G2522" t="s">
        <v>1980</v>
      </c>
      <c r="H2522" t="s">
        <v>3996</v>
      </c>
      <c r="I2522">
        <v>48.051938</v>
      </c>
      <c r="J2522">
        <v>-122.16668</v>
      </c>
      <c r="K2522" t="s">
        <v>3936</v>
      </c>
      <c r="L2522" t="s">
        <v>3946</v>
      </c>
      <c r="M2522" t="s">
        <v>5575</v>
      </c>
      <c r="P2522" t="s">
        <v>6007</v>
      </c>
    </row>
    <row r="2523" spans="1:16" x14ac:dyDescent="0.2">
      <c r="A2523" t="s">
        <v>3952</v>
      </c>
      <c r="B2523" t="s">
        <v>3210</v>
      </c>
      <c r="C2523" t="s">
        <v>3186</v>
      </c>
      <c r="D2523" t="s">
        <v>2307</v>
      </c>
      <c r="E2523">
        <v>98372</v>
      </c>
      <c r="F2523" t="s">
        <v>1573</v>
      </c>
      <c r="G2523" t="s">
        <v>2014</v>
      </c>
      <c r="H2523" t="s">
        <v>4749</v>
      </c>
      <c r="I2523">
        <v>47.192143999999999</v>
      </c>
      <c r="J2523">
        <v>-122.291724</v>
      </c>
      <c r="K2523" t="s">
        <v>3936</v>
      </c>
      <c r="L2523" t="s">
        <v>3946</v>
      </c>
      <c r="M2523" t="s">
        <v>5575</v>
      </c>
      <c r="P2523" t="s">
        <v>3210</v>
      </c>
    </row>
    <row r="2524" spans="1:16" x14ac:dyDescent="0.2">
      <c r="A2524" t="s">
        <v>2277</v>
      </c>
      <c r="B2524" t="s">
        <v>3211</v>
      </c>
      <c r="C2524" t="s">
        <v>3186</v>
      </c>
      <c r="D2524" t="s">
        <v>2307</v>
      </c>
      <c r="E2524">
        <v>98371</v>
      </c>
      <c r="F2524" t="s">
        <v>2197</v>
      </c>
      <c r="G2524" t="s">
        <v>1969</v>
      </c>
      <c r="H2524" t="s">
        <v>4750</v>
      </c>
      <c r="I2524">
        <v>47.191650000000003</v>
      </c>
      <c r="J2524">
        <v>-122.293541</v>
      </c>
      <c r="K2524" t="s">
        <v>3936</v>
      </c>
      <c r="L2524" t="s">
        <v>3946</v>
      </c>
      <c r="M2524" t="s">
        <v>5575</v>
      </c>
      <c r="P2524" t="s">
        <v>3211</v>
      </c>
    </row>
    <row r="2525" spans="1:16" x14ac:dyDescent="0.2">
      <c r="A2525" t="s">
        <v>2278</v>
      </c>
      <c r="B2525" t="s">
        <v>3212</v>
      </c>
      <c r="C2525" t="s">
        <v>3201</v>
      </c>
      <c r="D2525" t="s">
        <v>2307</v>
      </c>
      <c r="E2525">
        <v>98270</v>
      </c>
      <c r="F2525" t="s">
        <v>1600</v>
      </c>
      <c r="G2525" t="s">
        <v>2001</v>
      </c>
      <c r="H2525" t="s">
        <v>5487</v>
      </c>
      <c r="I2525">
        <v>48.055740999999998</v>
      </c>
      <c r="J2525">
        <v>-122.180328</v>
      </c>
      <c r="K2525" t="s">
        <v>3936</v>
      </c>
      <c r="L2525" t="s">
        <v>3946</v>
      </c>
      <c r="M2525" t="s">
        <v>5575</v>
      </c>
      <c r="P2525" t="s">
        <v>3212</v>
      </c>
    </row>
    <row r="2526" spans="1:16" x14ac:dyDescent="0.2">
      <c r="A2526" t="s">
        <v>2279</v>
      </c>
      <c r="B2526" t="s">
        <v>3213</v>
      </c>
      <c r="C2526" t="s">
        <v>3186</v>
      </c>
      <c r="D2526" t="s">
        <v>2307</v>
      </c>
      <c r="E2526">
        <v>98371</v>
      </c>
      <c r="F2526" t="s">
        <v>1583</v>
      </c>
      <c r="G2526" t="s">
        <v>1980</v>
      </c>
      <c r="H2526" t="s">
        <v>4751</v>
      </c>
      <c r="I2526">
        <v>47.191569000000001</v>
      </c>
      <c r="J2526">
        <v>-122.293904</v>
      </c>
      <c r="K2526" t="s">
        <v>3936</v>
      </c>
      <c r="L2526" t="s">
        <v>3946</v>
      </c>
      <c r="M2526" t="s">
        <v>5575</v>
      </c>
      <c r="P2526" t="s">
        <v>3213</v>
      </c>
    </row>
    <row r="2527" spans="1:16" x14ac:dyDescent="0.2">
      <c r="A2527" t="s">
        <v>2007</v>
      </c>
      <c r="B2527" t="s">
        <v>3214</v>
      </c>
      <c r="C2527" t="s">
        <v>3186</v>
      </c>
      <c r="D2527" t="s">
        <v>2307</v>
      </c>
      <c r="E2527">
        <v>98372</v>
      </c>
      <c r="F2527" t="s">
        <v>1658</v>
      </c>
      <c r="G2527" t="s">
        <v>2110</v>
      </c>
      <c r="H2527" t="s">
        <v>5600</v>
      </c>
      <c r="I2527">
        <v>47.191333999999998</v>
      </c>
      <c r="J2527">
        <v>-122.289677</v>
      </c>
      <c r="K2527" t="s">
        <v>3936</v>
      </c>
      <c r="L2527" t="s">
        <v>3946</v>
      </c>
      <c r="M2527" t="s">
        <v>5575</v>
      </c>
      <c r="P2527" t="s">
        <v>3214</v>
      </c>
    </row>
    <row r="2528" spans="1:16" x14ac:dyDescent="0.2">
      <c r="A2528" t="s">
        <v>2280</v>
      </c>
      <c r="B2528" t="s">
        <v>3215</v>
      </c>
      <c r="C2528" t="s">
        <v>3186</v>
      </c>
      <c r="D2528" t="s">
        <v>2307</v>
      </c>
      <c r="E2528">
        <v>98371</v>
      </c>
      <c r="F2528" t="s">
        <v>1583</v>
      </c>
      <c r="G2528" t="s">
        <v>1980</v>
      </c>
      <c r="H2528" t="s">
        <v>4752</v>
      </c>
      <c r="I2528">
        <v>47.190781000000001</v>
      </c>
      <c r="J2528">
        <v>-122.293935</v>
      </c>
      <c r="K2528" t="s">
        <v>3936</v>
      </c>
      <c r="L2528" t="s">
        <v>3946</v>
      </c>
      <c r="M2528" t="s">
        <v>5575</v>
      </c>
      <c r="P2528" t="s">
        <v>3215</v>
      </c>
    </row>
    <row r="2529" spans="1:16" x14ac:dyDescent="0.2">
      <c r="A2529" t="s">
        <v>2011</v>
      </c>
      <c r="B2529" t="s">
        <v>3216</v>
      </c>
      <c r="C2529" t="s">
        <v>3186</v>
      </c>
      <c r="D2529" t="s">
        <v>2307</v>
      </c>
      <c r="E2529">
        <v>98372</v>
      </c>
      <c r="F2529" t="s">
        <v>1573</v>
      </c>
      <c r="G2529" t="s">
        <v>1986</v>
      </c>
      <c r="H2529" t="s">
        <v>4753</v>
      </c>
      <c r="I2529">
        <v>47.192078000000002</v>
      </c>
      <c r="J2529">
        <v>-122.273822</v>
      </c>
      <c r="K2529" t="s">
        <v>3936</v>
      </c>
      <c r="L2529" t="s">
        <v>3946</v>
      </c>
      <c r="M2529" t="s">
        <v>5575</v>
      </c>
      <c r="P2529" t="s">
        <v>3216</v>
      </c>
    </row>
    <row r="2530" spans="1:16" x14ac:dyDescent="0.2">
      <c r="A2530" t="s">
        <v>3953</v>
      </c>
      <c r="B2530" t="s">
        <v>3217</v>
      </c>
      <c r="C2530" t="s">
        <v>3186</v>
      </c>
      <c r="D2530" t="s">
        <v>2307</v>
      </c>
      <c r="E2530">
        <v>98372</v>
      </c>
      <c r="F2530" t="s">
        <v>1600</v>
      </c>
      <c r="G2530" t="s">
        <v>2112</v>
      </c>
      <c r="H2530" t="s">
        <v>4754</v>
      </c>
      <c r="I2530">
        <v>47.191738999999998</v>
      </c>
      <c r="J2530">
        <v>-122.275346</v>
      </c>
      <c r="K2530" t="s">
        <v>3936</v>
      </c>
      <c r="L2530" t="s">
        <v>3946</v>
      </c>
      <c r="M2530" t="s">
        <v>5575</v>
      </c>
      <c r="P2530" t="s">
        <v>3217</v>
      </c>
    </row>
    <row r="2531" spans="1:16" x14ac:dyDescent="0.2">
      <c r="A2531" t="s">
        <v>2011</v>
      </c>
      <c r="B2531" t="s">
        <v>3218</v>
      </c>
      <c r="C2531" t="s">
        <v>3067</v>
      </c>
      <c r="D2531" t="s">
        <v>2307</v>
      </c>
      <c r="E2531">
        <v>98404</v>
      </c>
      <c r="F2531" t="s">
        <v>1573</v>
      </c>
      <c r="G2531" t="s">
        <v>1986</v>
      </c>
      <c r="H2531" t="s">
        <v>4755</v>
      </c>
      <c r="I2531">
        <v>47.191920000000003</v>
      </c>
      <c r="J2531">
        <v>-122.40913399999999</v>
      </c>
      <c r="K2531" t="s">
        <v>3936</v>
      </c>
      <c r="L2531" t="s">
        <v>3946</v>
      </c>
      <c r="M2531" t="s">
        <v>5575</v>
      </c>
      <c r="P2531" t="s">
        <v>5740</v>
      </c>
    </row>
    <row r="2532" spans="1:16" x14ac:dyDescent="0.2">
      <c r="A2532" t="s">
        <v>2007</v>
      </c>
      <c r="B2532" t="s">
        <v>3219</v>
      </c>
      <c r="C2532" t="s">
        <v>3067</v>
      </c>
      <c r="D2532" t="s">
        <v>2307</v>
      </c>
      <c r="E2532">
        <v>98404</v>
      </c>
      <c r="F2532" t="s">
        <v>1658</v>
      </c>
      <c r="G2532" t="s">
        <v>2008</v>
      </c>
      <c r="H2532" t="s">
        <v>5601</v>
      </c>
      <c r="I2532">
        <v>47.191612999999997</v>
      </c>
      <c r="J2532">
        <v>-122.41871399999999</v>
      </c>
      <c r="K2532" t="s">
        <v>3936</v>
      </c>
      <c r="L2532" t="s">
        <v>3946</v>
      </c>
      <c r="M2532" t="s">
        <v>5575</v>
      </c>
      <c r="P2532" t="s">
        <v>3219</v>
      </c>
    </row>
    <row r="2533" spans="1:16" x14ac:dyDescent="0.2">
      <c r="A2533" t="s">
        <v>2011</v>
      </c>
      <c r="B2533" t="s">
        <v>3220</v>
      </c>
      <c r="C2533" t="s">
        <v>3193</v>
      </c>
      <c r="D2533" t="s">
        <v>2307</v>
      </c>
      <c r="E2533">
        <v>98390</v>
      </c>
      <c r="F2533" t="s">
        <v>1573</v>
      </c>
      <c r="G2533" t="s">
        <v>1986</v>
      </c>
      <c r="H2533" t="s">
        <v>4756</v>
      </c>
      <c r="I2533">
        <v>47.196652</v>
      </c>
      <c r="J2533">
        <v>-122.207947</v>
      </c>
      <c r="K2533" t="s">
        <v>3936</v>
      </c>
      <c r="L2533" t="s">
        <v>3946</v>
      </c>
      <c r="M2533" t="s">
        <v>5575</v>
      </c>
      <c r="P2533" t="s">
        <v>3220</v>
      </c>
    </row>
    <row r="2534" spans="1:16" x14ac:dyDescent="0.2">
      <c r="A2534" t="s">
        <v>2011</v>
      </c>
      <c r="B2534" t="s">
        <v>3221</v>
      </c>
      <c r="C2534" t="s">
        <v>3186</v>
      </c>
      <c r="D2534" t="s">
        <v>2307</v>
      </c>
      <c r="E2534">
        <v>98371</v>
      </c>
      <c r="F2534" t="s">
        <v>1573</v>
      </c>
      <c r="G2534" t="s">
        <v>1986</v>
      </c>
      <c r="H2534" t="s">
        <v>4757</v>
      </c>
      <c r="I2534">
        <v>47.189366</v>
      </c>
      <c r="J2534">
        <v>-122.293511</v>
      </c>
      <c r="K2534" t="s">
        <v>3936</v>
      </c>
      <c r="L2534" t="s">
        <v>3946</v>
      </c>
      <c r="M2534" t="s">
        <v>5575</v>
      </c>
      <c r="P2534" t="s">
        <v>3221</v>
      </c>
    </row>
    <row r="2535" spans="1:16" x14ac:dyDescent="0.2">
      <c r="A2535" t="s">
        <v>2059</v>
      </c>
      <c r="B2535" t="s">
        <v>3222</v>
      </c>
      <c r="C2535" t="s">
        <v>3186</v>
      </c>
      <c r="D2535" t="s">
        <v>2307</v>
      </c>
      <c r="E2535">
        <v>98371</v>
      </c>
      <c r="F2535" t="s">
        <v>1600</v>
      </c>
      <c r="G2535" t="s">
        <v>2063</v>
      </c>
      <c r="H2535" t="s">
        <v>5602</v>
      </c>
      <c r="I2535">
        <v>47.186034999999997</v>
      </c>
      <c r="J2535">
        <v>-122.29353399999999</v>
      </c>
      <c r="K2535" t="s">
        <v>3936</v>
      </c>
      <c r="L2535" t="s">
        <v>3946</v>
      </c>
      <c r="M2535" t="s">
        <v>5575</v>
      </c>
      <c r="P2535" t="s">
        <v>3222</v>
      </c>
    </row>
    <row r="2536" spans="1:16" x14ac:dyDescent="0.2">
      <c r="A2536" t="s">
        <v>3955</v>
      </c>
      <c r="B2536" t="s">
        <v>3223</v>
      </c>
      <c r="C2536" t="s">
        <v>3093</v>
      </c>
      <c r="D2536" t="s">
        <v>2307</v>
      </c>
      <c r="E2536">
        <v>98408</v>
      </c>
      <c r="F2536" t="s">
        <v>1658</v>
      </c>
      <c r="G2536" t="s">
        <v>2128</v>
      </c>
      <c r="H2536" t="s">
        <v>5603</v>
      </c>
      <c r="I2536">
        <v>47.192011000000001</v>
      </c>
      <c r="J2536">
        <v>-122.459484</v>
      </c>
      <c r="K2536" t="s">
        <v>3936</v>
      </c>
      <c r="L2536" t="s">
        <v>3946</v>
      </c>
      <c r="M2536" t="s">
        <v>5575</v>
      </c>
      <c r="P2536" t="s">
        <v>3223</v>
      </c>
    </row>
    <row r="2537" spans="1:16" x14ac:dyDescent="0.2">
      <c r="A2537" t="s">
        <v>2158</v>
      </c>
      <c r="B2537" t="s">
        <v>3224</v>
      </c>
      <c r="C2537" t="s">
        <v>3067</v>
      </c>
      <c r="D2537" t="s">
        <v>2307</v>
      </c>
      <c r="E2537">
        <v>98408</v>
      </c>
      <c r="F2537" t="s">
        <v>1716</v>
      </c>
      <c r="G2537" t="s">
        <v>2000</v>
      </c>
      <c r="H2537" t="s">
        <v>4758</v>
      </c>
      <c r="I2537">
        <v>47.192013000000003</v>
      </c>
      <c r="J2537">
        <v>-122.459459</v>
      </c>
      <c r="K2537" t="s">
        <v>3936</v>
      </c>
      <c r="L2537" t="s">
        <v>3946</v>
      </c>
      <c r="M2537" t="s">
        <v>5575</v>
      </c>
      <c r="P2537" t="s">
        <v>5701</v>
      </c>
    </row>
    <row r="2538" spans="1:16" x14ac:dyDescent="0.2">
      <c r="A2538" t="s">
        <v>2011</v>
      </c>
      <c r="B2538" t="s">
        <v>3225</v>
      </c>
      <c r="C2538" t="s">
        <v>3170</v>
      </c>
      <c r="D2538" t="s">
        <v>2307</v>
      </c>
      <c r="E2538">
        <v>98294</v>
      </c>
      <c r="F2538" t="s">
        <v>1573</v>
      </c>
      <c r="G2538" t="s">
        <v>1986</v>
      </c>
      <c r="H2538" t="s">
        <v>4759</v>
      </c>
      <c r="I2538">
        <v>47.868355000000001</v>
      </c>
      <c r="J2538">
        <v>-121.775386</v>
      </c>
      <c r="K2538" t="s">
        <v>3936</v>
      </c>
      <c r="L2538" t="s">
        <v>3946</v>
      </c>
      <c r="M2538" t="s">
        <v>5575</v>
      </c>
      <c r="P2538" t="s">
        <v>3225</v>
      </c>
    </row>
    <row r="2539" spans="1:16" x14ac:dyDescent="0.2">
      <c r="A2539" t="s">
        <v>2059</v>
      </c>
      <c r="B2539" t="s">
        <v>3226</v>
      </c>
      <c r="C2539" t="s">
        <v>3067</v>
      </c>
      <c r="D2539" t="s">
        <v>2307</v>
      </c>
      <c r="E2539">
        <v>98408</v>
      </c>
      <c r="F2539" t="s">
        <v>1573</v>
      </c>
      <c r="G2539" t="s">
        <v>2067</v>
      </c>
      <c r="H2539" t="s">
        <v>5604</v>
      </c>
      <c r="I2539">
        <v>47.187868999999999</v>
      </c>
      <c r="J2539">
        <v>-122.462163</v>
      </c>
      <c r="K2539" t="s">
        <v>3936</v>
      </c>
      <c r="L2539" t="s">
        <v>3946</v>
      </c>
      <c r="M2539" t="s">
        <v>5575</v>
      </c>
      <c r="P2539" t="s">
        <v>3226</v>
      </c>
    </row>
    <row r="2540" spans="1:16" x14ac:dyDescent="0.2">
      <c r="A2540" t="s">
        <v>2011</v>
      </c>
      <c r="B2540" t="s">
        <v>3227</v>
      </c>
      <c r="C2540" t="s">
        <v>3138</v>
      </c>
      <c r="D2540" t="s">
        <v>2307</v>
      </c>
      <c r="E2540">
        <v>98045</v>
      </c>
      <c r="F2540" t="s">
        <v>1573</v>
      </c>
      <c r="G2540" t="s">
        <v>1986</v>
      </c>
      <c r="H2540" t="s">
        <v>4760</v>
      </c>
      <c r="I2540">
        <v>47.469028999999999</v>
      </c>
      <c r="J2540">
        <v>-121.715855</v>
      </c>
      <c r="K2540" t="s">
        <v>3936</v>
      </c>
      <c r="L2540" t="s">
        <v>3946</v>
      </c>
      <c r="M2540" t="s">
        <v>5575</v>
      </c>
      <c r="P2540" t="s">
        <v>3227</v>
      </c>
    </row>
    <row r="2541" spans="1:16" x14ac:dyDescent="0.2">
      <c r="A2541" t="s">
        <v>3952</v>
      </c>
      <c r="B2541" t="s">
        <v>3228</v>
      </c>
      <c r="C2541" t="s">
        <v>3201</v>
      </c>
      <c r="D2541" t="s">
        <v>2307</v>
      </c>
      <c r="E2541">
        <v>98270</v>
      </c>
      <c r="F2541" t="s">
        <v>1573</v>
      </c>
      <c r="G2541" t="s">
        <v>2014</v>
      </c>
      <c r="H2541" t="s">
        <v>4761</v>
      </c>
      <c r="I2541">
        <v>48.067467999999998</v>
      </c>
      <c r="J2541">
        <v>-122.17702199999999</v>
      </c>
      <c r="K2541" t="s">
        <v>3936</v>
      </c>
      <c r="L2541" t="s">
        <v>3946</v>
      </c>
      <c r="M2541" t="s">
        <v>5575</v>
      </c>
      <c r="P2541" t="s">
        <v>3228</v>
      </c>
    </row>
    <row r="2542" spans="1:16" x14ac:dyDescent="0.2">
      <c r="A2542" t="s">
        <v>1686</v>
      </c>
      <c r="B2542" t="s">
        <v>3229</v>
      </c>
      <c r="C2542" t="s">
        <v>3067</v>
      </c>
      <c r="D2542" t="s">
        <v>2307</v>
      </c>
      <c r="E2542">
        <v>98408</v>
      </c>
      <c r="F2542" t="s">
        <v>1573</v>
      </c>
      <c r="G2542" t="s">
        <v>2136</v>
      </c>
      <c r="H2542" t="s">
        <v>4762</v>
      </c>
      <c r="I2542">
        <v>47.185597000000001</v>
      </c>
      <c r="J2542">
        <v>-122.46293</v>
      </c>
      <c r="K2542" t="s">
        <v>3936</v>
      </c>
      <c r="L2542" t="s">
        <v>3946</v>
      </c>
      <c r="M2542" t="s">
        <v>5575</v>
      </c>
      <c r="P2542" t="s">
        <v>3229</v>
      </c>
    </row>
    <row r="2543" spans="1:16" x14ac:dyDescent="0.2">
      <c r="A2543" t="s">
        <v>2011</v>
      </c>
      <c r="B2543" t="s">
        <v>3230</v>
      </c>
      <c r="C2543" t="s">
        <v>3067</v>
      </c>
      <c r="D2543" t="s">
        <v>2307</v>
      </c>
      <c r="E2543">
        <v>98499</v>
      </c>
      <c r="F2543" t="s">
        <v>1573</v>
      </c>
      <c r="G2543" t="s">
        <v>1986</v>
      </c>
      <c r="H2543" t="s">
        <v>4763</v>
      </c>
      <c r="I2543">
        <v>47.187849999999997</v>
      </c>
      <c r="J2543">
        <v>-122.483879</v>
      </c>
      <c r="K2543" t="s">
        <v>3936</v>
      </c>
      <c r="L2543" t="s">
        <v>3946</v>
      </c>
      <c r="M2543" t="s">
        <v>5575</v>
      </c>
      <c r="P2543" t="s">
        <v>3230</v>
      </c>
    </row>
    <row r="2544" spans="1:16" x14ac:dyDescent="0.2">
      <c r="A2544" t="s">
        <v>2048</v>
      </c>
      <c r="B2544" t="s">
        <v>3231</v>
      </c>
      <c r="C2544" t="s">
        <v>3067</v>
      </c>
      <c r="D2544" t="s">
        <v>2307</v>
      </c>
      <c r="E2544">
        <v>98408</v>
      </c>
      <c r="F2544" t="s">
        <v>1573</v>
      </c>
      <c r="G2544" t="s">
        <v>2014</v>
      </c>
      <c r="H2544" t="s">
        <v>4764</v>
      </c>
      <c r="I2544">
        <v>47.181913000000002</v>
      </c>
      <c r="J2544">
        <v>-122.433916</v>
      </c>
      <c r="K2544" t="s">
        <v>3936</v>
      </c>
      <c r="L2544" t="s">
        <v>3946</v>
      </c>
      <c r="M2544" t="s">
        <v>5575</v>
      </c>
      <c r="P2544" t="s">
        <v>3231</v>
      </c>
    </row>
    <row r="2545" spans="1:16" x14ac:dyDescent="0.2">
      <c r="A2545" t="s">
        <v>2048</v>
      </c>
      <c r="B2545" t="s">
        <v>3232</v>
      </c>
      <c r="C2545" t="s">
        <v>3186</v>
      </c>
      <c r="D2545" t="s">
        <v>2307</v>
      </c>
      <c r="E2545">
        <v>98371</v>
      </c>
      <c r="F2545" t="s">
        <v>1573</v>
      </c>
      <c r="G2545" t="s">
        <v>2014</v>
      </c>
      <c r="H2545" t="s">
        <v>4765</v>
      </c>
      <c r="I2545">
        <v>47.177253</v>
      </c>
      <c r="J2545">
        <v>-122.29373099999999</v>
      </c>
      <c r="K2545" t="s">
        <v>3936</v>
      </c>
      <c r="L2545" t="s">
        <v>3946</v>
      </c>
      <c r="M2545" t="s">
        <v>5575</v>
      </c>
      <c r="P2545" t="s">
        <v>3232</v>
      </c>
    </row>
    <row r="2546" spans="1:16" x14ac:dyDescent="0.2">
      <c r="A2546" t="s">
        <v>3954</v>
      </c>
      <c r="B2546" t="s">
        <v>3233</v>
      </c>
      <c r="C2546" t="s">
        <v>3067</v>
      </c>
      <c r="D2546" t="s">
        <v>2307</v>
      </c>
      <c r="E2546">
        <v>98444</v>
      </c>
      <c r="F2546" t="s">
        <v>1600</v>
      </c>
      <c r="G2546" t="s">
        <v>5579</v>
      </c>
      <c r="H2546" t="s">
        <v>5605</v>
      </c>
      <c r="I2546">
        <v>47.180140999999999</v>
      </c>
      <c r="J2546">
        <v>-122.43431099999999</v>
      </c>
      <c r="K2546" t="s">
        <v>3936</v>
      </c>
      <c r="L2546" t="s">
        <v>3946</v>
      </c>
      <c r="M2546" t="s">
        <v>5575</v>
      </c>
      <c r="P2546" t="s">
        <v>3233</v>
      </c>
    </row>
    <row r="2547" spans="1:16" x14ac:dyDescent="0.2">
      <c r="A2547" t="s">
        <v>2011</v>
      </c>
      <c r="B2547" t="s">
        <v>3234</v>
      </c>
      <c r="C2547" t="s">
        <v>3067</v>
      </c>
      <c r="D2547" t="s">
        <v>2307</v>
      </c>
      <c r="E2547">
        <v>98444</v>
      </c>
      <c r="F2547" t="s">
        <v>1573</v>
      </c>
      <c r="G2547" t="s">
        <v>1986</v>
      </c>
      <c r="H2547" t="s">
        <v>4766</v>
      </c>
      <c r="I2547">
        <v>47.178339999999999</v>
      </c>
      <c r="J2547">
        <v>-122.434313</v>
      </c>
      <c r="K2547" t="s">
        <v>3936</v>
      </c>
      <c r="L2547" t="s">
        <v>3946</v>
      </c>
      <c r="M2547" t="s">
        <v>5575</v>
      </c>
      <c r="P2547" t="s">
        <v>5785</v>
      </c>
    </row>
    <row r="2548" spans="1:16" x14ac:dyDescent="0.2">
      <c r="A2548" t="s">
        <v>2011</v>
      </c>
      <c r="B2548" t="s">
        <v>3235</v>
      </c>
      <c r="C2548" t="s">
        <v>3067</v>
      </c>
      <c r="D2548" t="s">
        <v>2307</v>
      </c>
      <c r="E2548">
        <v>98444</v>
      </c>
      <c r="F2548" t="s">
        <v>1573</v>
      </c>
      <c r="G2548" t="s">
        <v>1986</v>
      </c>
      <c r="H2548" t="s">
        <v>4767</v>
      </c>
      <c r="I2548">
        <v>47.180455000000002</v>
      </c>
      <c r="J2548">
        <v>-122.463008</v>
      </c>
      <c r="K2548" t="s">
        <v>3936</v>
      </c>
      <c r="L2548" t="s">
        <v>3946</v>
      </c>
      <c r="M2548" t="s">
        <v>5575</v>
      </c>
      <c r="P2548" t="s">
        <v>3235</v>
      </c>
    </row>
    <row r="2549" spans="1:16" x14ac:dyDescent="0.2">
      <c r="A2549" t="s">
        <v>2011</v>
      </c>
      <c r="B2549" t="s">
        <v>3236</v>
      </c>
      <c r="C2549" t="s">
        <v>3237</v>
      </c>
      <c r="D2549" t="s">
        <v>2307</v>
      </c>
      <c r="E2549">
        <v>98498</v>
      </c>
      <c r="F2549" t="s">
        <v>1573</v>
      </c>
      <c r="G2549" t="s">
        <v>1986</v>
      </c>
      <c r="H2549" t="s">
        <v>4768</v>
      </c>
      <c r="I2549">
        <v>47.186354000000001</v>
      </c>
      <c r="J2549">
        <v>-122.518249</v>
      </c>
      <c r="K2549" t="s">
        <v>3936</v>
      </c>
      <c r="L2549" t="s">
        <v>3946</v>
      </c>
      <c r="M2549" t="s">
        <v>5575</v>
      </c>
      <c r="P2549" t="s">
        <v>3236</v>
      </c>
    </row>
    <row r="2550" spans="1:16" x14ac:dyDescent="0.2">
      <c r="A2550" t="s">
        <v>2059</v>
      </c>
      <c r="B2550" t="s">
        <v>3238</v>
      </c>
      <c r="C2550" t="s">
        <v>3237</v>
      </c>
      <c r="D2550" t="s">
        <v>2307</v>
      </c>
      <c r="E2550">
        <v>98499</v>
      </c>
      <c r="F2550" t="s">
        <v>1573</v>
      </c>
      <c r="G2550" t="s">
        <v>2067</v>
      </c>
      <c r="H2550" t="s">
        <v>5606</v>
      </c>
      <c r="I2550">
        <v>47.177343999999998</v>
      </c>
      <c r="J2550">
        <v>-122.48398899999999</v>
      </c>
      <c r="K2550" t="s">
        <v>3936</v>
      </c>
      <c r="L2550" t="s">
        <v>3946</v>
      </c>
      <c r="M2550" t="s">
        <v>5575</v>
      </c>
      <c r="P2550" t="s">
        <v>3238</v>
      </c>
    </row>
    <row r="2551" spans="1:16" x14ac:dyDescent="0.2">
      <c r="A2551" t="s">
        <v>2011</v>
      </c>
      <c r="B2551" t="s">
        <v>3239</v>
      </c>
      <c r="C2551" t="s">
        <v>3201</v>
      </c>
      <c r="D2551" t="s">
        <v>2307</v>
      </c>
      <c r="E2551">
        <v>98270</v>
      </c>
      <c r="F2551" t="s">
        <v>1573</v>
      </c>
      <c r="G2551" t="s">
        <v>1986</v>
      </c>
      <c r="H2551" t="s">
        <v>4769</v>
      </c>
      <c r="I2551">
        <v>48.079993000000002</v>
      </c>
      <c r="J2551">
        <v>-122.174935</v>
      </c>
      <c r="K2551" t="s">
        <v>3936</v>
      </c>
      <c r="L2551" t="s">
        <v>3946</v>
      </c>
      <c r="M2551" t="s">
        <v>5575</v>
      </c>
      <c r="P2551" t="s">
        <v>3239</v>
      </c>
    </row>
    <row r="2552" spans="1:16" x14ac:dyDescent="0.2">
      <c r="A2552" t="s">
        <v>2048</v>
      </c>
      <c r="B2552" t="s">
        <v>3240</v>
      </c>
      <c r="C2552" t="s">
        <v>3191</v>
      </c>
      <c r="D2552" t="s">
        <v>2307</v>
      </c>
      <c r="E2552">
        <v>98390</v>
      </c>
      <c r="F2552" t="s">
        <v>1573</v>
      </c>
      <c r="G2552" t="s">
        <v>2014</v>
      </c>
      <c r="H2552" t="s">
        <v>4770</v>
      </c>
      <c r="I2552">
        <v>47.177771</v>
      </c>
      <c r="J2552">
        <v>-122.18776099999999</v>
      </c>
      <c r="K2552" t="s">
        <v>3936</v>
      </c>
      <c r="L2552" t="s">
        <v>3946</v>
      </c>
      <c r="M2552" t="s">
        <v>5575</v>
      </c>
      <c r="P2552" t="s">
        <v>3240</v>
      </c>
    </row>
    <row r="2553" spans="1:16" x14ac:dyDescent="0.2">
      <c r="A2553" t="s">
        <v>3955</v>
      </c>
      <c r="B2553" t="s">
        <v>3241</v>
      </c>
      <c r="C2553" t="s">
        <v>3242</v>
      </c>
      <c r="D2553" t="s">
        <v>2307</v>
      </c>
      <c r="E2553">
        <v>98390</v>
      </c>
      <c r="F2553" t="s">
        <v>1658</v>
      </c>
      <c r="G2553" t="s">
        <v>2148</v>
      </c>
      <c r="H2553" t="s">
        <v>5607</v>
      </c>
      <c r="I2553">
        <v>47.176738</v>
      </c>
      <c r="J2553">
        <v>-122.186813</v>
      </c>
      <c r="K2553" t="s">
        <v>3936</v>
      </c>
      <c r="L2553" t="s">
        <v>3946</v>
      </c>
      <c r="M2553" t="s">
        <v>5575</v>
      </c>
      <c r="P2553" t="s">
        <v>3241</v>
      </c>
    </row>
    <row r="2554" spans="1:16" x14ac:dyDescent="0.2">
      <c r="A2554" t="s">
        <v>2281</v>
      </c>
      <c r="B2554" t="s">
        <v>3243</v>
      </c>
      <c r="C2554" t="s">
        <v>3201</v>
      </c>
      <c r="D2554" t="s">
        <v>2307</v>
      </c>
      <c r="E2554">
        <v>98270</v>
      </c>
      <c r="F2554" t="s">
        <v>1716</v>
      </c>
      <c r="G2554" t="s">
        <v>1995</v>
      </c>
      <c r="H2554" t="s">
        <v>5608</v>
      </c>
      <c r="I2554">
        <v>48.08117</v>
      </c>
      <c r="J2554">
        <v>-122.174477</v>
      </c>
      <c r="K2554" t="s">
        <v>3936</v>
      </c>
      <c r="L2554" t="s">
        <v>3946</v>
      </c>
      <c r="M2554" t="s">
        <v>5575</v>
      </c>
      <c r="P2554" t="s">
        <v>5675</v>
      </c>
    </row>
    <row r="2555" spans="1:16" x14ac:dyDescent="0.2">
      <c r="A2555" t="s">
        <v>2059</v>
      </c>
      <c r="B2555" t="s">
        <v>3244</v>
      </c>
      <c r="C2555" t="s">
        <v>3201</v>
      </c>
      <c r="D2555" t="s">
        <v>2307</v>
      </c>
      <c r="E2555">
        <v>98270</v>
      </c>
      <c r="F2555" t="s">
        <v>1573</v>
      </c>
      <c r="G2555" t="s">
        <v>2067</v>
      </c>
      <c r="H2555" t="s">
        <v>5609</v>
      </c>
      <c r="I2555">
        <v>48.082715999999998</v>
      </c>
      <c r="J2555">
        <v>-122.173227</v>
      </c>
      <c r="K2555" t="s">
        <v>3936</v>
      </c>
      <c r="L2555" t="s">
        <v>3946</v>
      </c>
      <c r="M2555" t="s">
        <v>5575</v>
      </c>
      <c r="P2555" t="s">
        <v>3244</v>
      </c>
    </row>
    <row r="2556" spans="1:16" x14ac:dyDescent="0.2">
      <c r="A2556" t="s">
        <v>2007</v>
      </c>
      <c r="B2556" t="s">
        <v>3245</v>
      </c>
      <c r="C2556" t="s">
        <v>3201</v>
      </c>
      <c r="D2556" t="s">
        <v>2307</v>
      </c>
      <c r="E2556">
        <v>98270</v>
      </c>
      <c r="F2556" t="s">
        <v>1658</v>
      </c>
      <c r="G2556" t="s">
        <v>2110</v>
      </c>
      <c r="H2556" t="s">
        <v>5610</v>
      </c>
      <c r="I2556">
        <v>48.083931999999997</v>
      </c>
      <c r="J2556">
        <v>-122.17252999999999</v>
      </c>
      <c r="K2556" t="s">
        <v>3936</v>
      </c>
      <c r="L2556" t="s">
        <v>3946</v>
      </c>
      <c r="M2556" t="s">
        <v>5575</v>
      </c>
      <c r="P2556" t="s">
        <v>3245</v>
      </c>
    </row>
    <row r="2557" spans="1:16" x14ac:dyDescent="0.2">
      <c r="A2557" t="s">
        <v>2011</v>
      </c>
      <c r="B2557" t="s">
        <v>3246</v>
      </c>
      <c r="C2557" t="s">
        <v>3186</v>
      </c>
      <c r="D2557" t="s">
        <v>2307</v>
      </c>
      <c r="E2557">
        <v>98373</v>
      </c>
      <c r="F2557" t="s">
        <v>1573</v>
      </c>
      <c r="G2557" t="s">
        <v>1986</v>
      </c>
      <c r="H2557" t="s">
        <v>4771</v>
      </c>
      <c r="I2557">
        <v>47.161014999999999</v>
      </c>
      <c r="J2557">
        <v>-122.302654</v>
      </c>
      <c r="K2557" t="s">
        <v>3936</v>
      </c>
      <c r="L2557" t="s">
        <v>3946</v>
      </c>
      <c r="M2557" t="s">
        <v>5575</v>
      </c>
      <c r="P2557" t="s">
        <v>3246</v>
      </c>
    </row>
    <row r="2558" spans="1:16" x14ac:dyDescent="0.2">
      <c r="A2558" t="s">
        <v>2011</v>
      </c>
      <c r="B2558" t="s">
        <v>3247</v>
      </c>
      <c r="C2558" t="s">
        <v>3067</v>
      </c>
      <c r="D2558" t="s">
        <v>2307</v>
      </c>
      <c r="E2558">
        <v>98498</v>
      </c>
      <c r="F2558" t="s">
        <v>1573</v>
      </c>
      <c r="G2558" t="s">
        <v>1986</v>
      </c>
      <c r="H2558" t="s">
        <v>4772</v>
      </c>
      <c r="I2558">
        <v>47.179428000000001</v>
      </c>
      <c r="J2558">
        <v>-122.540091</v>
      </c>
      <c r="K2558" t="s">
        <v>3936</v>
      </c>
      <c r="L2558" t="s">
        <v>3946</v>
      </c>
      <c r="M2558" t="s">
        <v>5575</v>
      </c>
      <c r="P2558" t="s">
        <v>3247</v>
      </c>
    </row>
    <row r="2559" spans="1:16" x14ac:dyDescent="0.2">
      <c r="A2559" t="s">
        <v>3952</v>
      </c>
      <c r="B2559" t="s">
        <v>3248</v>
      </c>
      <c r="C2559" t="s">
        <v>3067</v>
      </c>
      <c r="D2559" t="s">
        <v>2307</v>
      </c>
      <c r="E2559">
        <v>98498</v>
      </c>
      <c r="F2559" t="s">
        <v>1573</v>
      </c>
      <c r="G2559" t="s">
        <v>2014</v>
      </c>
      <c r="H2559" t="s">
        <v>4773</v>
      </c>
      <c r="I2559">
        <v>47.180802999999997</v>
      </c>
      <c r="J2559">
        <v>-122.54790300000001</v>
      </c>
      <c r="K2559" t="s">
        <v>3936</v>
      </c>
      <c r="L2559" t="s">
        <v>3946</v>
      </c>
      <c r="M2559" t="s">
        <v>5575</v>
      </c>
      <c r="P2559" t="s">
        <v>3248</v>
      </c>
    </row>
    <row r="2560" spans="1:16" x14ac:dyDescent="0.2">
      <c r="A2560" t="s">
        <v>2059</v>
      </c>
      <c r="B2560" t="s">
        <v>3249</v>
      </c>
      <c r="C2560" t="s">
        <v>3237</v>
      </c>
      <c r="D2560" t="s">
        <v>2307</v>
      </c>
      <c r="E2560">
        <v>98498</v>
      </c>
      <c r="F2560" t="s">
        <v>1600</v>
      </c>
      <c r="G2560" t="s">
        <v>2063</v>
      </c>
      <c r="H2560" t="s">
        <v>5611</v>
      </c>
      <c r="I2560">
        <v>47.179797000000001</v>
      </c>
      <c r="J2560">
        <v>-122.547798</v>
      </c>
      <c r="K2560" t="s">
        <v>3936</v>
      </c>
      <c r="L2560" t="s">
        <v>3946</v>
      </c>
      <c r="M2560" t="s">
        <v>5575</v>
      </c>
      <c r="P2560" t="s">
        <v>3249</v>
      </c>
    </row>
    <row r="2561" spans="1:16" x14ac:dyDescent="0.2">
      <c r="A2561" t="s">
        <v>3952</v>
      </c>
      <c r="B2561" t="s">
        <v>3250</v>
      </c>
      <c r="C2561" t="s">
        <v>3067</v>
      </c>
      <c r="D2561" t="s">
        <v>2307</v>
      </c>
      <c r="E2561">
        <v>98444</v>
      </c>
      <c r="F2561" t="s">
        <v>1573</v>
      </c>
      <c r="G2561" t="s">
        <v>2014</v>
      </c>
      <c r="H2561" t="s">
        <v>4774</v>
      </c>
      <c r="I2561">
        <v>47.162531999999999</v>
      </c>
      <c r="J2561">
        <v>-122.43399700000001</v>
      </c>
      <c r="K2561" t="s">
        <v>3936</v>
      </c>
      <c r="L2561" t="s">
        <v>3946</v>
      </c>
      <c r="M2561" t="s">
        <v>5575</v>
      </c>
      <c r="P2561" t="s">
        <v>3250</v>
      </c>
    </row>
    <row r="2562" spans="1:16" x14ac:dyDescent="0.2">
      <c r="A2562" t="s">
        <v>2282</v>
      </c>
      <c r="B2562" t="s">
        <v>3251</v>
      </c>
      <c r="C2562" t="s">
        <v>3186</v>
      </c>
      <c r="D2562" t="s">
        <v>2307</v>
      </c>
      <c r="E2562">
        <v>98374</v>
      </c>
      <c r="F2562" t="s">
        <v>2090</v>
      </c>
      <c r="G2562" t="s">
        <v>1969</v>
      </c>
      <c r="H2562" t="s">
        <v>4775</v>
      </c>
      <c r="I2562">
        <v>47.158627000000003</v>
      </c>
      <c r="J2562">
        <v>-122.291787</v>
      </c>
      <c r="K2562" t="s">
        <v>3936</v>
      </c>
      <c r="L2562" t="s">
        <v>3946</v>
      </c>
      <c r="M2562" t="s">
        <v>5575</v>
      </c>
      <c r="P2562" t="s">
        <v>3251</v>
      </c>
    </row>
    <row r="2563" spans="1:16" x14ac:dyDescent="0.2">
      <c r="A2563" t="s">
        <v>2103</v>
      </c>
      <c r="B2563" t="s">
        <v>3253</v>
      </c>
      <c r="C2563" t="s">
        <v>3186</v>
      </c>
      <c r="D2563" t="s">
        <v>2307</v>
      </c>
      <c r="E2563">
        <v>98373</v>
      </c>
      <c r="F2563" t="s">
        <v>1600</v>
      </c>
      <c r="G2563" t="s">
        <v>2107</v>
      </c>
      <c r="H2563" t="s">
        <v>5612</v>
      </c>
      <c r="I2563">
        <v>47.157916999999998</v>
      </c>
      <c r="J2563">
        <v>-122.293207</v>
      </c>
      <c r="K2563" t="s">
        <v>3936</v>
      </c>
      <c r="L2563" t="s">
        <v>3946</v>
      </c>
      <c r="M2563" t="s">
        <v>5575</v>
      </c>
      <c r="P2563" t="s">
        <v>3253</v>
      </c>
    </row>
    <row r="2564" spans="1:16" x14ac:dyDescent="0.2">
      <c r="A2564" t="s">
        <v>3954</v>
      </c>
      <c r="B2564" t="s">
        <v>3252</v>
      </c>
      <c r="C2564" t="s">
        <v>3186</v>
      </c>
      <c r="D2564" t="s">
        <v>2307</v>
      </c>
      <c r="E2564">
        <v>98373</v>
      </c>
      <c r="F2564" t="s">
        <v>1600</v>
      </c>
      <c r="G2564" t="s">
        <v>2139</v>
      </c>
      <c r="H2564" t="s">
        <v>5301</v>
      </c>
      <c r="I2564">
        <v>47.157916999999998</v>
      </c>
      <c r="J2564">
        <v>-122.293207</v>
      </c>
      <c r="K2564" t="s">
        <v>3936</v>
      </c>
      <c r="L2564" t="s">
        <v>3946</v>
      </c>
      <c r="M2564" t="s">
        <v>5575</v>
      </c>
      <c r="P2564" t="s">
        <v>3252</v>
      </c>
    </row>
    <row r="2565" spans="1:16" x14ac:dyDescent="0.2">
      <c r="A2565" t="s">
        <v>2011</v>
      </c>
      <c r="B2565" t="s">
        <v>3254</v>
      </c>
      <c r="C2565" t="s">
        <v>3067</v>
      </c>
      <c r="D2565" t="s">
        <v>2307</v>
      </c>
      <c r="E2565">
        <v>98445</v>
      </c>
      <c r="F2565" t="s">
        <v>1573</v>
      </c>
      <c r="G2565" t="s">
        <v>1986</v>
      </c>
      <c r="H2565" t="s">
        <v>4776</v>
      </c>
      <c r="I2565">
        <v>47.158014000000001</v>
      </c>
      <c r="J2565">
        <v>-122.402017</v>
      </c>
      <c r="K2565" t="s">
        <v>3936</v>
      </c>
      <c r="L2565" t="s">
        <v>3946</v>
      </c>
      <c r="M2565" t="s">
        <v>5575</v>
      </c>
      <c r="P2565" t="s">
        <v>3254</v>
      </c>
    </row>
    <row r="2566" spans="1:16" x14ac:dyDescent="0.2">
      <c r="A2566" t="s">
        <v>2103</v>
      </c>
      <c r="B2566" t="s">
        <v>6364</v>
      </c>
      <c r="C2566" t="s">
        <v>3255</v>
      </c>
      <c r="D2566" t="s">
        <v>2307</v>
      </c>
      <c r="E2566">
        <v>98271</v>
      </c>
      <c r="F2566" t="s">
        <v>1600</v>
      </c>
      <c r="G2566" t="s">
        <v>2107</v>
      </c>
      <c r="H2566" t="s">
        <v>5613</v>
      </c>
      <c r="I2566">
        <v>48.091988999999998</v>
      </c>
      <c r="J2566">
        <v>-122.185832</v>
      </c>
      <c r="K2566" t="s">
        <v>3936</v>
      </c>
      <c r="L2566" t="s">
        <v>3946</v>
      </c>
      <c r="M2566" t="s">
        <v>5575</v>
      </c>
      <c r="P2566" t="s">
        <v>6172</v>
      </c>
    </row>
    <row r="2567" spans="1:16" x14ac:dyDescent="0.2">
      <c r="A2567" t="s">
        <v>2247</v>
      </c>
      <c r="B2567" t="s">
        <v>5302</v>
      </c>
      <c r="C2567" t="s">
        <v>3255</v>
      </c>
      <c r="D2567" t="s">
        <v>2307</v>
      </c>
      <c r="E2567">
        <v>98271</v>
      </c>
      <c r="F2567" t="s">
        <v>1658</v>
      </c>
      <c r="G2567" t="s">
        <v>5289</v>
      </c>
      <c r="H2567" t="s">
        <v>4777</v>
      </c>
      <c r="I2567">
        <v>48.091988999999998</v>
      </c>
      <c r="J2567">
        <v>-122.185832</v>
      </c>
      <c r="K2567" t="s">
        <v>3936</v>
      </c>
      <c r="L2567" t="s">
        <v>3946</v>
      </c>
      <c r="M2567" t="s">
        <v>5575</v>
      </c>
      <c r="P2567" t="s">
        <v>5741</v>
      </c>
    </row>
    <row r="2568" spans="1:16" x14ac:dyDescent="0.2">
      <c r="A2568" t="s">
        <v>2059</v>
      </c>
      <c r="B2568" t="s">
        <v>3256</v>
      </c>
      <c r="C2568" t="s">
        <v>3067</v>
      </c>
      <c r="D2568" t="s">
        <v>2307</v>
      </c>
      <c r="E2568">
        <v>98444</v>
      </c>
      <c r="F2568" t="s">
        <v>1600</v>
      </c>
      <c r="G2568" t="s">
        <v>2135</v>
      </c>
      <c r="H2568" t="s">
        <v>5614</v>
      </c>
      <c r="I2568">
        <v>47.160257999999999</v>
      </c>
      <c r="J2568">
        <v>-122.434422</v>
      </c>
      <c r="K2568" t="s">
        <v>3936</v>
      </c>
      <c r="L2568" t="s">
        <v>3946</v>
      </c>
      <c r="M2568" t="s">
        <v>5575</v>
      </c>
      <c r="P2568" t="s">
        <v>3256</v>
      </c>
    </row>
    <row r="2569" spans="1:16" x14ac:dyDescent="0.2">
      <c r="A2569" t="s">
        <v>2048</v>
      </c>
      <c r="B2569" t="s">
        <v>3257</v>
      </c>
      <c r="C2569" t="s">
        <v>3067</v>
      </c>
      <c r="D2569" t="s">
        <v>2307</v>
      </c>
      <c r="E2569">
        <v>98499</v>
      </c>
      <c r="F2569" t="s">
        <v>1573</v>
      </c>
      <c r="G2569" t="s">
        <v>2014</v>
      </c>
      <c r="H2569" t="s">
        <v>4778</v>
      </c>
      <c r="I2569">
        <v>47.166328</v>
      </c>
      <c r="J2569">
        <v>-122.48385399999999</v>
      </c>
      <c r="K2569" t="s">
        <v>3936</v>
      </c>
      <c r="L2569" t="s">
        <v>3946</v>
      </c>
      <c r="M2569" t="s">
        <v>5575</v>
      </c>
      <c r="P2569" t="s">
        <v>3257</v>
      </c>
    </row>
    <row r="2570" spans="1:16" x14ac:dyDescent="0.2">
      <c r="A2570" t="s">
        <v>2059</v>
      </c>
      <c r="B2570" t="s">
        <v>3258</v>
      </c>
      <c r="C2570" t="s">
        <v>3191</v>
      </c>
      <c r="D2570" t="s">
        <v>2307</v>
      </c>
      <c r="E2570">
        <v>98390</v>
      </c>
      <c r="F2570" t="s">
        <v>1600</v>
      </c>
      <c r="G2570" t="s">
        <v>2063</v>
      </c>
      <c r="H2570" t="s">
        <v>5615</v>
      </c>
      <c r="I2570">
        <v>47.169730000000001</v>
      </c>
      <c r="J2570">
        <v>-122.168454</v>
      </c>
      <c r="K2570" t="s">
        <v>3936</v>
      </c>
      <c r="L2570" t="s">
        <v>3946</v>
      </c>
      <c r="M2570" t="s">
        <v>5575</v>
      </c>
      <c r="P2570" t="s">
        <v>3258</v>
      </c>
    </row>
    <row r="2571" spans="1:16" x14ac:dyDescent="0.2">
      <c r="A2571" t="s">
        <v>3953</v>
      </c>
      <c r="B2571" t="s">
        <v>3259</v>
      </c>
      <c r="C2571" t="s">
        <v>3186</v>
      </c>
      <c r="D2571" t="s">
        <v>2307</v>
      </c>
      <c r="E2571">
        <v>98373</v>
      </c>
      <c r="F2571" t="s">
        <v>1600</v>
      </c>
      <c r="G2571" t="s">
        <v>2207</v>
      </c>
      <c r="H2571" t="s">
        <v>5440</v>
      </c>
      <c r="I2571">
        <v>47.155791000000001</v>
      </c>
      <c r="J2571">
        <v>-122.35740199999999</v>
      </c>
      <c r="K2571" t="s">
        <v>3936</v>
      </c>
      <c r="L2571" t="s">
        <v>3946</v>
      </c>
      <c r="M2571" t="s">
        <v>5575</v>
      </c>
      <c r="P2571" t="s">
        <v>3259</v>
      </c>
    </row>
    <row r="2572" spans="1:16" x14ac:dyDescent="0.2">
      <c r="A2572" t="s">
        <v>2011</v>
      </c>
      <c r="B2572" t="s">
        <v>3260</v>
      </c>
      <c r="C2572" t="s">
        <v>3186</v>
      </c>
      <c r="D2572" t="s">
        <v>2307</v>
      </c>
      <c r="E2572">
        <v>98373</v>
      </c>
      <c r="F2572" t="s">
        <v>1573</v>
      </c>
      <c r="G2572" t="s">
        <v>1986</v>
      </c>
      <c r="H2572" t="s">
        <v>4779</v>
      </c>
      <c r="I2572">
        <v>47.155791000000001</v>
      </c>
      <c r="J2572">
        <v>-122.35740199999999</v>
      </c>
      <c r="K2572" t="s">
        <v>3936</v>
      </c>
      <c r="L2572" t="s">
        <v>3946</v>
      </c>
      <c r="M2572" t="s">
        <v>5575</v>
      </c>
      <c r="P2572" t="s">
        <v>3260</v>
      </c>
    </row>
    <row r="2573" spans="1:16" x14ac:dyDescent="0.2">
      <c r="A2573" t="s">
        <v>2059</v>
      </c>
      <c r="B2573" t="s">
        <v>3261</v>
      </c>
      <c r="C2573" t="s">
        <v>3186</v>
      </c>
      <c r="D2573" t="s">
        <v>2307</v>
      </c>
      <c r="E2573">
        <v>98373</v>
      </c>
      <c r="F2573" t="s">
        <v>1573</v>
      </c>
      <c r="G2573" t="s">
        <v>2067</v>
      </c>
      <c r="H2573" t="s">
        <v>5616</v>
      </c>
      <c r="I2573">
        <v>47.155718999999998</v>
      </c>
      <c r="J2573">
        <v>-122.357401</v>
      </c>
      <c r="K2573" t="s">
        <v>3936</v>
      </c>
      <c r="L2573" t="s">
        <v>3946</v>
      </c>
      <c r="M2573" t="s">
        <v>5575</v>
      </c>
      <c r="P2573" t="s">
        <v>3261</v>
      </c>
    </row>
    <row r="2574" spans="1:16" x14ac:dyDescent="0.2">
      <c r="A2574" t="s">
        <v>3955</v>
      </c>
      <c r="B2574" t="s">
        <v>3262</v>
      </c>
      <c r="C2574" t="s">
        <v>3093</v>
      </c>
      <c r="D2574" t="s">
        <v>2307</v>
      </c>
      <c r="E2574">
        <v>98499</v>
      </c>
      <c r="F2574" t="s">
        <v>1658</v>
      </c>
      <c r="G2574" t="s">
        <v>2125</v>
      </c>
      <c r="H2574" t="s">
        <v>5617</v>
      </c>
      <c r="I2574">
        <v>47.165202999999998</v>
      </c>
      <c r="J2574">
        <v>-122.483743</v>
      </c>
      <c r="K2574" t="s">
        <v>3936</v>
      </c>
      <c r="L2574" t="s">
        <v>3946</v>
      </c>
      <c r="M2574" t="s">
        <v>5575</v>
      </c>
      <c r="P2574" t="s">
        <v>3262</v>
      </c>
    </row>
    <row r="2575" spans="1:16" x14ac:dyDescent="0.2">
      <c r="A2575" t="s">
        <v>2007</v>
      </c>
      <c r="B2575" t="s">
        <v>3263</v>
      </c>
      <c r="C2575" t="s">
        <v>3191</v>
      </c>
      <c r="D2575" t="s">
        <v>2307</v>
      </c>
      <c r="E2575">
        <v>98391</v>
      </c>
      <c r="F2575" t="s">
        <v>1658</v>
      </c>
      <c r="G2575" t="s">
        <v>2008</v>
      </c>
      <c r="H2575" t="s">
        <v>5618</v>
      </c>
      <c r="I2575">
        <v>47.169494</v>
      </c>
      <c r="J2575">
        <v>-122.166191</v>
      </c>
      <c r="K2575" t="s">
        <v>3936</v>
      </c>
      <c r="L2575" t="s">
        <v>3946</v>
      </c>
      <c r="M2575" t="s">
        <v>5575</v>
      </c>
      <c r="P2575" t="s">
        <v>3263</v>
      </c>
    </row>
    <row r="2576" spans="1:16" x14ac:dyDescent="0.2">
      <c r="A2576" t="s">
        <v>2059</v>
      </c>
      <c r="B2576" t="s">
        <v>3264</v>
      </c>
      <c r="C2576" t="s">
        <v>3186</v>
      </c>
      <c r="D2576" t="s">
        <v>2307</v>
      </c>
      <c r="E2576">
        <v>98373</v>
      </c>
      <c r="F2576" t="s">
        <v>1600</v>
      </c>
      <c r="G2576" t="s">
        <v>2063</v>
      </c>
      <c r="H2576" t="s">
        <v>5619</v>
      </c>
      <c r="I2576">
        <v>47.156208999999997</v>
      </c>
      <c r="J2576">
        <v>-122.293261</v>
      </c>
      <c r="K2576" t="s">
        <v>3936</v>
      </c>
      <c r="L2576" t="s">
        <v>3946</v>
      </c>
      <c r="M2576" t="s">
        <v>5575</v>
      </c>
      <c r="P2576" t="s">
        <v>3264</v>
      </c>
    </row>
    <row r="2577" spans="1:16" x14ac:dyDescent="0.2">
      <c r="A2577" t="s">
        <v>2015</v>
      </c>
      <c r="B2577" t="s">
        <v>3265</v>
      </c>
      <c r="C2577" t="s">
        <v>3266</v>
      </c>
      <c r="D2577" t="s">
        <v>2307</v>
      </c>
      <c r="E2577">
        <v>98391</v>
      </c>
      <c r="F2577" t="s">
        <v>1573</v>
      </c>
      <c r="G2577" t="s">
        <v>2071</v>
      </c>
      <c r="H2577" t="s">
        <v>5620</v>
      </c>
      <c r="I2577">
        <v>47.168892</v>
      </c>
      <c r="J2577">
        <v>-122.16049599999999</v>
      </c>
      <c r="K2577" t="s">
        <v>3936</v>
      </c>
      <c r="L2577" t="s">
        <v>3946</v>
      </c>
      <c r="M2577" t="s">
        <v>5575</v>
      </c>
      <c r="P2577" t="s">
        <v>6174</v>
      </c>
    </row>
    <row r="2578" spans="1:16" x14ac:dyDescent="0.2">
      <c r="A2578" t="s">
        <v>3953</v>
      </c>
      <c r="B2578" t="s">
        <v>6246</v>
      </c>
      <c r="C2578" t="s">
        <v>3186</v>
      </c>
      <c r="D2578" t="s">
        <v>2307</v>
      </c>
      <c r="E2578">
        <v>98373</v>
      </c>
      <c r="F2578" t="s">
        <v>1600</v>
      </c>
      <c r="G2578" t="s">
        <v>2207</v>
      </c>
      <c r="H2578" t="s">
        <v>5139</v>
      </c>
      <c r="I2578">
        <v>47.155656999999998</v>
      </c>
      <c r="J2578">
        <v>-122.29325300000001</v>
      </c>
      <c r="K2578" t="s">
        <v>3936</v>
      </c>
      <c r="L2578" t="s">
        <v>3946</v>
      </c>
      <c r="M2578" t="s">
        <v>5575</v>
      </c>
      <c r="P2578" t="s">
        <v>6044</v>
      </c>
    </row>
    <row r="2579" spans="1:16" x14ac:dyDescent="0.2">
      <c r="A2579" t="s">
        <v>3952</v>
      </c>
      <c r="B2579" t="s">
        <v>3267</v>
      </c>
      <c r="C2579" t="s">
        <v>3191</v>
      </c>
      <c r="D2579" t="s">
        <v>2307</v>
      </c>
      <c r="E2579">
        <v>98391</v>
      </c>
      <c r="F2579" t="s">
        <v>1573</v>
      </c>
      <c r="G2579" t="s">
        <v>2014</v>
      </c>
      <c r="H2579" t="s">
        <v>4781</v>
      </c>
      <c r="I2579">
        <v>47.168500999999999</v>
      </c>
      <c r="J2579">
        <v>-122.16359199999999</v>
      </c>
      <c r="K2579" t="s">
        <v>3936</v>
      </c>
      <c r="L2579" t="s">
        <v>3946</v>
      </c>
      <c r="M2579" t="s">
        <v>5575</v>
      </c>
      <c r="P2579" t="s">
        <v>3267</v>
      </c>
    </row>
    <row r="2580" spans="1:16" x14ac:dyDescent="0.2">
      <c r="A2580" t="s">
        <v>2059</v>
      </c>
      <c r="B2580" t="s">
        <v>3268</v>
      </c>
      <c r="C2580" t="s">
        <v>3237</v>
      </c>
      <c r="D2580" t="s">
        <v>2307</v>
      </c>
      <c r="E2580">
        <v>98499</v>
      </c>
      <c r="F2580" t="s">
        <v>1600</v>
      </c>
      <c r="G2580" t="s">
        <v>2063</v>
      </c>
      <c r="H2580" t="s">
        <v>5621</v>
      </c>
      <c r="I2580">
        <v>47.168201000000003</v>
      </c>
      <c r="J2580">
        <v>-122.520188</v>
      </c>
      <c r="K2580" t="s">
        <v>3936</v>
      </c>
      <c r="L2580" t="s">
        <v>3946</v>
      </c>
      <c r="M2580" t="s">
        <v>5575</v>
      </c>
      <c r="P2580" t="s">
        <v>3268</v>
      </c>
    </row>
    <row r="2581" spans="1:16" x14ac:dyDescent="0.2">
      <c r="A2581" t="s">
        <v>3954</v>
      </c>
      <c r="B2581" t="s">
        <v>3269</v>
      </c>
      <c r="C2581" t="s">
        <v>3186</v>
      </c>
      <c r="D2581" t="s">
        <v>2307</v>
      </c>
      <c r="E2581">
        <v>98373</v>
      </c>
      <c r="F2581" t="s">
        <v>1600</v>
      </c>
      <c r="G2581" t="s">
        <v>2139</v>
      </c>
      <c r="H2581" t="s">
        <v>4782</v>
      </c>
      <c r="I2581">
        <v>47.152428</v>
      </c>
      <c r="J2581">
        <v>-122.35741299999999</v>
      </c>
      <c r="K2581" t="s">
        <v>3936</v>
      </c>
      <c r="L2581" t="s">
        <v>3946</v>
      </c>
      <c r="M2581" t="s">
        <v>5575</v>
      </c>
      <c r="P2581" t="s">
        <v>3269</v>
      </c>
    </row>
    <row r="2582" spans="1:16" x14ac:dyDescent="0.2">
      <c r="A2582" t="s">
        <v>2101</v>
      </c>
      <c r="B2582" t="s">
        <v>3270</v>
      </c>
      <c r="C2582" t="s">
        <v>3067</v>
      </c>
      <c r="D2582" t="s">
        <v>2307</v>
      </c>
      <c r="E2582">
        <v>98499</v>
      </c>
      <c r="F2582" t="s">
        <v>1600</v>
      </c>
      <c r="G2582" t="s">
        <v>2142</v>
      </c>
      <c r="H2582" t="s">
        <v>5441</v>
      </c>
      <c r="I2582">
        <v>47.168194</v>
      </c>
      <c r="J2582">
        <v>-122.520595</v>
      </c>
      <c r="K2582" t="s">
        <v>3936</v>
      </c>
      <c r="L2582" t="s">
        <v>3946</v>
      </c>
      <c r="M2582" t="s">
        <v>5575</v>
      </c>
      <c r="P2582" t="s">
        <v>3270</v>
      </c>
    </row>
    <row r="2583" spans="1:16" x14ac:dyDescent="0.2">
      <c r="A2583" t="s">
        <v>2011</v>
      </c>
      <c r="B2583" t="s">
        <v>3271</v>
      </c>
      <c r="C2583" t="s">
        <v>3067</v>
      </c>
      <c r="D2583" t="s">
        <v>2307</v>
      </c>
      <c r="E2583">
        <v>98499</v>
      </c>
      <c r="F2583" t="s">
        <v>1573</v>
      </c>
      <c r="G2583" t="s">
        <v>1986</v>
      </c>
      <c r="H2583" t="s">
        <v>4783</v>
      </c>
      <c r="I2583">
        <v>47.162261999999998</v>
      </c>
      <c r="J2583">
        <v>-122.484219</v>
      </c>
      <c r="K2583" t="s">
        <v>3936</v>
      </c>
      <c r="L2583" t="s">
        <v>3946</v>
      </c>
      <c r="M2583" t="s">
        <v>5575</v>
      </c>
      <c r="P2583" t="s">
        <v>3271</v>
      </c>
    </row>
    <row r="2584" spans="1:16" x14ac:dyDescent="0.2">
      <c r="A2584" t="s">
        <v>3954</v>
      </c>
      <c r="B2584" t="s">
        <v>3272</v>
      </c>
      <c r="C2584" t="s">
        <v>3191</v>
      </c>
      <c r="D2584" t="s">
        <v>2307</v>
      </c>
      <c r="E2584">
        <v>98390</v>
      </c>
      <c r="F2584" t="s">
        <v>1600</v>
      </c>
      <c r="G2584" t="s">
        <v>2139</v>
      </c>
      <c r="H2584" t="s">
        <v>5303</v>
      </c>
      <c r="I2584">
        <v>47.168304999999997</v>
      </c>
      <c r="J2584">
        <v>-122.15483</v>
      </c>
      <c r="K2584" t="s">
        <v>3936</v>
      </c>
      <c r="L2584" t="s">
        <v>3946</v>
      </c>
      <c r="M2584" t="s">
        <v>5575</v>
      </c>
      <c r="P2584" t="s">
        <v>3272</v>
      </c>
    </row>
    <row r="2585" spans="1:16" x14ac:dyDescent="0.2">
      <c r="A2585" t="s">
        <v>2007</v>
      </c>
      <c r="B2585" t="s">
        <v>3273</v>
      </c>
      <c r="C2585" t="s">
        <v>3237</v>
      </c>
      <c r="D2585" t="s">
        <v>2307</v>
      </c>
      <c r="E2585">
        <v>98499</v>
      </c>
      <c r="F2585" t="s">
        <v>1658</v>
      </c>
      <c r="G2585" t="s">
        <v>2110</v>
      </c>
      <c r="H2585" t="s">
        <v>5304</v>
      </c>
      <c r="I2585">
        <v>47.165455999999999</v>
      </c>
      <c r="J2585">
        <v>-122.508506</v>
      </c>
      <c r="K2585" t="s">
        <v>3936</v>
      </c>
      <c r="L2585" t="s">
        <v>3946</v>
      </c>
      <c r="M2585" t="s">
        <v>5575</v>
      </c>
      <c r="P2585" t="s">
        <v>3273</v>
      </c>
    </row>
    <row r="2586" spans="1:16" x14ac:dyDescent="0.2">
      <c r="A2586" t="s">
        <v>2011</v>
      </c>
      <c r="B2586" t="s">
        <v>3274</v>
      </c>
      <c r="C2586" t="s">
        <v>3186</v>
      </c>
      <c r="D2586" t="s">
        <v>2307</v>
      </c>
      <c r="E2586">
        <v>98373</v>
      </c>
      <c r="F2586" t="s">
        <v>1573</v>
      </c>
      <c r="G2586" t="s">
        <v>1986</v>
      </c>
      <c r="H2586" t="s">
        <v>4784</v>
      </c>
      <c r="I2586">
        <v>47.148232999999998</v>
      </c>
      <c r="J2586">
        <v>-122.293153</v>
      </c>
      <c r="K2586" t="s">
        <v>3936</v>
      </c>
      <c r="L2586" t="s">
        <v>3946</v>
      </c>
      <c r="M2586" t="s">
        <v>5575</v>
      </c>
      <c r="P2586" t="s">
        <v>3274</v>
      </c>
    </row>
    <row r="2587" spans="1:16" x14ac:dyDescent="0.2">
      <c r="A2587" t="s">
        <v>2011</v>
      </c>
      <c r="B2587" t="s">
        <v>3275</v>
      </c>
      <c r="C2587" t="s">
        <v>3186</v>
      </c>
      <c r="D2587" t="s">
        <v>2307</v>
      </c>
      <c r="E2587">
        <v>98373</v>
      </c>
      <c r="F2587" t="s">
        <v>1573</v>
      </c>
      <c r="G2587" t="s">
        <v>1986</v>
      </c>
      <c r="H2587" t="s">
        <v>4785</v>
      </c>
      <c r="I2587">
        <v>47.134737000000001</v>
      </c>
      <c r="J2587">
        <v>-122.29321899999999</v>
      </c>
      <c r="K2587" t="s">
        <v>3936</v>
      </c>
      <c r="L2587" t="s">
        <v>3946</v>
      </c>
      <c r="M2587" t="s">
        <v>5575</v>
      </c>
      <c r="P2587" t="s">
        <v>5787</v>
      </c>
    </row>
    <row r="2588" spans="1:16" x14ac:dyDescent="0.2">
      <c r="A2588" t="s">
        <v>2011</v>
      </c>
      <c r="B2588" t="s">
        <v>3276</v>
      </c>
      <c r="C2588" t="s">
        <v>3237</v>
      </c>
      <c r="D2588" t="s">
        <v>2307</v>
      </c>
      <c r="E2588">
        <v>98499</v>
      </c>
      <c r="F2588" t="s">
        <v>1573</v>
      </c>
      <c r="G2588" t="s">
        <v>1986</v>
      </c>
      <c r="H2588" t="s">
        <v>4786</v>
      </c>
      <c r="I2588">
        <v>47.164765000000003</v>
      </c>
      <c r="J2588">
        <v>-122.51941100000001</v>
      </c>
      <c r="K2588" t="s">
        <v>3936</v>
      </c>
      <c r="L2588" t="s">
        <v>3946</v>
      </c>
      <c r="M2588" t="s">
        <v>5575</v>
      </c>
      <c r="P2588" t="s">
        <v>3276</v>
      </c>
    </row>
    <row r="2589" spans="1:16" x14ac:dyDescent="0.2">
      <c r="A2589" t="s">
        <v>2048</v>
      </c>
      <c r="B2589" t="s">
        <v>3277</v>
      </c>
      <c r="C2589" t="s">
        <v>3067</v>
      </c>
      <c r="D2589" t="s">
        <v>2307</v>
      </c>
      <c r="E2589">
        <v>98444</v>
      </c>
      <c r="F2589" t="s">
        <v>1573</v>
      </c>
      <c r="G2589" t="s">
        <v>2014</v>
      </c>
      <c r="H2589" t="s">
        <v>4787</v>
      </c>
      <c r="I2589">
        <v>47.156658</v>
      </c>
      <c r="J2589">
        <v>-122.467707</v>
      </c>
      <c r="K2589" t="s">
        <v>3936</v>
      </c>
      <c r="L2589" t="s">
        <v>3946</v>
      </c>
      <c r="M2589" t="s">
        <v>5575</v>
      </c>
      <c r="P2589" t="s">
        <v>3277</v>
      </c>
    </row>
    <row r="2590" spans="1:16" x14ac:dyDescent="0.2">
      <c r="A2590" t="s">
        <v>2011</v>
      </c>
      <c r="B2590" t="s">
        <v>6365</v>
      </c>
      <c r="C2590" t="s">
        <v>3237</v>
      </c>
      <c r="D2590" t="s">
        <v>2307</v>
      </c>
      <c r="E2590">
        <v>98499</v>
      </c>
      <c r="F2590" t="s">
        <v>1573</v>
      </c>
      <c r="G2590" t="s">
        <v>1986</v>
      </c>
      <c r="H2590" t="s">
        <v>4788</v>
      </c>
      <c r="I2590">
        <v>47.156581000000003</v>
      </c>
      <c r="J2590">
        <v>-122.468104</v>
      </c>
      <c r="K2590" t="s">
        <v>3936</v>
      </c>
      <c r="L2590" t="s">
        <v>3946</v>
      </c>
      <c r="M2590" t="s">
        <v>5575</v>
      </c>
      <c r="P2590" t="s">
        <v>6175</v>
      </c>
    </row>
    <row r="2591" spans="1:16" x14ac:dyDescent="0.2">
      <c r="A2591" t="s">
        <v>2011</v>
      </c>
      <c r="B2591" t="s">
        <v>3278</v>
      </c>
      <c r="C2591" t="s">
        <v>3067</v>
      </c>
      <c r="D2591" t="s">
        <v>2307</v>
      </c>
      <c r="E2591">
        <v>98445</v>
      </c>
      <c r="F2591" t="s">
        <v>1573</v>
      </c>
      <c r="G2591" t="s">
        <v>1986</v>
      </c>
      <c r="H2591" t="s">
        <v>4789</v>
      </c>
      <c r="I2591">
        <v>47.152386</v>
      </c>
      <c r="J2591">
        <v>-122.434152</v>
      </c>
      <c r="K2591" t="s">
        <v>3936</v>
      </c>
      <c r="L2591" t="s">
        <v>3946</v>
      </c>
      <c r="M2591" t="s">
        <v>5575</v>
      </c>
      <c r="P2591" t="s">
        <v>3278</v>
      </c>
    </row>
    <row r="2592" spans="1:16" x14ac:dyDescent="0.2">
      <c r="A2592" t="s">
        <v>1889</v>
      </c>
      <c r="B2592" t="s">
        <v>3279</v>
      </c>
      <c r="C2592" t="s">
        <v>3201</v>
      </c>
      <c r="D2592" t="s">
        <v>2307</v>
      </c>
      <c r="E2592">
        <v>98271</v>
      </c>
      <c r="F2592" t="s">
        <v>1658</v>
      </c>
      <c r="G2592" t="s">
        <v>1987</v>
      </c>
      <c r="H2592" t="s">
        <v>4790</v>
      </c>
      <c r="I2592">
        <v>48.098934999999997</v>
      </c>
      <c r="J2592">
        <v>-122.17462500000001</v>
      </c>
      <c r="K2592" t="s">
        <v>3936</v>
      </c>
      <c r="L2592" t="s">
        <v>3946</v>
      </c>
      <c r="M2592" t="s">
        <v>5575</v>
      </c>
      <c r="P2592" t="s">
        <v>3279</v>
      </c>
    </row>
    <row r="2593" spans="1:16" x14ac:dyDescent="0.2">
      <c r="A2593" t="s">
        <v>2283</v>
      </c>
      <c r="B2593" t="s">
        <v>6247</v>
      </c>
      <c r="C2593" t="s">
        <v>3201</v>
      </c>
      <c r="D2593" t="s">
        <v>2307</v>
      </c>
      <c r="E2593">
        <v>98271</v>
      </c>
      <c r="F2593" t="s">
        <v>2268</v>
      </c>
      <c r="G2593" t="s">
        <v>1969</v>
      </c>
      <c r="H2593" t="s">
        <v>5442</v>
      </c>
      <c r="I2593">
        <v>48.098934999999997</v>
      </c>
      <c r="J2593">
        <v>-122.17462500000001</v>
      </c>
      <c r="K2593" t="s">
        <v>3936</v>
      </c>
      <c r="L2593" t="s">
        <v>3946</v>
      </c>
      <c r="M2593" t="s">
        <v>5575</v>
      </c>
      <c r="P2593" t="s">
        <v>6045</v>
      </c>
    </row>
    <row r="2594" spans="1:16" x14ac:dyDescent="0.2">
      <c r="A2594" t="s">
        <v>2011</v>
      </c>
      <c r="B2594" t="s">
        <v>3282</v>
      </c>
      <c r="C2594" t="s">
        <v>3201</v>
      </c>
      <c r="D2594" t="s">
        <v>2307</v>
      </c>
      <c r="E2594">
        <v>98271</v>
      </c>
      <c r="F2594" t="s">
        <v>1573</v>
      </c>
      <c r="G2594" t="s">
        <v>1986</v>
      </c>
      <c r="H2594" t="s">
        <v>4791</v>
      </c>
      <c r="I2594">
        <v>48.100126000000003</v>
      </c>
      <c r="J2594">
        <v>-122.178071</v>
      </c>
      <c r="K2594" t="s">
        <v>3936</v>
      </c>
      <c r="L2594" t="s">
        <v>3946</v>
      </c>
      <c r="M2594" t="s">
        <v>5575</v>
      </c>
      <c r="P2594" t="s">
        <v>5788</v>
      </c>
    </row>
    <row r="2595" spans="1:16" x14ac:dyDescent="0.2">
      <c r="A2595" t="s">
        <v>2285</v>
      </c>
      <c r="B2595" t="s">
        <v>3284</v>
      </c>
      <c r="C2595" t="s">
        <v>3201</v>
      </c>
      <c r="D2595" t="s">
        <v>2307</v>
      </c>
      <c r="E2595">
        <v>98271</v>
      </c>
      <c r="F2595" t="s">
        <v>1591</v>
      </c>
      <c r="G2595" t="s">
        <v>1969</v>
      </c>
      <c r="H2595" t="s">
        <v>4940</v>
      </c>
      <c r="I2595">
        <v>48.100186999999998</v>
      </c>
      <c r="J2595">
        <v>-122.17505800000001</v>
      </c>
      <c r="K2595" t="s">
        <v>3936</v>
      </c>
      <c r="L2595" t="s">
        <v>3946</v>
      </c>
      <c r="M2595" t="s">
        <v>5575</v>
      </c>
      <c r="P2595" t="s">
        <v>3284</v>
      </c>
    </row>
    <row r="2596" spans="1:16" x14ac:dyDescent="0.2">
      <c r="A2596" t="s">
        <v>2284</v>
      </c>
      <c r="B2596" t="s">
        <v>3283</v>
      </c>
      <c r="C2596" t="s">
        <v>3201</v>
      </c>
      <c r="D2596" t="s">
        <v>2307</v>
      </c>
      <c r="E2596">
        <v>98271</v>
      </c>
      <c r="F2596" t="s">
        <v>1583</v>
      </c>
      <c r="G2596" t="s">
        <v>1980</v>
      </c>
      <c r="H2596" t="s">
        <v>4792</v>
      </c>
      <c r="I2596">
        <v>48.100186999999998</v>
      </c>
      <c r="J2596">
        <v>-122.17505800000001</v>
      </c>
      <c r="K2596" t="s">
        <v>3936</v>
      </c>
      <c r="L2596" t="s">
        <v>3946</v>
      </c>
      <c r="M2596" t="s">
        <v>5575</v>
      </c>
      <c r="P2596" t="s">
        <v>3283</v>
      </c>
    </row>
    <row r="2597" spans="1:16" x14ac:dyDescent="0.2">
      <c r="A2597" t="s">
        <v>2015</v>
      </c>
      <c r="B2597" t="s">
        <v>3285</v>
      </c>
      <c r="C2597" t="s">
        <v>3237</v>
      </c>
      <c r="D2597" t="s">
        <v>2307</v>
      </c>
      <c r="E2597">
        <v>98499</v>
      </c>
      <c r="F2597" t="s">
        <v>1573</v>
      </c>
      <c r="G2597" t="s">
        <v>2024</v>
      </c>
      <c r="H2597" t="s">
        <v>5623</v>
      </c>
      <c r="I2597">
        <v>47.161687999999998</v>
      </c>
      <c r="J2597">
        <v>-122.518004</v>
      </c>
      <c r="K2597" t="s">
        <v>3936</v>
      </c>
      <c r="L2597" t="s">
        <v>3946</v>
      </c>
      <c r="M2597" t="s">
        <v>5575</v>
      </c>
      <c r="P2597" t="s">
        <v>3285</v>
      </c>
    </row>
    <row r="2598" spans="1:16" x14ac:dyDescent="0.2">
      <c r="A2598" t="s">
        <v>5576</v>
      </c>
      <c r="B2598" t="s">
        <v>5624</v>
      </c>
      <c r="C2598" t="s">
        <v>3237</v>
      </c>
      <c r="D2598" t="s">
        <v>2307</v>
      </c>
      <c r="E2598">
        <v>98499</v>
      </c>
      <c r="F2598" t="s">
        <v>1573</v>
      </c>
      <c r="G2598" t="s">
        <v>5578</v>
      </c>
      <c r="H2598" t="s">
        <v>5625</v>
      </c>
      <c r="I2598">
        <v>47.162373000000002</v>
      </c>
      <c r="J2598">
        <v>-122.520458</v>
      </c>
      <c r="K2598" t="s">
        <v>3936</v>
      </c>
      <c r="L2598" t="s">
        <v>3946</v>
      </c>
      <c r="M2598" t="s">
        <v>5575</v>
      </c>
      <c r="P2598" t="s">
        <v>5624</v>
      </c>
    </row>
    <row r="2599" spans="1:16" x14ac:dyDescent="0.2">
      <c r="A2599" t="s">
        <v>2048</v>
      </c>
      <c r="B2599" t="s">
        <v>3286</v>
      </c>
      <c r="C2599" t="s">
        <v>3067</v>
      </c>
      <c r="D2599" t="s">
        <v>2307</v>
      </c>
      <c r="E2599">
        <v>98444</v>
      </c>
      <c r="F2599" t="s">
        <v>1573</v>
      </c>
      <c r="G2599" t="s">
        <v>2014</v>
      </c>
      <c r="H2599" t="s">
        <v>4793</v>
      </c>
      <c r="I2599">
        <v>47.148842999999999</v>
      </c>
      <c r="J2599">
        <v>-122.43454199999999</v>
      </c>
      <c r="K2599" t="s">
        <v>3936</v>
      </c>
      <c r="L2599" t="s">
        <v>3946</v>
      </c>
      <c r="M2599" t="s">
        <v>5575</v>
      </c>
      <c r="P2599" t="s">
        <v>3286</v>
      </c>
    </row>
    <row r="2600" spans="1:16" x14ac:dyDescent="0.2">
      <c r="A2600" t="s">
        <v>3952</v>
      </c>
      <c r="B2600" t="s">
        <v>3287</v>
      </c>
      <c r="C2600" t="s">
        <v>3067</v>
      </c>
      <c r="D2600" t="s">
        <v>2307</v>
      </c>
      <c r="E2600">
        <v>98499</v>
      </c>
      <c r="F2600" t="s">
        <v>1573</v>
      </c>
      <c r="G2600" t="s">
        <v>2014</v>
      </c>
      <c r="H2600" t="s">
        <v>4794</v>
      </c>
      <c r="I2600">
        <v>47.157347999999999</v>
      </c>
      <c r="J2600">
        <v>-122.504723</v>
      </c>
      <c r="K2600" t="s">
        <v>3936</v>
      </c>
      <c r="L2600" t="s">
        <v>3946</v>
      </c>
      <c r="M2600" t="s">
        <v>5575</v>
      </c>
      <c r="P2600" t="s">
        <v>3287</v>
      </c>
    </row>
    <row r="2601" spans="1:16" x14ac:dyDescent="0.2">
      <c r="A2601" t="s">
        <v>2007</v>
      </c>
      <c r="B2601" t="s">
        <v>3288</v>
      </c>
      <c r="C2601" t="s">
        <v>3186</v>
      </c>
      <c r="D2601" t="s">
        <v>2307</v>
      </c>
      <c r="E2601">
        <v>98373</v>
      </c>
      <c r="F2601" t="s">
        <v>1658</v>
      </c>
      <c r="G2601" t="s">
        <v>2110</v>
      </c>
      <c r="H2601" t="s">
        <v>5626</v>
      </c>
      <c r="I2601">
        <v>47.144117999999999</v>
      </c>
      <c r="J2601">
        <v>-122.293149</v>
      </c>
      <c r="K2601" t="s">
        <v>3936</v>
      </c>
      <c r="L2601" t="s">
        <v>3946</v>
      </c>
      <c r="M2601" t="s">
        <v>5575</v>
      </c>
      <c r="P2601" t="s">
        <v>3288</v>
      </c>
    </row>
    <row r="2602" spans="1:16" x14ac:dyDescent="0.2">
      <c r="A2602" t="s">
        <v>2286</v>
      </c>
      <c r="B2602" t="s">
        <v>3290</v>
      </c>
      <c r="C2602" t="s">
        <v>3201</v>
      </c>
      <c r="D2602" t="s">
        <v>2307</v>
      </c>
      <c r="E2602">
        <v>98271</v>
      </c>
      <c r="F2602" t="s">
        <v>1602</v>
      </c>
      <c r="G2602" t="s">
        <v>2005</v>
      </c>
      <c r="H2602" t="s">
        <v>4795</v>
      </c>
      <c r="I2602">
        <v>48.106195999999997</v>
      </c>
      <c r="J2602">
        <v>-122.177301</v>
      </c>
      <c r="K2602" t="s">
        <v>3936</v>
      </c>
      <c r="L2602" t="s">
        <v>3946</v>
      </c>
      <c r="M2602" t="s">
        <v>5575</v>
      </c>
      <c r="P2602" t="s">
        <v>3290</v>
      </c>
    </row>
    <row r="2603" spans="1:16" x14ac:dyDescent="0.2">
      <c r="A2603" t="s">
        <v>2015</v>
      </c>
      <c r="B2603" t="s">
        <v>3291</v>
      </c>
      <c r="C2603" t="s">
        <v>3292</v>
      </c>
      <c r="D2603" t="s">
        <v>2307</v>
      </c>
      <c r="E2603">
        <v>98022</v>
      </c>
      <c r="F2603" t="s">
        <v>1573</v>
      </c>
      <c r="G2603" t="s">
        <v>1999</v>
      </c>
      <c r="H2603" t="s">
        <v>5628</v>
      </c>
      <c r="I2603">
        <v>47.199517</v>
      </c>
      <c r="J2603">
        <v>-121.99021999999999</v>
      </c>
      <c r="K2603" t="s">
        <v>3936</v>
      </c>
      <c r="L2603" t="s">
        <v>3946</v>
      </c>
      <c r="M2603" t="s">
        <v>5575</v>
      </c>
      <c r="P2603" t="s">
        <v>3291</v>
      </c>
    </row>
    <row r="2604" spans="1:16" x14ac:dyDescent="0.2">
      <c r="A2604" t="s">
        <v>3954</v>
      </c>
      <c r="B2604" t="s">
        <v>3293</v>
      </c>
      <c r="C2604" t="s">
        <v>3067</v>
      </c>
      <c r="D2604" t="s">
        <v>2307</v>
      </c>
      <c r="E2604">
        <v>98499</v>
      </c>
      <c r="F2604" t="s">
        <v>1573</v>
      </c>
      <c r="G2604" t="s">
        <v>2222</v>
      </c>
      <c r="H2604" t="s">
        <v>5629</v>
      </c>
      <c r="I2604">
        <v>47.151330999999999</v>
      </c>
      <c r="J2604">
        <v>-122.504229</v>
      </c>
      <c r="K2604" t="s">
        <v>3936</v>
      </c>
      <c r="L2604" t="s">
        <v>3946</v>
      </c>
      <c r="M2604" t="s">
        <v>5575</v>
      </c>
      <c r="P2604" t="s">
        <v>3293</v>
      </c>
    </row>
    <row r="2605" spans="1:16" x14ac:dyDescent="0.2">
      <c r="A2605" t="s">
        <v>3952</v>
      </c>
      <c r="B2605" t="s">
        <v>3294</v>
      </c>
      <c r="C2605" t="s">
        <v>3292</v>
      </c>
      <c r="D2605" t="s">
        <v>2307</v>
      </c>
      <c r="E2605">
        <v>98022</v>
      </c>
      <c r="F2605" t="s">
        <v>1573</v>
      </c>
      <c r="G2605" t="s">
        <v>2014</v>
      </c>
      <c r="H2605" t="s">
        <v>4796</v>
      </c>
      <c r="I2605">
        <v>47.199572000000003</v>
      </c>
      <c r="J2605">
        <v>-121.98318399999999</v>
      </c>
      <c r="K2605" t="s">
        <v>3936</v>
      </c>
      <c r="L2605" t="s">
        <v>3946</v>
      </c>
      <c r="M2605" t="s">
        <v>5575</v>
      </c>
      <c r="P2605" t="s">
        <v>3294</v>
      </c>
    </row>
    <row r="2606" spans="1:16" x14ac:dyDescent="0.2">
      <c r="A2606" t="s">
        <v>2287</v>
      </c>
      <c r="B2606" t="s">
        <v>3295</v>
      </c>
      <c r="C2606" t="s">
        <v>3296</v>
      </c>
      <c r="D2606" t="s">
        <v>2307</v>
      </c>
      <c r="E2606">
        <v>98388</v>
      </c>
      <c r="F2606" t="s">
        <v>2035</v>
      </c>
      <c r="G2606" t="s">
        <v>2005</v>
      </c>
      <c r="H2606" t="s">
        <v>4797</v>
      </c>
      <c r="I2606">
        <v>47.169533000000001</v>
      </c>
      <c r="J2606">
        <v>-122.602817</v>
      </c>
      <c r="K2606" t="s">
        <v>3936</v>
      </c>
      <c r="L2606" t="s">
        <v>3946</v>
      </c>
      <c r="M2606" t="s">
        <v>5575</v>
      </c>
      <c r="P2606" t="s">
        <v>3295</v>
      </c>
    </row>
    <row r="2607" spans="1:16" x14ac:dyDescent="0.2">
      <c r="A2607" t="s">
        <v>2288</v>
      </c>
      <c r="B2607" t="s">
        <v>3297</v>
      </c>
      <c r="C2607" t="s">
        <v>3296</v>
      </c>
      <c r="D2607" t="s">
        <v>2307</v>
      </c>
      <c r="E2607">
        <v>98388</v>
      </c>
      <c r="F2607" t="s">
        <v>1583</v>
      </c>
      <c r="G2607" t="s">
        <v>1980</v>
      </c>
      <c r="H2607" t="s">
        <v>4798</v>
      </c>
      <c r="I2607">
        <v>47.169727000000002</v>
      </c>
      <c r="J2607">
        <v>-122.602817</v>
      </c>
      <c r="K2607" t="s">
        <v>3936</v>
      </c>
      <c r="L2607" t="s">
        <v>3946</v>
      </c>
      <c r="M2607" t="s">
        <v>5575</v>
      </c>
      <c r="P2607" t="s">
        <v>3297</v>
      </c>
    </row>
    <row r="2608" spans="1:16" x14ac:dyDescent="0.2">
      <c r="A2608" t="s">
        <v>2059</v>
      </c>
      <c r="B2608" t="s">
        <v>3298</v>
      </c>
      <c r="C2608" t="s">
        <v>3292</v>
      </c>
      <c r="D2608" t="s">
        <v>2307</v>
      </c>
      <c r="E2608">
        <v>98022</v>
      </c>
      <c r="F2608" t="s">
        <v>1600</v>
      </c>
      <c r="G2608" t="s">
        <v>2063</v>
      </c>
      <c r="H2608" t="s">
        <v>5630</v>
      </c>
      <c r="I2608">
        <v>47.199736999999999</v>
      </c>
      <c r="J2608">
        <v>-121.981498</v>
      </c>
      <c r="K2608" t="s">
        <v>3936</v>
      </c>
      <c r="L2608" t="s">
        <v>3946</v>
      </c>
      <c r="M2608" t="s">
        <v>5575</v>
      </c>
      <c r="P2608" t="s">
        <v>3298</v>
      </c>
    </row>
    <row r="2609" spans="1:16" x14ac:dyDescent="0.2">
      <c r="A2609" t="s">
        <v>2048</v>
      </c>
      <c r="B2609" t="s">
        <v>3299</v>
      </c>
      <c r="C2609" t="s">
        <v>3292</v>
      </c>
      <c r="D2609" t="s">
        <v>2307</v>
      </c>
      <c r="E2609">
        <v>98022</v>
      </c>
      <c r="F2609" t="s">
        <v>1573</v>
      </c>
      <c r="G2609" t="s">
        <v>2014</v>
      </c>
      <c r="H2609" t="s">
        <v>4799</v>
      </c>
      <c r="I2609">
        <v>47.199357999999997</v>
      </c>
      <c r="J2609">
        <v>-121.981898</v>
      </c>
      <c r="K2609" t="s">
        <v>3936</v>
      </c>
      <c r="L2609" t="s">
        <v>3946</v>
      </c>
      <c r="M2609" t="s">
        <v>5575</v>
      </c>
      <c r="P2609" t="s">
        <v>3299</v>
      </c>
    </row>
    <row r="2610" spans="1:16" x14ac:dyDescent="0.2">
      <c r="A2610" t="s">
        <v>2011</v>
      </c>
      <c r="B2610" t="s">
        <v>6366</v>
      </c>
      <c r="C2610" t="s">
        <v>3292</v>
      </c>
      <c r="D2610" t="s">
        <v>2307</v>
      </c>
      <c r="E2610">
        <v>98022</v>
      </c>
      <c r="F2610" t="s">
        <v>1573</v>
      </c>
      <c r="G2610" t="s">
        <v>1986</v>
      </c>
      <c r="H2610" t="s">
        <v>4800</v>
      </c>
      <c r="I2610">
        <v>47.19952</v>
      </c>
      <c r="J2610">
        <v>-121.980738</v>
      </c>
      <c r="K2610" t="s">
        <v>3936</v>
      </c>
      <c r="L2610" t="s">
        <v>3946</v>
      </c>
      <c r="M2610" t="s">
        <v>5575</v>
      </c>
      <c r="P2610" t="s">
        <v>6176</v>
      </c>
    </row>
    <row r="2611" spans="1:16" x14ac:dyDescent="0.2">
      <c r="A2611" t="s">
        <v>5576</v>
      </c>
      <c r="B2611" t="s">
        <v>6367</v>
      </c>
      <c r="C2611" t="s">
        <v>3186</v>
      </c>
      <c r="D2611" t="s">
        <v>2307</v>
      </c>
      <c r="E2611">
        <v>98373</v>
      </c>
      <c r="F2611" t="s">
        <v>1573</v>
      </c>
      <c r="G2611" t="s">
        <v>5578</v>
      </c>
      <c r="H2611" t="s">
        <v>5631</v>
      </c>
      <c r="I2611">
        <v>47.135333000000003</v>
      </c>
      <c r="J2611">
        <v>-122.29282000000001</v>
      </c>
      <c r="K2611" t="s">
        <v>3936</v>
      </c>
      <c r="L2611" t="s">
        <v>3946</v>
      </c>
      <c r="M2611" t="s">
        <v>5575</v>
      </c>
      <c r="P2611" t="s">
        <v>6177</v>
      </c>
    </row>
    <row r="2612" spans="1:16" x14ac:dyDescent="0.2">
      <c r="A2612" t="s">
        <v>3952</v>
      </c>
      <c r="B2612" t="s">
        <v>3300</v>
      </c>
      <c r="C2612" t="s">
        <v>3186</v>
      </c>
      <c r="D2612" t="s">
        <v>2307</v>
      </c>
      <c r="E2612">
        <v>98373</v>
      </c>
      <c r="F2612" t="s">
        <v>1573</v>
      </c>
      <c r="G2612" t="s">
        <v>2014</v>
      </c>
      <c r="H2612" t="s">
        <v>4801</v>
      </c>
      <c r="I2612">
        <v>47.134737000000001</v>
      </c>
      <c r="J2612">
        <v>-122.29321899999999</v>
      </c>
      <c r="K2612" t="s">
        <v>3936</v>
      </c>
      <c r="L2612" t="s">
        <v>3946</v>
      </c>
      <c r="M2612" t="s">
        <v>5575</v>
      </c>
      <c r="P2612" t="s">
        <v>3300</v>
      </c>
    </row>
    <row r="2613" spans="1:16" x14ac:dyDescent="0.2">
      <c r="A2613" t="s">
        <v>2007</v>
      </c>
      <c r="B2613" t="s">
        <v>3301</v>
      </c>
      <c r="C2613" t="s">
        <v>3067</v>
      </c>
      <c r="D2613" t="s">
        <v>2307</v>
      </c>
      <c r="E2613">
        <v>98444</v>
      </c>
      <c r="F2613" t="s">
        <v>1658</v>
      </c>
      <c r="G2613" t="s">
        <v>2008</v>
      </c>
      <c r="H2613" t="s">
        <v>5632</v>
      </c>
      <c r="I2613">
        <v>47.131346999999998</v>
      </c>
      <c r="J2613">
        <v>-122.434513</v>
      </c>
      <c r="K2613" t="s">
        <v>3936</v>
      </c>
      <c r="L2613" t="s">
        <v>3946</v>
      </c>
      <c r="M2613" t="s">
        <v>5575</v>
      </c>
      <c r="P2613" t="s">
        <v>3301</v>
      </c>
    </row>
    <row r="2614" spans="1:16" x14ac:dyDescent="0.2">
      <c r="A2614" t="s">
        <v>2073</v>
      </c>
      <c r="B2614" t="s">
        <v>3302</v>
      </c>
      <c r="C2614" t="s">
        <v>3186</v>
      </c>
      <c r="D2614" t="s">
        <v>2307</v>
      </c>
      <c r="E2614">
        <v>98373</v>
      </c>
      <c r="F2614" t="s">
        <v>1658</v>
      </c>
      <c r="G2614" t="s">
        <v>2074</v>
      </c>
      <c r="H2614" t="s">
        <v>5443</v>
      </c>
      <c r="I2614">
        <v>47.127147000000001</v>
      </c>
      <c r="J2614">
        <v>-122.292858</v>
      </c>
      <c r="K2614" t="s">
        <v>3936</v>
      </c>
      <c r="L2614" t="s">
        <v>3946</v>
      </c>
      <c r="M2614" t="s">
        <v>5575</v>
      </c>
      <c r="P2614" t="s">
        <v>3302</v>
      </c>
    </row>
    <row r="2615" spans="1:16" x14ac:dyDescent="0.2">
      <c r="A2615" t="s">
        <v>2289</v>
      </c>
      <c r="B2615" t="s">
        <v>3303</v>
      </c>
      <c r="C2615" t="s">
        <v>3201</v>
      </c>
      <c r="D2615" t="s">
        <v>2307</v>
      </c>
      <c r="E2615">
        <v>98271</v>
      </c>
      <c r="F2615" t="s">
        <v>2044</v>
      </c>
      <c r="G2615" t="s">
        <v>2005</v>
      </c>
      <c r="H2615" t="s">
        <v>4802</v>
      </c>
      <c r="I2615">
        <v>48.121715000000002</v>
      </c>
      <c r="J2615">
        <v>-122.18291600000001</v>
      </c>
      <c r="K2615" t="s">
        <v>3936</v>
      </c>
      <c r="L2615" t="s">
        <v>3946</v>
      </c>
      <c r="M2615" t="s">
        <v>5575</v>
      </c>
      <c r="P2615" t="s">
        <v>3303</v>
      </c>
    </row>
    <row r="2616" spans="1:16" x14ac:dyDescent="0.2">
      <c r="A2616" t="s">
        <v>2011</v>
      </c>
      <c r="B2616" t="s">
        <v>6368</v>
      </c>
      <c r="C2616" t="s">
        <v>3201</v>
      </c>
      <c r="D2616" t="s">
        <v>2307</v>
      </c>
      <c r="E2616">
        <v>98271</v>
      </c>
      <c r="F2616" t="s">
        <v>1573</v>
      </c>
      <c r="G2616" t="s">
        <v>1986</v>
      </c>
      <c r="H2616" t="s">
        <v>4803</v>
      </c>
      <c r="I2616">
        <v>48.121219000000004</v>
      </c>
      <c r="J2616">
        <v>-122.170097</v>
      </c>
      <c r="K2616" t="s">
        <v>3936</v>
      </c>
      <c r="L2616" t="s">
        <v>3946</v>
      </c>
      <c r="M2616" t="s">
        <v>5575</v>
      </c>
      <c r="P2616" t="s">
        <v>6178</v>
      </c>
    </row>
    <row r="2617" spans="1:16" x14ac:dyDescent="0.2">
      <c r="A2617" t="s">
        <v>2011</v>
      </c>
      <c r="B2617" t="s">
        <v>3304</v>
      </c>
      <c r="C2617" t="s">
        <v>3067</v>
      </c>
      <c r="D2617" t="s">
        <v>2307</v>
      </c>
      <c r="E2617">
        <v>98444</v>
      </c>
      <c r="F2617" t="s">
        <v>1573</v>
      </c>
      <c r="G2617" t="s">
        <v>1986</v>
      </c>
      <c r="H2617" t="s">
        <v>4804</v>
      </c>
      <c r="I2617">
        <v>47.128390000000003</v>
      </c>
      <c r="J2617">
        <v>-122.434614</v>
      </c>
      <c r="K2617" t="s">
        <v>3936</v>
      </c>
      <c r="L2617" t="s">
        <v>3946</v>
      </c>
      <c r="M2617" t="s">
        <v>5575</v>
      </c>
      <c r="P2617" t="s">
        <v>3304</v>
      </c>
    </row>
    <row r="2618" spans="1:16" x14ac:dyDescent="0.2">
      <c r="A2618" t="s">
        <v>3954</v>
      </c>
      <c r="B2618" t="s">
        <v>3305</v>
      </c>
      <c r="C2618" t="s">
        <v>3067</v>
      </c>
      <c r="D2618" t="s">
        <v>2307</v>
      </c>
      <c r="E2618">
        <v>98444</v>
      </c>
      <c r="F2618" t="s">
        <v>1573</v>
      </c>
      <c r="G2618" t="s">
        <v>2222</v>
      </c>
      <c r="H2618" t="s">
        <v>4805</v>
      </c>
      <c r="I2618">
        <v>47.124861000000003</v>
      </c>
      <c r="J2618">
        <v>-122.43504</v>
      </c>
      <c r="K2618" t="s">
        <v>3936</v>
      </c>
      <c r="L2618" t="s">
        <v>3946</v>
      </c>
      <c r="M2618" t="s">
        <v>5575</v>
      </c>
      <c r="P2618" t="s">
        <v>3305</v>
      </c>
    </row>
    <row r="2619" spans="1:16" x14ac:dyDescent="0.2">
      <c r="A2619" t="s">
        <v>2015</v>
      </c>
      <c r="B2619" t="s">
        <v>3306</v>
      </c>
      <c r="C2619" t="s">
        <v>3307</v>
      </c>
      <c r="D2619" t="s">
        <v>2307</v>
      </c>
      <c r="E2619">
        <v>98321</v>
      </c>
      <c r="F2619" t="s">
        <v>1573</v>
      </c>
      <c r="G2619" t="s">
        <v>2016</v>
      </c>
      <c r="H2619" t="s">
        <v>5305</v>
      </c>
      <c r="I2619">
        <v>47.158954000000001</v>
      </c>
      <c r="J2619">
        <v>-122.046198</v>
      </c>
      <c r="K2619" t="s">
        <v>3936</v>
      </c>
      <c r="L2619" t="s">
        <v>3946</v>
      </c>
      <c r="M2619" t="s">
        <v>5575</v>
      </c>
      <c r="P2619" t="s">
        <v>3306</v>
      </c>
    </row>
    <row r="2620" spans="1:16" x14ac:dyDescent="0.2">
      <c r="A2620" t="s">
        <v>3952</v>
      </c>
      <c r="B2620" t="s">
        <v>3308</v>
      </c>
      <c r="C2620" t="s">
        <v>3067</v>
      </c>
      <c r="D2620" t="s">
        <v>2307</v>
      </c>
      <c r="E2620">
        <v>98444</v>
      </c>
      <c r="F2620" t="s">
        <v>1573</v>
      </c>
      <c r="G2620" t="s">
        <v>2014</v>
      </c>
      <c r="H2620" t="s">
        <v>4806</v>
      </c>
      <c r="I2620">
        <v>47.121561999999997</v>
      </c>
      <c r="J2620">
        <v>-122.434696</v>
      </c>
      <c r="K2620" t="s">
        <v>3936</v>
      </c>
      <c r="L2620" t="s">
        <v>3946</v>
      </c>
      <c r="M2620" t="s">
        <v>5575</v>
      </c>
      <c r="P2620" t="s">
        <v>3308</v>
      </c>
    </row>
    <row r="2621" spans="1:16" x14ac:dyDescent="0.2">
      <c r="A2621" t="s">
        <v>2290</v>
      </c>
      <c r="B2621" t="s">
        <v>3309</v>
      </c>
      <c r="C2621" t="s">
        <v>3307</v>
      </c>
      <c r="D2621" t="s">
        <v>2307</v>
      </c>
      <c r="E2621">
        <v>98321</v>
      </c>
      <c r="F2621" t="s">
        <v>1583</v>
      </c>
      <c r="G2621" t="s">
        <v>1980</v>
      </c>
      <c r="H2621" t="s">
        <v>4807</v>
      </c>
      <c r="I2621">
        <v>47.162913000000003</v>
      </c>
      <c r="J2621">
        <v>-122.028408</v>
      </c>
      <c r="K2621" t="s">
        <v>3936</v>
      </c>
      <c r="L2621" t="s">
        <v>3946</v>
      </c>
      <c r="M2621" t="s">
        <v>5575</v>
      </c>
      <c r="P2621" t="s">
        <v>3309</v>
      </c>
    </row>
    <row r="2622" spans="1:16" x14ac:dyDescent="0.2">
      <c r="A2622" t="s">
        <v>2011</v>
      </c>
      <c r="B2622" t="s">
        <v>3310</v>
      </c>
      <c r="C2622" t="s">
        <v>3307</v>
      </c>
      <c r="D2622" t="s">
        <v>2307</v>
      </c>
      <c r="E2622">
        <v>98321</v>
      </c>
      <c r="F2622" t="s">
        <v>1573</v>
      </c>
      <c r="G2622" t="s">
        <v>1986</v>
      </c>
      <c r="H2622" t="s">
        <v>4808</v>
      </c>
      <c r="I2622">
        <v>47.159370000000003</v>
      </c>
      <c r="J2622">
        <v>-122.035735</v>
      </c>
      <c r="K2622" t="s">
        <v>3936</v>
      </c>
      <c r="L2622" t="s">
        <v>3946</v>
      </c>
      <c r="M2622" t="s">
        <v>5575</v>
      </c>
      <c r="P2622" t="s">
        <v>3310</v>
      </c>
    </row>
    <row r="2623" spans="1:16" x14ac:dyDescent="0.2">
      <c r="A2623" t="s">
        <v>2059</v>
      </c>
      <c r="B2623" t="s">
        <v>3311</v>
      </c>
      <c r="C2623" t="s">
        <v>3067</v>
      </c>
      <c r="D2623" t="s">
        <v>2307</v>
      </c>
      <c r="E2623">
        <v>98444</v>
      </c>
      <c r="F2623" t="s">
        <v>1600</v>
      </c>
      <c r="G2623" t="s">
        <v>2063</v>
      </c>
      <c r="H2623" t="s">
        <v>5306</v>
      </c>
      <c r="I2623">
        <v>47.120061999999997</v>
      </c>
      <c r="J2623">
        <v>-122.43505999999999</v>
      </c>
      <c r="K2623" t="s">
        <v>3936</v>
      </c>
      <c r="L2623" t="s">
        <v>3946</v>
      </c>
      <c r="M2623" t="s">
        <v>5575</v>
      </c>
      <c r="P2623" t="s">
        <v>3311</v>
      </c>
    </row>
    <row r="2624" spans="1:16" x14ac:dyDescent="0.2">
      <c r="A2624" t="s">
        <v>3955</v>
      </c>
      <c r="B2624" t="s">
        <v>3312</v>
      </c>
      <c r="C2624" t="s">
        <v>3313</v>
      </c>
      <c r="D2624" t="s">
        <v>2307</v>
      </c>
      <c r="E2624">
        <v>98375</v>
      </c>
      <c r="F2624" t="s">
        <v>1658</v>
      </c>
      <c r="G2624" t="s">
        <v>2148</v>
      </c>
      <c r="H2624" t="s">
        <v>5633</v>
      </c>
      <c r="I2624">
        <v>47.116562999999999</v>
      </c>
      <c r="J2624">
        <v>-122.29347300000001</v>
      </c>
      <c r="K2624" t="s">
        <v>3936</v>
      </c>
      <c r="L2624" t="s">
        <v>3946</v>
      </c>
      <c r="M2624" t="s">
        <v>5575</v>
      </c>
      <c r="P2624" t="s">
        <v>3312</v>
      </c>
    </row>
    <row r="2625" spans="1:16" x14ac:dyDescent="0.2">
      <c r="A2625" t="s">
        <v>2011</v>
      </c>
      <c r="B2625" t="s">
        <v>3314</v>
      </c>
      <c r="C2625" t="s">
        <v>3315</v>
      </c>
      <c r="D2625" t="s">
        <v>2307</v>
      </c>
      <c r="E2625">
        <v>98252</v>
      </c>
      <c r="F2625" t="s">
        <v>1573</v>
      </c>
      <c r="G2625" t="s">
        <v>1986</v>
      </c>
      <c r="H2625" t="s">
        <v>4809</v>
      </c>
      <c r="I2625">
        <v>48.083227000000001</v>
      </c>
      <c r="J2625">
        <v>-121.977189</v>
      </c>
      <c r="K2625" t="s">
        <v>3936</v>
      </c>
      <c r="L2625" t="s">
        <v>3946</v>
      </c>
      <c r="M2625" t="s">
        <v>5575</v>
      </c>
      <c r="P2625" t="s">
        <v>3314</v>
      </c>
    </row>
    <row r="2626" spans="1:16" x14ac:dyDescent="0.2">
      <c r="A2626" t="s">
        <v>2015</v>
      </c>
      <c r="B2626" t="s">
        <v>3316</v>
      </c>
      <c r="C2626" t="s">
        <v>3186</v>
      </c>
      <c r="D2626" t="s">
        <v>2307</v>
      </c>
      <c r="E2626">
        <v>98374</v>
      </c>
      <c r="F2626" t="s">
        <v>1573</v>
      </c>
      <c r="G2626" t="s">
        <v>2024</v>
      </c>
      <c r="H2626" t="s">
        <v>5634</v>
      </c>
      <c r="I2626">
        <v>47.114080000000001</v>
      </c>
      <c r="J2626">
        <v>-122.271869</v>
      </c>
      <c r="K2626" t="s">
        <v>3936</v>
      </c>
      <c r="L2626" t="s">
        <v>3946</v>
      </c>
      <c r="M2626" t="s">
        <v>5575</v>
      </c>
      <c r="P2626" t="s">
        <v>3316</v>
      </c>
    </row>
    <row r="2627" spans="1:16" x14ac:dyDescent="0.2">
      <c r="A2627" t="s">
        <v>2291</v>
      </c>
      <c r="B2627" t="s">
        <v>3317</v>
      </c>
      <c r="C2627" t="s">
        <v>3186</v>
      </c>
      <c r="D2627" t="s">
        <v>2307</v>
      </c>
      <c r="E2627">
        <v>98375</v>
      </c>
      <c r="F2627" t="s">
        <v>1573</v>
      </c>
      <c r="G2627" t="s">
        <v>1969</v>
      </c>
      <c r="H2627" t="s">
        <v>4810</v>
      </c>
      <c r="I2627">
        <v>47.111553000000001</v>
      </c>
      <c r="J2627">
        <v>-122.293199</v>
      </c>
      <c r="K2627" t="s">
        <v>3936</v>
      </c>
      <c r="L2627" t="s">
        <v>3946</v>
      </c>
      <c r="M2627" t="s">
        <v>5575</v>
      </c>
      <c r="P2627" t="s">
        <v>3317</v>
      </c>
    </row>
    <row r="2628" spans="1:16" x14ac:dyDescent="0.2">
      <c r="A2628" t="s">
        <v>1686</v>
      </c>
      <c r="B2628" t="s">
        <v>3318</v>
      </c>
      <c r="C2628" t="s">
        <v>3186</v>
      </c>
      <c r="D2628" t="s">
        <v>2307</v>
      </c>
      <c r="E2628">
        <v>98375</v>
      </c>
      <c r="F2628" t="s">
        <v>1573</v>
      </c>
      <c r="G2628" t="s">
        <v>2136</v>
      </c>
      <c r="H2628" t="s">
        <v>4811</v>
      </c>
      <c r="I2628">
        <v>47.111007000000001</v>
      </c>
      <c r="J2628">
        <v>-122.29355700000001</v>
      </c>
      <c r="K2628" t="s">
        <v>3936</v>
      </c>
      <c r="L2628" t="s">
        <v>3946</v>
      </c>
      <c r="M2628" t="s">
        <v>5575</v>
      </c>
      <c r="P2628" t="s">
        <v>3318</v>
      </c>
    </row>
    <row r="2629" spans="1:16" x14ac:dyDescent="0.2">
      <c r="A2629" t="s">
        <v>2059</v>
      </c>
      <c r="B2629" t="s">
        <v>3319</v>
      </c>
      <c r="C2629" t="s">
        <v>3186</v>
      </c>
      <c r="D2629" t="s">
        <v>2307</v>
      </c>
      <c r="E2629">
        <v>98375</v>
      </c>
      <c r="F2629" t="s">
        <v>1600</v>
      </c>
      <c r="G2629" t="s">
        <v>2060</v>
      </c>
      <c r="H2629" t="s">
        <v>5635</v>
      </c>
      <c r="I2629">
        <v>47.110984000000002</v>
      </c>
      <c r="J2629">
        <v>-122.293584</v>
      </c>
      <c r="K2629" t="s">
        <v>3936</v>
      </c>
      <c r="L2629" t="s">
        <v>3946</v>
      </c>
      <c r="M2629" t="s">
        <v>5575</v>
      </c>
      <c r="P2629" t="s">
        <v>3319</v>
      </c>
    </row>
    <row r="2630" spans="1:16" x14ac:dyDescent="0.2">
      <c r="A2630" t="s">
        <v>2011</v>
      </c>
      <c r="B2630" t="s">
        <v>3320</v>
      </c>
      <c r="C2630" t="s">
        <v>3186</v>
      </c>
      <c r="D2630" t="s">
        <v>2307</v>
      </c>
      <c r="E2630">
        <v>98373</v>
      </c>
      <c r="F2630" t="s">
        <v>1573</v>
      </c>
      <c r="G2630" t="s">
        <v>1986</v>
      </c>
      <c r="H2630" t="s">
        <v>4812</v>
      </c>
      <c r="I2630">
        <v>47.110619999999997</v>
      </c>
      <c r="J2630">
        <v>-122.29349999999999</v>
      </c>
      <c r="K2630" t="s">
        <v>3936</v>
      </c>
      <c r="L2630" t="s">
        <v>3946</v>
      </c>
      <c r="M2630" t="s">
        <v>5575</v>
      </c>
      <c r="P2630" t="s">
        <v>3320</v>
      </c>
    </row>
    <row r="2631" spans="1:16" x14ac:dyDescent="0.2">
      <c r="A2631" t="s">
        <v>2011</v>
      </c>
      <c r="B2631" t="s">
        <v>3321</v>
      </c>
      <c r="C2631" t="s">
        <v>3067</v>
      </c>
      <c r="D2631" t="s">
        <v>2307</v>
      </c>
      <c r="E2631">
        <v>98444</v>
      </c>
      <c r="F2631" t="s">
        <v>1573</v>
      </c>
      <c r="G2631" t="s">
        <v>1986</v>
      </c>
      <c r="H2631" t="s">
        <v>4813</v>
      </c>
      <c r="I2631">
        <v>47.166589999999999</v>
      </c>
      <c r="J2631">
        <v>-122.43414900000001</v>
      </c>
      <c r="K2631" t="s">
        <v>3936</v>
      </c>
      <c r="L2631" t="s">
        <v>3946</v>
      </c>
      <c r="M2631" t="s">
        <v>5575</v>
      </c>
      <c r="P2631" t="s">
        <v>3321</v>
      </c>
    </row>
    <row r="2632" spans="1:16" x14ac:dyDescent="0.2">
      <c r="A2632" t="s">
        <v>2183</v>
      </c>
      <c r="B2632" t="s">
        <v>3322</v>
      </c>
      <c r="C2632" t="s">
        <v>3186</v>
      </c>
      <c r="D2632" t="s">
        <v>2307</v>
      </c>
      <c r="E2632">
        <v>98375</v>
      </c>
      <c r="F2632" t="s">
        <v>1716</v>
      </c>
      <c r="G2632" t="s">
        <v>2000</v>
      </c>
      <c r="H2632" t="s">
        <v>4814</v>
      </c>
      <c r="I2632">
        <v>47.107263000000003</v>
      </c>
      <c r="J2632">
        <v>-122.293628</v>
      </c>
      <c r="K2632" t="s">
        <v>3936</v>
      </c>
      <c r="L2632" t="s">
        <v>3946</v>
      </c>
      <c r="M2632" t="s">
        <v>5575</v>
      </c>
      <c r="P2632" t="s">
        <v>3322</v>
      </c>
    </row>
    <row r="2633" spans="1:16" x14ac:dyDescent="0.2">
      <c r="A2633" t="s">
        <v>2011</v>
      </c>
      <c r="B2633" t="s">
        <v>3323</v>
      </c>
      <c r="C2633" t="s">
        <v>3186</v>
      </c>
      <c r="D2633" t="s">
        <v>2307</v>
      </c>
      <c r="E2633">
        <v>98375</v>
      </c>
      <c r="F2633" t="s">
        <v>1573</v>
      </c>
      <c r="G2633" t="s">
        <v>1986</v>
      </c>
      <c r="H2633" t="s">
        <v>4815</v>
      </c>
      <c r="I2633">
        <v>47.105927999999999</v>
      </c>
      <c r="J2633">
        <v>-122.29363499999999</v>
      </c>
      <c r="K2633" t="s">
        <v>3936</v>
      </c>
      <c r="L2633" t="s">
        <v>3946</v>
      </c>
      <c r="M2633" t="s">
        <v>5575</v>
      </c>
      <c r="P2633" t="s">
        <v>3323</v>
      </c>
    </row>
    <row r="2634" spans="1:16" x14ac:dyDescent="0.2">
      <c r="A2634" t="s">
        <v>3952</v>
      </c>
      <c r="B2634" t="s">
        <v>3324</v>
      </c>
      <c r="C2634" t="s">
        <v>3201</v>
      </c>
      <c r="D2634" t="s">
        <v>2307</v>
      </c>
      <c r="E2634">
        <v>98271</v>
      </c>
      <c r="F2634" t="s">
        <v>1573</v>
      </c>
      <c r="G2634" t="s">
        <v>2014</v>
      </c>
      <c r="H2634" t="s">
        <v>4816</v>
      </c>
      <c r="I2634">
        <v>48.145384</v>
      </c>
      <c r="J2634">
        <v>-122.188382</v>
      </c>
      <c r="K2634" t="s">
        <v>3936</v>
      </c>
      <c r="L2634" t="s">
        <v>3946</v>
      </c>
      <c r="M2634" t="s">
        <v>5575</v>
      </c>
      <c r="P2634" t="s">
        <v>3324</v>
      </c>
    </row>
    <row r="2635" spans="1:16" x14ac:dyDescent="0.2">
      <c r="A2635" t="s">
        <v>2011</v>
      </c>
      <c r="B2635" t="s">
        <v>3327</v>
      </c>
      <c r="C2635" t="s">
        <v>3067</v>
      </c>
      <c r="D2635" t="s">
        <v>2307</v>
      </c>
      <c r="E2635">
        <v>98498</v>
      </c>
      <c r="F2635" t="s">
        <v>1573</v>
      </c>
      <c r="G2635" t="s">
        <v>1986</v>
      </c>
      <c r="H2635" t="s">
        <v>4818</v>
      </c>
      <c r="I2635">
        <v>47.121341000000001</v>
      </c>
      <c r="J2635">
        <v>-122.553997</v>
      </c>
      <c r="K2635" t="s">
        <v>3936</v>
      </c>
      <c r="L2635" t="s">
        <v>3946</v>
      </c>
      <c r="M2635" t="s">
        <v>5575</v>
      </c>
      <c r="P2635" t="s">
        <v>3327</v>
      </c>
    </row>
    <row r="2636" spans="1:16" x14ac:dyDescent="0.2">
      <c r="A2636" t="s">
        <v>5576</v>
      </c>
      <c r="B2636" t="s">
        <v>5636</v>
      </c>
      <c r="C2636" t="s">
        <v>3201</v>
      </c>
      <c r="D2636" t="s">
        <v>2307</v>
      </c>
      <c r="E2636">
        <v>98271</v>
      </c>
      <c r="F2636" t="s">
        <v>1573</v>
      </c>
      <c r="G2636" t="s">
        <v>5578</v>
      </c>
      <c r="H2636" t="s">
        <v>5637</v>
      </c>
      <c r="I2636">
        <v>48.148758999999998</v>
      </c>
      <c r="J2636">
        <v>-122.18907400000001</v>
      </c>
      <c r="K2636" t="s">
        <v>3936</v>
      </c>
      <c r="L2636" t="s">
        <v>3946</v>
      </c>
      <c r="M2636" t="s">
        <v>5575</v>
      </c>
      <c r="P2636" t="s">
        <v>5636</v>
      </c>
    </row>
    <row r="2637" spans="1:16" x14ac:dyDescent="0.2">
      <c r="A2637" t="s">
        <v>2011</v>
      </c>
      <c r="B2637" t="s">
        <v>3328</v>
      </c>
      <c r="C2637" t="s">
        <v>3329</v>
      </c>
      <c r="D2637" t="s">
        <v>2307</v>
      </c>
      <c r="E2637">
        <v>98223</v>
      </c>
      <c r="F2637" t="s">
        <v>1573</v>
      </c>
      <c r="G2637" t="s">
        <v>1986</v>
      </c>
      <c r="H2637" t="s">
        <v>4819</v>
      </c>
      <c r="I2637">
        <v>48.148961</v>
      </c>
      <c r="J2637">
        <v>-122.183064</v>
      </c>
      <c r="K2637" t="s">
        <v>3936</v>
      </c>
      <c r="L2637" t="s">
        <v>3946</v>
      </c>
      <c r="M2637" t="s">
        <v>5575</v>
      </c>
      <c r="P2637" t="s">
        <v>5789</v>
      </c>
    </row>
    <row r="2638" spans="1:16" x14ac:dyDescent="0.2">
      <c r="A2638" t="s">
        <v>2011</v>
      </c>
      <c r="B2638" t="s">
        <v>3330</v>
      </c>
      <c r="C2638" t="s">
        <v>3201</v>
      </c>
      <c r="D2638" t="s">
        <v>2307</v>
      </c>
      <c r="E2638">
        <v>98271</v>
      </c>
      <c r="F2638" t="s">
        <v>1573</v>
      </c>
      <c r="G2638" t="s">
        <v>1986</v>
      </c>
      <c r="H2638" t="s">
        <v>4820</v>
      </c>
      <c r="I2638">
        <v>48.151310000000002</v>
      </c>
      <c r="J2638">
        <v>-122.193701</v>
      </c>
      <c r="K2638" t="s">
        <v>3936</v>
      </c>
      <c r="L2638" t="s">
        <v>3946</v>
      </c>
      <c r="M2638" t="s">
        <v>5575</v>
      </c>
      <c r="P2638" t="s">
        <v>5790</v>
      </c>
    </row>
    <row r="2639" spans="1:16" x14ac:dyDescent="0.2">
      <c r="A2639" t="s">
        <v>3953</v>
      </c>
      <c r="B2639" t="s">
        <v>3331</v>
      </c>
      <c r="C2639" t="s">
        <v>3186</v>
      </c>
      <c r="D2639" t="s">
        <v>2307</v>
      </c>
      <c r="E2639">
        <v>98375</v>
      </c>
      <c r="F2639" t="s">
        <v>1600</v>
      </c>
      <c r="G2639" t="s">
        <v>2207</v>
      </c>
      <c r="H2639" t="s">
        <v>5143</v>
      </c>
      <c r="I2639">
        <v>47.099305000000001</v>
      </c>
      <c r="J2639">
        <v>-122.29372499999999</v>
      </c>
      <c r="K2639" t="s">
        <v>3936</v>
      </c>
      <c r="L2639" t="s">
        <v>3946</v>
      </c>
      <c r="M2639" t="s">
        <v>5575</v>
      </c>
      <c r="P2639" t="s">
        <v>3331</v>
      </c>
    </row>
    <row r="2640" spans="1:16" x14ac:dyDescent="0.2">
      <c r="A2640" t="s">
        <v>2048</v>
      </c>
      <c r="B2640" t="s">
        <v>3332</v>
      </c>
      <c r="C2640" t="s">
        <v>3329</v>
      </c>
      <c r="D2640" t="s">
        <v>2307</v>
      </c>
      <c r="E2640">
        <v>98223</v>
      </c>
      <c r="F2640" t="s">
        <v>1573</v>
      </c>
      <c r="G2640" t="s">
        <v>2014</v>
      </c>
      <c r="H2640" t="s">
        <v>4821</v>
      </c>
      <c r="I2640">
        <v>48.152555</v>
      </c>
      <c r="J2640">
        <v>-122.182221</v>
      </c>
      <c r="K2640" t="s">
        <v>3936</v>
      </c>
      <c r="L2640" t="s">
        <v>3946</v>
      </c>
      <c r="M2640" t="s">
        <v>5575</v>
      </c>
      <c r="P2640" t="s">
        <v>3332</v>
      </c>
    </row>
    <row r="2641" spans="1:16" x14ac:dyDescent="0.2">
      <c r="A2641" t="s">
        <v>2059</v>
      </c>
      <c r="B2641" t="s">
        <v>3333</v>
      </c>
      <c r="C2641" t="s">
        <v>3329</v>
      </c>
      <c r="D2641" t="s">
        <v>2307</v>
      </c>
      <c r="E2641">
        <v>98223</v>
      </c>
      <c r="F2641" t="s">
        <v>1600</v>
      </c>
      <c r="G2641" t="s">
        <v>2063</v>
      </c>
      <c r="H2641" t="s">
        <v>5638</v>
      </c>
      <c r="I2641">
        <v>48.152248999999998</v>
      </c>
      <c r="J2641">
        <v>-122.179384</v>
      </c>
      <c r="K2641" t="s">
        <v>3936</v>
      </c>
      <c r="L2641" t="s">
        <v>3946</v>
      </c>
      <c r="M2641" t="s">
        <v>5575</v>
      </c>
      <c r="P2641" t="s">
        <v>3333</v>
      </c>
    </row>
    <row r="2642" spans="1:16" x14ac:dyDescent="0.2">
      <c r="A2642" t="s">
        <v>2048</v>
      </c>
      <c r="B2642" t="s">
        <v>3334</v>
      </c>
      <c r="C2642" t="s">
        <v>3186</v>
      </c>
      <c r="D2642" t="s">
        <v>2307</v>
      </c>
      <c r="E2642">
        <v>98373</v>
      </c>
      <c r="F2642" t="s">
        <v>1573</v>
      </c>
      <c r="G2642" t="s">
        <v>2014</v>
      </c>
      <c r="H2642" t="s">
        <v>4822</v>
      </c>
      <c r="I2642">
        <v>47.095680000000002</v>
      </c>
      <c r="J2642">
        <v>-122.35630999999999</v>
      </c>
      <c r="K2642" t="s">
        <v>3936</v>
      </c>
      <c r="L2642" t="s">
        <v>3946</v>
      </c>
      <c r="M2642" t="s">
        <v>5575</v>
      </c>
      <c r="P2642" t="s">
        <v>3334</v>
      </c>
    </row>
    <row r="2643" spans="1:16" x14ac:dyDescent="0.2">
      <c r="A2643" t="s">
        <v>2292</v>
      </c>
      <c r="B2643" t="s">
        <v>3335</v>
      </c>
      <c r="C2643" t="s">
        <v>3329</v>
      </c>
      <c r="D2643" t="s">
        <v>2307</v>
      </c>
      <c r="E2643">
        <v>98223</v>
      </c>
      <c r="F2643" t="s">
        <v>1583</v>
      </c>
      <c r="G2643" t="s">
        <v>1980</v>
      </c>
      <c r="H2643" t="s">
        <v>4823</v>
      </c>
      <c r="I2643">
        <v>48.153387000000002</v>
      </c>
      <c r="J2643">
        <v>-122.18275</v>
      </c>
      <c r="K2643" t="s">
        <v>3936</v>
      </c>
      <c r="L2643" t="s">
        <v>3946</v>
      </c>
      <c r="M2643" t="s">
        <v>5575</v>
      </c>
      <c r="P2643" t="s">
        <v>3335</v>
      </c>
    </row>
    <row r="2644" spans="1:16" x14ac:dyDescent="0.2">
      <c r="A2644" t="s">
        <v>2007</v>
      </c>
      <c r="B2644" t="s">
        <v>3336</v>
      </c>
      <c r="C2644" t="s">
        <v>3329</v>
      </c>
      <c r="D2644" t="s">
        <v>2307</v>
      </c>
      <c r="E2644">
        <v>98223</v>
      </c>
      <c r="F2644" t="s">
        <v>1658</v>
      </c>
      <c r="G2644" t="s">
        <v>2066</v>
      </c>
      <c r="H2644" t="s">
        <v>5639</v>
      </c>
      <c r="I2644">
        <v>48.15484</v>
      </c>
      <c r="J2644">
        <v>-122.187319</v>
      </c>
      <c r="K2644" t="s">
        <v>3936</v>
      </c>
      <c r="L2644" t="s">
        <v>3946</v>
      </c>
      <c r="M2644" t="s">
        <v>5575</v>
      </c>
      <c r="P2644" t="s">
        <v>3336</v>
      </c>
    </row>
    <row r="2645" spans="1:16" x14ac:dyDescent="0.2">
      <c r="A2645" t="s">
        <v>2011</v>
      </c>
      <c r="B2645" t="s">
        <v>3337</v>
      </c>
      <c r="C2645" t="s">
        <v>3338</v>
      </c>
      <c r="D2645" t="s">
        <v>2307</v>
      </c>
      <c r="E2645">
        <v>98360</v>
      </c>
      <c r="F2645" t="s">
        <v>1573</v>
      </c>
      <c r="G2645" t="s">
        <v>1986</v>
      </c>
      <c r="H2645" t="s">
        <v>4824</v>
      </c>
      <c r="I2645">
        <v>47.098855999999998</v>
      </c>
      <c r="J2645">
        <v>-122.208827</v>
      </c>
      <c r="K2645" t="s">
        <v>3936</v>
      </c>
      <c r="L2645" t="s">
        <v>3946</v>
      </c>
      <c r="M2645" t="s">
        <v>5575</v>
      </c>
      <c r="P2645" t="s">
        <v>5743</v>
      </c>
    </row>
    <row r="2646" spans="1:16" x14ac:dyDescent="0.2">
      <c r="A2646" t="s">
        <v>3955</v>
      </c>
      <c r="B2646" t="s">
        <v>3340</v>
      </c>
      <c r="C2646" t="s">
        <v>3341</v>
      </c>
      <c r="D2646" t="s">
        <v>2307</v>
      </c>
      <c r="E2646">
        <v>98387</v>
      </c>
      <c r="F2646" t="s">
        <v>1658</v>
      </c>
      <c r="G2646" t="s">
        <v>2128</v>
      </c>
      <c r="H2646" t="s">
        <v>5641</v>
      </c>
      <c r="I2646">
        <v>47.094414999999998</v>
      </c>
      <c r="J2646">
        <v>-122.43478500000001</v>
      </c>
      <c r="K2646" t="s">
        <v>3936</v>
      </c>
      <c r="L2646" t="s">
        <v>3946</v>
      </c>
      <c r="M2646" t="s">
        <v>5575</v>
      </c>
      <c r="P2646" t="s">
        <v>3340</v>
      </c>
    </row>
    <row r="2647" spans="1:16" x14ac:dyDescent="0.2">
      <c r="A2647" t="s">
        <v>3952</v>
      </c>
      <c r="B2647" t="s">
        <v>3342</v>
      </c>
      <c r="C2647" t="s">
        <v>3186</v>
      </c>
      <c r="D2647" t="s">
        <v>2307</v>
      </c>
      <c r="E2647">
        <v>98375</v>
      </c>
      <c r="F2647" t="s">
        <v>1573</v>
      </c>
      <c r="G2647" t="s">
        <v>2014</v>
      </c>
      <c r="H2647" t="s">
        <v>4825</v>
      </c>
      <c r="I2647">
        <v>47.085410000000003</v>
      </c>
      <c r="J2647">
        <v>-122.29395700000001</v>
      </c>
      <c r="K2647" t="s">
        <v>3936</v>
      </c>
      <c r="L2647" t="s">
        <v>3946</v>
      </c>
      <c r="M2647" t="s">
        <v>5575</v>
      </c>
      <c r="P2647" t="s">
        <v>3342</v>
      </c>
    </row>
    <row r="2648" spans="1:16" x14ac:dyDescent="0.2">
      <c r="A2648" t="s">
        <v>2293</v>
      </c>
      <c r="B2648" t="s">
        <v>3343</v>
      </c>
      <c r="C2648" t="s">
        <v>3329</v>
      </c>
      <c r="D2648" t="s">
        <v>2307</v>
      </c>
      <c r="E2648">
        <v>98223</v>
      </c>
      <c r="F2648" t="s">
        <v>1583</v>
      </c>
      <c r="G2648" t="s">
        <v>1980</v>
      </c>
      <c r="H2648" t="s">
        <v>4826</v>
      </c>
      <c r="I2648">
        <v>48.167189999999998</v>
      </c>
      <c r="J2648">
        <v>-122.151787</v>
      </c>
      <c r="K2648" t="s">
        <v>3936</v>
      </c>
      <c r="L2648" t="s">
        <v>3946</v>
      </c>
      <c r="M2648" t="s">
        <v>5575</v>
      </c>
      <c r="P2648" t="s">
        <v>3343</v>
      </c>
    </row>
    <row r="2649" spans="1:16" x14ac:dyDescent="0.2">
      <c r="A2649" t="s">
        <v>2048</v>
      </c>
      <c r="B2649" t="s">
        <v>3346</v>
      </c>
      <c r="C2649" t="s">
        <v>3345</v>
      </c>
      <c r="D2649" t="s">
        <v>2307</v>
      </c>
      <c r="E2649">
        <v>98387</v>
      </c>
      <c r="F2649" t="s">
        <v>1573</v>
      </c>
      <c r="G2649" t="s">
        <v>2014</v>
      </c>
      <c r="H2649" t="s">
        <v>4828</v>
      </c>
      <c r="I2649">
        <v>47.074489999999997</v>
      </c>
      <c r="J2649">
        <v>-122.42304900000001</v>
      </c>
      <c r="K2649" t="s">
        <v>3936</v>
      </c>
      <c r="L2649" t="s">
        <v>3946</v>
      </c>
      <c r="M2649" t="s">
        <v>5575</v>
      </c>
      <c r="P2649" t="s">
        <v>3346</v>
      </c>
    </row>
    <row r="2650" spans="1:16" x14ac:dyDescent="0.2">
      <c r="A2650" t="s">
        <v>2059</v>
      </c>
      <c r="B2650" t="s">
        <v>3349</v>
      </c>
      <c r="C2650" t="s">
        <v>3345</v>
      </c>
      <c r="D2650" t="s">
        <v>2307</v>
      </c>
      <c r="E2650">
        <v>98387</v>
      </c>
      <c r="F2650" t="s">
        <v>1600</v>
      </c>
      <c r="G2650" t="s">
        <v>2135</v>
      </c>
      <c r="H2650" t="s">
        <v>5642</v>
      </c>
      <c r="I2650">
        <v>47.071050999999997</v>
      </c>
      <c r="J2650">
        <v>-122.41792</v>
      </c>
      <c r="K2650" t="s">
        <v>3936</v>
      </c>
      <c r="L2650" t="s">
        <v>3946</v>
      </c>
      <c r="M2650" t="s">
        <v>5575</v>
      </c>
      <c r="P2650" t="s">
        <v>3349</v>
      </c>
    </row>
    <row r="2651" spans="1:16" x14ac:dyDescent="0.2">
      <c r="A2651" t="s">
        <v>2011</v>
      </c>
      <c r="B2651" t="s">
        <v>3354</v>
      </c>
      <c r="C2651" t="s">
        <v>3355</v>
      </c>
      <c r="D2651" t="s">
        <v>2307</v>
      </c>
      <c r="E2651">
        <v>98327</v>
      </c>
      <c r="F2651" t="s">
        <v>1573</v>
      </c>
      <c r="G2651" t="s">
        <v>1986</v>
      </c>
      <c r="H2651" t="s">
        <v>4833</v>
      </c>
      <c r="I2651">
        <v>47.094594999999998</v>
      </c>
      <c r="J2651">
        <v>-122.623867</v>
      </c>
      <c r="K2651" t="s">
        <v>3936</v>
      </c>
      <c r="L2651" t="s">
        <v>3946</v>
      </c>
      <c r="M2651" t="s">
        <v>5575</v>
      </c>
      <c r="P2651" t="s">
        <v>3354</v>
      </c>
    </row>
    <row r="2652" spans="1:16" x14ac:dyDescent="0.2">
      <c r="A2652" t="s">
        <v>2011</v>
      </c>
      <c r="B2652" t="s">
        <v>6369</v>
      </c>
      <c r="C2652" t="s">
        <v>3329</v>
      </c>
      <c r="D2652" t="s">
        <v>2307</v>
      </c>
      <c r="E2652">
        <v>98223</v>
      </c>
      <c r="F2652" t="s">
        <v>1573</v>
      </c>
      <c r="G2652" t="s">
        <v>1986</v>
      </c>
      <c r="H2652" t="s">
        <v>4834</v>
      </c>
      <c r="I2652">
        <v>48.180959000000001</v>
      </c>
      <c r="J2652">
        <v>-122.12789100000001</v>
      </c>
      <c r="K2652" t="s">
        <v>3936</v>
      </c>
      <c r="L2652" t="s">
        <v>3946</v>
      </c>
      <c r="M2652" t="s">
        <v>5575</v>
      </c>
      <c r="P2652" t="s">
        <v>6180</v>
      </c>
    </row>
    <row r="2653" spans="1:16" x14ac:dyDescent="0.2">
      <c r="A2653" t="s">
        <v>2059</v>
      </c>
      <c r="B2653" t="s">
        <v>3356</v>
      </c>
      <c r="C2653" t="s">
        <v>3355</v>
      </c>
      <c r="D2653" t="s">
        <v>2307</v>
      </c>
      <c r="E2653">
        <v>98327</v>
      </c>
      <c r="F2653" t="s">
        <v>1573</v>
      </c>
      <c r="G2653" t="s">
        <v>2067</v>
      </c>
      <c r="H2653" t="s">
        <v>5307</v>
      </c>
      <c r="I2653">
        <v>47.093449</v>
      </c>
      <c r="J2653">
        <v>-122.644487</v>
      </c>
      <c r="K2653" t="s">
        <v>3936</v>
      </c>
      <c r="L2653" t="s">
        <v>3946</v>
      </c>
      <c r="M2653" t="s">
        <v>5575</v>
      </c>
      <c r="P2653" t="s">
        <v>3356</v>
      </c>
    </row>
    <row r="2654" spans="1:16" x14ac:dyDescent="0.2">
      <c r="A2654" t="s">
        <v>2011</v>
      </c>
      <c r="B2654" t="s">
        <v>3358</v>
      </c>
      <c r="C2654" t="s">
        <v>3355</v>
      </c>
      <c r="D2654" t="s">
        <v>2307</v>
      </c>
      <c r="E2654">
        <v>98327</v>
      </c>
      <c r="F2654" t="s">
        <v>1573</v>
      </c>
      <c r="G2654" t="s">
        <v>1986</v>
      </c>
      <c r="H2654" t="s">
        <v>4835</v>
      </c>
      <c r="I2654">
        <v>47.093245000000003</v>
      </c>
      <c r="J2654">
        <v>-122.644777</v>
      </c>
      <c r="K2654" t="s">
        <v>3936</v>
      </c>
      <c r="L2654" t="s">
        <v>3946</v>
      </c>
      <c r="M2654" t="s">
        <v>5575</v>
      </c>
      <c r="P2654" t="s">
        <v>6013</v>
      </c>
    </row>
    <row r="2655" spans="1:16" x14ac:dyDescent="0.2">
      <c r="A2655" t="s">
        <v>2007</v>
      </c>
      <c r="B2655" t="s">
        <v>3357</v>
      </c>
      <c r="C2655" t="s">
        <v>3355</v>
      </c>
      <c r="D2655" t="s">
        <v>2307</v>
      </c>
      <c r="E2655">
        <v>98327</v>
      </c>
      <c r="F2655" t="s">
        <v>1658</v>
      </c>
      <c r="G2655" t="s">
        <v>2066</v>
      </c>
      <c r="H2655" t="s">
        <v>5644</v>
      </c>
      <c r="I2655">
        <v>47.093245000000003</v>
      </c>
      <c r="J2655">
        <v>-122.644777</v>
      </c>
      <c r="K2655" t="s">
        <v>3936</v>
      </c>
      <c r="L2655" t="s">
        <v>3946</v>
      </c>
      <c r="M2655" t="s">
        <v>5575</v>
      </c>
      <c r="P2655" t="s">
        <v>3357</v>
      </c>
    </row>
    <row r="2656" spans="1:16" x14ac:dyDescent="0.2">
      <c r="A2656" t="s">
        <v>2011</v>
      </c>
      <c r="B2656" t="s">
        <v>3359</v>
      </c>
      <c r="C2656" t="s">
        <v>3345</v>
      </c>
      <c r="D2656" t="s">
        <v>2307</v>
      </c>
      <c r="E2656">
        <v>98387</v>
      </c>
      <c r="F2656" t="s">
        <v>1573</v>
      </c>
      <c r="G2656" t="s">
        <v>1986</v>
      </c>
      <c r="H2656" t="s">
        <v>4836</v>
      </c>
      <c r="I2656">
        <v>47.054893999999997</v>
      </c>
      <c r="J2656">
        <v>-122.39928399999999</v>
      </c>
      <c r="K2656" t="s">
        <v>3936</v>
      </c>
      <c r="L2656" t="s">
        <v>3946</v>
      </c>
      <c r="M2656" t="s">
        <v>5575</v>
      </c>
      <c r="P2656" t="s">
        <v>3359</v>
      </c>
    </row>
    <row r="2657" spans="1:16" x14ac:dyDescent="0.2">
      <c r="A2657" t="s">
        <v>2007</v>
      </c>
      <c r="B2657" t="s">
        <v>3360</v>
      </c>
      <c r="C2657" t="s">
        <v>3361</v>
      </c>
      <c r="D2657" t="s">
        <v>2307</v>
      </c>
      <c r="E2657">
        <v>98338</v>
      </c>
      <c r="F2657" t="s">
        <v>1658</v>
      </c>
      <c r="G2657" t="s">
        <v>2066</v>
      </c>
      <c r="H2657" t="s">
        <v>5308</v>
      </c>
      <c r="I2657">
        <v>47.053226000000002</v>
      </c>
      <c r="J2657">
        <v>-122.296237</v>
      </c>
      <c r="K2657" t="s">
        <v>3936</v>
      </c>
      <c r="L2657" t="s">
        <v>3946</v>
      </c>
      <c r="M2657" t="s">
        <v>5575</v>
      </c>
      <c r="P2657" t="s">
        <v>3360</v>
      </c>
    </row>
    <row r="2658" spans="1:16" x14ac:dyDescent="0.2">
      <c r="A2658" t="s">
        <v>2011</v>
      </c>
      <c r="B2658" t="s">
        <v>6370</v>
      </c>
      <c r="C2658" t="s">
        <v>3361</v>
      </c>
      <c r="D2658" t="s">
        <v>2307</v>
      </c>
      <c r="E2658">
        <v>98338</v>
      </c>
      <c r="F2658" t="s">
        <v>1573</v>
      </c>
      <c r="G2658" t="s">
        <v>1986</v>
      </c>
      <c r="H2658" t="s">
        <v>4838</v>
      </c>
      <c r="I2658">
        <v>47.034950000000002</v>
      </c>
      <c r="J2658">
        <v>-122.29580900000001</v>
      </c>
      <c r="K2658" t="s">
        <v>3936</v>
      </c>
      <c r="L2658" t="s">
        <v>3946</v>
      </c>
      <c r="M2658" t="s">
        <v>5575</v>
      </c>
      <c r="P2658" t="s">
        <v>6181</v>
      </c>
    </row>
    <row r="2659" spans="1:16" x14ac:dyDescent="0.2">
      <c r="A2659" t="s">
        <v>2011</v>
      </c>
      <c r="B2659" t="s">
        <v>3363</v>
      </c>
      <c r="C2659" t="s">
        <v>3364</v>
      </c>
      <c r="D2659" t="s">
        <v>2307</v>
      </c>
      <c r="E2659">
        <v>98292</v>
      </c>
      <c r="F2659" t="s">
        <v>1573</v>
      </c>
      <c r="G2659" t="s">
        <v>1986</v>
      </c>
      <c r="H2659" t="s">
        <v>4839</v>
      </c>
      <c r="I2659">
        <v>48.237127000000001</v>
      </c>
      <c r="J2659">
        <v>-122.32792999999999</v>
      </c>
      <c r="K2659" t="s">
        <v>3936</v>
      </c>
      <c r="L2659" t="s">
        <v>3946</v>
      </c>
      <c r="M2659" t="s">
        <v>5575</v>
      </c>
      <c r="P2659" t="s">
        <v>3363</v>
      </c>
    </row>
    <row r="2660" spans="1:16" x14ac:dyDescent="0.2">
      <c r="A2660" t="s">
        <v>2294</v>
      </c>
      <c r="B2660" t="s">
        <v>6218</v>
      </c>
      <c r="C2660" t="s">
        <v>3364</v>
      </c>
      <c r="D2660" t="s">
        <v>2307</v>
      </c>
      <c r="E2660">
        <v>98292</v>
      </c>
      <c r="F2660" t="s">
        <v>1583</v>
      </c>
      <c r="G2660" t="s">
        <v>1980</v>
      </c>
      <c r="H2660" t="s">
        <v>5343</v>
      </c>
      <c r="I2660">
        <v>48.238574999999997</v>
      </c>
      <c r="J2660">
        <v>-122.331639</v>
      </c>
      <c r="K2660" t="s">
        <v>3936</v>
      </c>
      <c r="L2660" t="s">
        <v>3946</v>
      </c>
      <c r="M2660" t="s">
        <v>5575</v>
      </c>
      <c r="P2660" t="s">
        <v>6019</v>
      </c>
    </row>
    <row r="2661" spans="1:16" x14ac:dyDescent="0.2">
      <c r="A2661" t="s">
        <v>3955</v>
      </c>
      <c r="B2661" t="s">
        <v>3365</v>
      </c>
      <c r="C2661" t="s">
        <v>3366</v>
      </c>
      <c r="D2661" t="s">
        <v>2307</v>
      </c>
      <c r="E2661">
        <v>98292</v>
      </c>
      <c r="F2661" t="s">
        <v>1658</v>
      </c>
      <c r="G2661" t="s">
        <v>2148</v>
      </c>
      <c r="H2661" t="s">
        <v>5645</v>
      </c>
      <c r="I2661">
        <v>48.240048999999999</v>
      </c>
      <c r="J2661">
        <v>-122.354552</v>
      </c>
      <c r="K2661" t="s">
        <v>3936</v>
      </c>
      <c r="L2661" t="s">
        <v>3946</v>
      </c>
      <c r="M2661" t="s">
        <v>5575</v>
      </c>
      <c r="P2661" t="s">
        <v>3365</v>
      </c>
    </row>
    <row r="2662" spans="1:16" x14ac:dyDescent="0.2">
      <c r="A2662" t="s">
        <v>2295</v>
      </c>
      <c r="B2662" t="s">
        <v>3367</v>
      </c>
      <c r="C2662" t="s">
        <v>3364</v>
      </c>
      <c r="D2662" t="s">
        <v>2307</v>
      </c>
      <c r="E2662">
        <v>98292</v>
      </c>
      <c r="F2662" t="s">
        <v>2090</v>
      </c>
      <c r="G2662" t="s">
        <v>1969</v>
      </c>
      <c r="H2662" t="s">
        <v>4840</v>
      </c>
      <c r="I2662">
        <v>48.240046</v>
      </c>
      <c r="J2662">
        <v>-122.352536</v>
      </c>
      <c r="K2662" t="s">
        <v>3936</v>
      </c>
      <c r="L2662" t="s">
        <v>3946</v>
      </c>
      <c r="M2662" t="s">
        <v>5575</v>
      </c>
      <c r="P2662" t="s">
        <v>3367</v>
      </c>
    </row>
    <row r="2663" spans="1:16" x14ac:dyDescent="0.2">
      <c r="A2663" t="s">
        <v>2296</v>
      </c>
      <c r="B2663" t="s">
        <v>3368</v>
      </c>
      <c r="C2663" t="s">
        <v>3364</v>
      </c>
      <c r="D2663" t="s">
        <v>2307</v>
      </c>
      <c r="E2663">
        <v>98292</v>
      </c>
      <c r="F2663" t="s">
        <v>1591</v>
      </c>
      <c r="G2663" t="s">
        <v>1969</v>
      </c>
      <c r="H2663" t="s">
        <v>4841</v>
      </c>
      <c r="I2663">
        <v>48.240299</v>
      </c>
      <c r="J2663">
        <v>-122.366348</v>
      </c>
      <c r="K2663" t="s">
        <v>3936</v>
      </c>
      <c r="L2663" t="s">
        <v>3946</v>
      </c>
      <c r="M2663" t="s">
        <v>5575</v>
      </c>
      <c r="P2663" t="s">
        <v>3368</v>
      </c>
    </row>
    <row r="2664" spans="1:16" x14ac:dyDescent="0.2">
      <c r="A2664" t="s">
        <v>2059</v>
      </c>
      <c r="B2664" t="s">
        <v>3369</v>
      </c>
      <c r="C2664" t="s">
        <v>3364</v>
      </c>
      <c r="D2664" t="s">
        <v>2307</v>
      </c>
      <c r="E2664">
        <v>98282</v>
      </c>
      <c r="F2664" t="s">
        <v>1600</v>
      </c>
      <c r="G2664" t="s">
        <v>2060</v>
      </c>
      <c r="H2664" t="s">
        <v>5646</v>
      </c>
      <c r="I2664">
        <v>48.240836000000002</v>
      </c>
      <c r="J2664">
        <v>-122.357602</v>
      </c>
      <c r="K2664" t="s">
        <v>3936</v>
      </c>
      <c r="L2664" t="s">
        <v>3946</v>
      </c>
      <c r="M2664" t="s">
        <v>5575</v>
      </c>
      <c r="P2664" t="s">
        <v>3369</v>
      </c>
    </row>
    <row r="2665" spans="1:16" x14ac:dyDescent="0.2">
      <c r="A2665" t="s">
        <v>2048</v>
      </c>
      <c r="B2665" t="s">
        <v>3370</v>
      </c>
      <c r="C2665" t="s">
        <v>3364</v>
      </c>
      <c r="D2665" t="s">
        <v>2307</v>
      </c>
      <c r="E2665">
        <v>98292</v>
      </c>
      <c r="F2665" t="s">
        <v>1573</v>
      </c>
      <c r="G2665" t="s">
        <v>2014</v>
      </c>
      <c r="H2665" t="s">
        <v>4842</v>
      </c>
      <c r="I2665">
        <v>48.241343999999998</v>
      </c>
      <c r="J2665">
        <v>-122.37438400000001</v>
      </c>
      <c r="K2665" t="s">
        <v>3936</v>
      </c>
      <c r="L2665" t="s">
        <v>3946</v>
      </c>
      <c r="M2665" t="s">
        <v>5575</v>
      </c>
      <c r="P2665" t="s">
        <v>3370</v>
      </c>
    </row>
    <row r="2666" spans="1:16" x14ac:dyDescent="0.2">
      <c r="A2666" t="s">
        <v>2297</v>
      </c>
      <c r="B2666" t="s">
        <v>3371</v>
      </c>
      <c r="C2666" t="s">
        <v>3364</v>
      </c>
      <c r="D2666" t="s">
        <v>2307</v>
      </c>
      <c r="E2666">
        <v>98292</v>
      </c>
      <c r="F2666" t="s">
        <v>1591</v>
      </c>
      <c r="G2666" t="s">
        <v>1969</v>
      </c>
      <c r="H2666" t="s">
        <v>4843</v>
      </c>
      <c r="I2666">
        <v>48.241385999999999</v>
      </c>
      <c r="J2666">
        <v>-122.366997</v>
      </c>
      <c r="K2666" t="s">
        <v>3936</v>
      </c>
      <c r="L2666" t="s">
        <v>3946</v>
      </c>
      <c r="M2666" t="s">
        <v>5575</v>
      </c>
      <c r="P2666" t="s">
        <v>3371</v>
      </c>
    </row>
    <row r="2667" spans="1:16" x14ac:dyDescent="0.2">
      <c r="A2667" t="s">
        <v>2261</v>
      </c>
      <c r="B2667" t="s">
        <v>3372</v>
      </c>
      <c r="C2667" t="s">
        <v>3364</v>
      </c>
      <c r="D2667" t="s">
        <v>2307</v>
      </c>
      <c r="E2667">
        <v>98292</v>
      </c>
      <c r="F2667" t="s">
        <v>1571</v>
      </c>
      <c r="G2667" t="s">
        <v>1987</v>
      </c>
      <c r="H2667" t="s">
        <v>5147</v>
      </c>
      <c r="I2667">
        <v>48.241796000000001</v>
      </c>
      <c r="J2667">
        <v>-122.370772</v>
      </c>
      <c r="K2667" t="s">
        <v>3936</v>
      </c>
      <c r="L2667" t="s">
        <v>3946</v>
      </c>
      <c r="M2667" t="s">
        <v>5575</v>
      </c>
      <c r="P2667" t="s">
        <v>3372</v>
      </c>
    </row>
    <row r="2668" spans="1:16" x14ac:dyDescent="0.2">
      <c r="A2668" t="s">
        <v>2011</v>
      </c>
      <c r="B2668" t="s">
        <v>3373</v>
      </c>
      <c r="C2668" t="s">
        <v>3374</v>
      </c>
      <c r="D2668" t="s">
        <v>2307</v>
      </c>
      <c r="E2668">
        <v>98584</v>
      </c>
      <c r="F2668" t="s">
        <v>1573</v>
      </c>
      <c r="G2668" t="s">
        <v>1986</v>
      </c>
      <c r="H2668" t="s">
        <v>4844</v>
      </c>
      <c r="I2668">
        <v>47.336041999999999</v>
      </c>
      <c r="J2668">
        <v>-123.16076</v>
      </c>
      <c r="K2668" t="s">
        <v>3936</v>
      </c>
      <c r="L2668" t="s">
        <v>3946</v>
      </c>
      <c r="M2668" t="s">
        <v>5575</v>
      </c>
      <c r="P2668" t="s">
        <v>3373</v>
      </c>
    </row>
    <row r="2669" spans="1:16" x14ac:dyDescent="0.2">
      <c r="A2669" t="s">
        <v>1686</v>
      </c>
      <c r="B2669" t="s">
        <v>3375</v>
      </c>
      <c r="C2669" t="s">
        <v>3376</v>
      </c>
      <c r="D2669" t="s">
        <v>2307</v>
      </c>
      <c r="E2669">
        <v>98516</v>
      </c>
      <c r="F2669" t="s">
        <v>1573</v>
      </c>
      <c r="G2669" t="s">
        <v>2136</v>
      </c>
      <c r="H2669" t="s">
        <v>4845</v>
      </c>
      <c r="I2669">
        <v>47.059403000000003</v>
      </c>
      <c r="J2669">
        <v>-122.764836</v>
      </c>
      <c r="K2669" t="s">
        <v>3936</v>
      </c>
      <c r="L2669" t="s">
        <v>3946</v>
      </c>
      <c r="M2669" t="s">
        <v>5575</v>
      </c>
      <c r="P2669" t="s">
        <v>3375</v>
      </c>
    </row>
    <row r="2670" spans="1:16" x14ac:dyDescent="0.2">
      <c r="A2670" t="s">
        <v>5576</v>
      </c>
      <c r="B2670" t="s">
        <v>5647</v>
      </c>
      <c r="C2670" t="s">
        <v>3376</v>
      </c>
      <c r="D2670" t="s">
        <v>2307</v>
      </c>
      <c r="E2670">
        <v>98516</v>
      </c>
      <c r="F2670" t="s">
        <v>1573</v>
      </c>
      <c r="G2670" t="s">
        <v>5584</v>
      </c>
      <c r="H2670" t="s">
        <v>5648</v>
      </c>
      <c r="I2670">
        <v>47.059046000000002</v>
      </c>
      <c r="J2670">
        <v>-122.764419</v>
      </c>
      <c r="K2670" t="s">
        <v>3936</v>
      </c>
      <c r="L2670" t="s">
        <v>3946</v>
      </c>
      <c r="M2670" t="s">
        <v>5575</v>
      </c>
      <c r="P2670" t="s">
        <v>5647</v>
      </c>
    </row>
    <row r="2671" spans="1:16" x14ac:dyDescent="0.2">
      <c r="A2671" t="s">
        <v>2011</v>
      </c>
      <c r="B2671" t="s">
        <v>3377</v>
      </c>
      <c r="C2671" t="s">
        <v>3378</v>
      </c>
      <c r="D2671" t="s">
        <v>2307</v>
      </c>
      <c r="E2671">
        <v>98516</v>
      </c>
      <c r="F2671" t="s">
        <v>1573</v>
      </c>
      <c r="G2671" t="s">
        <v>1986</v>
      </c>
      <c r="H2671" t="s">
        <v>4846</v>
      </c>
      <c r="I2671">
        <v>47.060070000000003</v>
      </c>
      <c r="J2671">
        <v>-122.769029</v>
      </c>
      <c r="K2671" t="s">
        <v>3936</v>
      </c>
      <c r="L2671" t="s">
        <v>3946</v>
      </c>
      <c r="M2671" t="s">
        <v>5575</v>
      </c>
      <c r="P2671" t="s">
        <v>3377</v>
      </c>
    </row>
    <row r="2672" spans="1:16" x14ac:dyDescent="0.2">
      <c r="A2672" t="s">
        <v>2059</v>
      </c>
      <c r="B2672" t="s">
        <v>3381</v>
      </c>
      <c r="C2672" t="s">
        <v>3376</v>
      </c>
      <c r="D2672" t="s">
        <v>2307</v>
      </c>
      <c r="E2672">
        <v>98516</v>
      </c>
      <c r="F2672" t="s">
        <v>1573</v>
      </c>
      <c r="G2672" t="s">
        <v>2067</v>
      </c>
      <c r="H2672" t="s">
        <v>5649</v>
      </c>
      <c r="I2672">
        <v>47.056170000000002</v>
      </c>
      <c r="J2672">
        <v>-122.766688</v>
      </c>
      <c r="K2672" t="s">
        <v>3936</v>
      </c>
      <c r="L2672" t="s">
        <v>3946</v>
      </c>
      <c r="M2672" t="s">
        <v>5575</v>
      </c>
      <c r="P2672" t="s">
        <v>3381</v>
      </c>
    </row>
    <row r="2673" spans="1:16" x14ac:dyDescent="0.2">
      <c r="A2673" t="s">
        <v>2298</v>
      </c>
      <c r="B2673" t="s">
        <v>3382</v>
      </c>
      <c r="C2673" t="s">
        <v>3383</v>
      </c>
      <c r="D2673" t="s">
        <v>2307</v>
      </c>
      <c r="E2673">
        <v>98516</v>
      </c>
      <c r="F2673" t="s">
        <v>1583</v>
      </c>
      <c r="G2673" t="s">
        <v>1980</v>
      </c>
      <c r="H2673" t="s">
        <v>4848</v>
      </c>
      <c r="I2673">
        <v>47.052563999999997</v>
      </c>
      <c r="J2673">
        <v>-122.78473</v>
      </c>
      <c r="K2673" t="s">
        <v>3936</v>
      </c>
      <c r="L2673" t="s">
        <v>3946</v>
      </c>
      <c r="M2673" t="s">
        <v>5575</v>
      </c>
      <c r="P2673" t="s">
        <v>3382</v>
      </c>
    </row>
    <row r="2674" spans="1:16" x14ac:dyDescent="0.2">
      <c r="A2674" t="s">
        <v>3955</v>
      </c>
      <c r="B2674" t="s">
        <v>3384</v>
      </c>
      <c r="C2674" t="s">
        <v>3385</v>
      </c>
      <c r="D2674" t="s">
        <v>2307</v>
      </c>
      <c r="E2674">
        <v>98584</v>
      </c>
      <c r="F2674" t="s">
        <v>1658</v>
      </c>
      <c r="G2674" t="s">
        <v>2148</v>
      </c>
      <c r="H2674" t="s">
        <v>5309</v>
      </c>
      <c r="I2674">
        <v>47.213881999999998</v>
      </c>
      <c r="J2674">
        <v>-123.10011299999999</v>
      </c>
      <c r="K2674" t="s">
        <v>3936</v>
      </c>
      <c r="L2674" t="s">
        <v>3946</v>
      </c>
      <c r="M2674" t="s">
        <v>5575</v>
      </c>
      <c r="P2674" t="s">
        <v>3384</v>
      </c>
    </row>
    <row r="2675" spans="1:16" x14ac:dyDescent="0.2">
      <c r="A2675" t="s">
        <v>2007</v>
      </c>
      <c r="B2675" t="s">
        <v>3386</v>
      </c>
      <c r="C2675" t="s">
        <v>3374</v>
      </c>
      <c r="D2675" t="s">
        <v>2307</v>
      </c>
      <c r="E2675">
        <v>98584</v>
      </c>
      <c r="F2675" t="s">
        <v>1658</v>
      </c>
      <c r="G2675" t="s">
        <v>2008</v>
      </c>
      <c r="H2675" t="s">
        <v>5650</v>
      </c>
      <c r="I2675">
        <v>47.213096</v>
      </c>
      <c r="J2675">
        <v>-123.099862</v>
      </c>
      <c r="K2675" t="s">
        <v>3936</v>
      </c>
      <c r="L2675" t="s">
        <v>3946</v>
      </c>
      <c r="M2675" t="s">
        <v>5575</v>
      </c>
      <c r="P2675" t="s">
        <v>3386</v>
      </c>
    </row>
    <row r="2676" spans="1:16" x14ac:dyDescent="0.2">
      <c r="A2676" t="s">
        <v>2048</v>
      </c>
      <c r="B2676" t="s">
        <v>3387</v>
      </c>
      <c r="C2676" t="s">
        <v>3374</v>
      </c>
      <c r="D2676" t="s">
        <v>2307</v>
      </c>
      <c r="E2676">
        <v>98584</v>
      </c>
      <c r="F2676" t="s">
        <v>1573</v>
      </c>
      <c r="G2676" t="s">
        <v>2014</v>
      </c>
      <c r="H2676" t="s">
        <v>4849</v>
      </c>
      <c r="I2676">
        <v>47.231347</v>
      </c>
      <c r="J2676">
        <v>-123.127645</v>
      </c>
      <c r="K2676" t="s">
        <v>3936</v>
      </c>
      <c r="L2676" t="s">
        <v>3946</v>
      </c>
      <c r="M2676" t="s">
        <v>5575</v>
      </c>
      <c r="P2676" t="s">
        <v>3387</v>
      </c>
    </row>
    <row r="2677" spans="1:16" x14ac:dyDescent="0.2">
      <c r="A2677" t="s">
        <v>2059</v>
      </c>
      <c r="B2677" t="s">
        <v>3388</v>
      </c>
      <c r="C2677" t="s">
        <v>3374</v>
      </c>
      <c r="D2677" t="s">
        <v>2307</v>
      </c>
      <c r="E2677">
        <v>98584</v>
      </c>
      <c r="F2677" t="s">
        <v>1600</v>
      </c>
      <c r="G2677" t="s">
        <v>2135</v>
      </c>
      <c r="H2677" t="s">
        <v>5651</v>
      </c>
      <c r="I2677">
        <v>47.228831</v>
      </c>
      <c r="J2677">
        <v>-123.125989</v>
      </c>
      <c r="K2677" t="s">
        <v>3936</v>
      </c>
      <c r="L2677" t="s">
        <v>3946</v>
      </c>
      <c r="M2677" t="s">
        <v>5575</v>
      </c>
      <c r="P2677" t="s">
        <v>3388</v>
      </c>
    </row>
    <row r="2678" spans="1:16" x14ac:dyDescent="0.2">
      <c r="A2678" t="s">
        <v>3952</v>
      </c>
      <c r="B2678" t="s">
        <v>3389</v>
      </c>
      <c r="C2678" t="s">
        <v>3374</v>
      </c>
      <c r="D2678" t="s">
        <v>2307</v>
      </c>
      <c r="E2678">
        <v>98584</v>
      </c>
      <c r="F2678" t="s">
        <v>1573</v>
      </c>
      <c r="G2678" t="s">
        <v>2014</v>
      </c>
      <c r="H2678" t="s">
        <v>4850</v>
      </c>
      <c r="I2678">
        <v>47.207264000000002</v>
      </c>
      <c r="J2678">
        <v>-123.101243</v>
      </c>
      <c r="K2678" t="s">
        <v>3936</v>
      </c>
      <c r="L2678" t="s">
        <v>3946</v>
      </c>
      <c r="M2678" t="s">
        <v>5575</v>
      </c>
      <c r="P2678" t="s">
        <v>3389</v>
      </c>
    </row>
    <row r="2679" spans="1:16" x14ac:dyDescent="0.2">
      <c r="A2679" t="s">
        <v>2011</v>
      </c>
      <c r="B2679" t="s">
        <v>3390</v>
      </c>
      <c r="C2679" t="s">
        <v>3383</v>
      </c>
      <c r="D2679" t="s">
        <v>2307</v>
      </c>
      <c r="E2679">
        <v>98513</v>
      </c>
      <c r="F2679" t="s">
        <v>1573</v>
      </c>
      <c r="G2679" t="s">
        <v>1986</v>
      </c>
      <c r="H2679" t="s">
        <v>4851</v>
      </c>
      <c r="I2679">
        <v>47.001114000000001</v>
      </c>
      <c r="J2679">
        <v>-122.668554</v>
      </c>
      <c r="K2679" t="s">
        <v>3936</v>
      </c>
      <c r="L2679" t="s">
        <v>3946</v>
      </c>
      <c r="M2679" t="s">
        <v>5575</v>
      </c>
      <c r="P2679" t="s">
        <v>3390</v>
      </c>
    </row>
    <row r="2680" spans="1:16" x14ac:dyDescent="0.2">
      <c r="A2680" t="s">
        <v>2011</v>
      </c>
      <c r="B2680" t="s">
        <v>3391</v>
      </c>
      <c r="C2680" t="s">
        <v>3374</v>
      </c>
      <c r="D2680" t="s">
        <v>2307</v>
      </c>
      <c r="E2680">
        <v>98584</v>
      </c>
      <c r="F2680" t="s">
        <v>1573</v>
      </c>
      <c r="G2680" t="s">
        <v>1986</v>
      </c>
      <c r="H2680" t="s">
        <v>4852</v>
      </c>
      <c r="I2680">
        <v>47.222971000000001</v>
      </c>
      <c r="J2680">
        <v>-123.121353</v>
      </c>
      <c r="K2680" t="s">
        <v>3936</v>
      </c>
      <c r="L2680" t="s">
        <v>3946</v>
      </c>
      <c r="M2680" t="s">
        <v>5575</v>
      </c>
      <c r="P2680" t="s">
        <v>5792</v>
      </c>
    </row>
    <row r="2681" spans="1:16" x14ac:dyDescent="0.2">
      <c r="A2681" t="s">
        <v>3954</v>
      </c>
      <c r="B2681" t="s">
        <v>3392</v>
      </c>
      <c r="C2681" t="s">
        <v>3374</v>
      </c>
      <c r="D2681" t="s">
        <v>2307</v>
      </c>
      <c r="E2681">
        <v>98584</v>
      </c>
      <c r="F2681" t="s">
        <v>1600</v>
      </c>
      <c r="G2681" t="s">
        <v>2159</v>
      </c>
      <c r="H2681" t="s">
        <v>5652</v>
      </c>
      <c r="I2681">
        <v>47.219563999999998</v>
      </c>
      <c r="J2681">
        <v>-123.118645</v>
      </c>
      <c r="K2681" t="s">
        <v>3936</v>
      </c>
      <c r="L2681" t="s">
        <v>3946</v>
      </c>
      <c r="M2681" t="s">
        <v>5575</v>
      </c>
      <c r="P2681" t="s">
        <v>3392</v>
      </c>
    </row>
    <row r="2682" spans="1:16" x14ac:dyDescent="0.2">
      <c r="A2682" t="s">
        <v>2048</v>
      </c>
      <c r="B2682" t="s">
        <v>3394</v>
      </c>
      <c r="C2682" t="s">
        <v>3376</v>
      </c>
      <c r="D2682" t="s">
        <v>2307</v>
      </c>
      <c r="E2682">
        <v>98503</v>
      </c>
      <c r="F2682" t="s">
        <v>1573</v>
      </c>
      <c r="G2682" t="s">
        <v>2014</v>
      </c>
      <c r="H2682" t="s">
        <v>4854</v>
      </c>
      <c r="I2682">
        <v>47.047879000000002</v>
      </c>
      <c r="J2682">
        <v>-122.83359400000001</v>
      </c>
      <c r="K2682" t="s">
        <v>3936</v>
      </c>
      <c r="L2682" t="s">
        <v>3946</v>
      </c>
      <c r="M2682" t="s">
        <v>5575</v>
      </c>
      <c r="P2682" t="s">
        <v>3394</v>
      </c>
    </row>
    <row r="2683" spans="1:16" x14ac:dyDescent="0.2">
      <c r="A2683" t="s">
        <v>2059</v>
      </c>
      <c r="B2683" t="s">
        <v>3395</v>
      </c>
      <c r="C2683" t="s">
        <v>3376</v>
      </c>
      <c r="D2683" t="s">
        <v>2307</v>
      </c>
      <c r="E2683">
        <v>98506</v>
      </c>
      <c r="F2683" t="s">
        <v>1600</v>
      </c>
      <c r="G2683" t="s">
        <v>2135</v>
      </c>
      <c r="H2683" t="s">
        <v>5653</v>
      </c>
      <c r="I2683">
        <v>47.047972999999999</v>
      </c>
      <c r="J2683">
        <v>-122.835544</v>
      </c>
      <c r="K2683" t="s">
        <v>3936</v>
      </c>
      <c r="L2683" t="s">
        <v>3946</v>
      </c>
      <c r="M2683" t="s">
        <v>5575</v>
      </c>
      <c r="P2683" t="s">
        <v>3395</v>
      </c>
    </row>
    <row r="2684" spans="1:16" x14ac:dyDescent="0.2">
      <c r="A2684" t="s">
        <v>2007</v>
      </c>
      <c r="B2684" t="s">
        <v>3396</v>
      </c>
      <c r="C2684" t="s">
        <v>3376</v>
      </c>
      <c r="D2684" t="s">
        <v>2307</v>
      </c>
      <c r="E2684">
        <v>98503</v>
      </c>
      <c r="F2684" t="s">
        <v>1658</v>
      </c>
      <c r="G2684" t="s">
        <v>2008</v>
      </c>
      <c r="H2684" t="s">
        <v>5310</v>
      </c>
      <c r="I2684">
        <v>47.037094000000003</v>
      </c>
      <c r="J2684">
        <v>-122.807328</v>
      </c>
      <c r="K2684" t="s">
        <v>3936</v>
      </c>
      <c r="L2684" t="s">
        <v>3946</v>
      </c>
      <c r="M2684" t="s">
        <v>5575</v>
      </c>
      <c r="P2684" t="s">
        <v>3396</v>
      </c>
    </row>
    <row r="2685" spans="1:16" x14ac:dyDescent="0.2">
      <c r="A2685" t="s">
        <v>2011</v>
      </c>
      <c r="B2685" t="s">
        <v>3397</v>
      </c>
      <c r="C2685" t="s">
        <v>3383</v>
      </c>
      <c r="D2685" t="s">
        <v>2307</v>
      </c>
      <c r="E2685">
        <v>98506</v>
      </c>
      <c r="F2685" t="s">
        <v>1573</v>
      </c>
      <c r="G2685" t="s">
        <v>1986</v>
      </c>
      <c r="H2685" t="s">
        <v>4855</v>
      </c>
      <c r="I2685">
        <v>47.047576999999997</v>
      </c>
      <c r="J2685">
        <v>-122.837284</v>
      </c>
      <c r="K2685" t="s">
        <v>3936</v>
      </c>
      <c r="L2685" t="s">
        <v>3946</v>
      </c>
      <c r="M2685" t="s">
        <v>5575</v>
      </c>
      <c r="P2685" t="s">
        <v>3397</v>
      </c>
    </row>
    <row r="2686" spans="1:16" x14ac:dyDescent="0.2">
      <c r="A2686" t="s">
        <v>2011</v>
      </c>
      <c r="B2686" t="s">
        <v>6371</v>
      </c>
      <c r="C2686" t="s">
        <v>3376</v>
      </c>
      <c r="D2686" t="s">
        <v>2307</v>
      </c>
      <c r="E2686">
        <v>98503</v>
      </c>
      <c r="F2686" t="s">
        <v>1573</v>
      </c>
      <c r="G2686" t="s">
        <v>1986</v>
      </c>
      <c r="H2686" t="s">
        <v>4856</v>
      </c>
      <c r="I2686">
        <v>47.040042</v>
      </c>
      <c r="J2686">
        <v>-122.823374</v>
      </c>
      <c r="K2686" t="s">
        <v>3936</v>
      </c>
      <c r="L2686" t="s">
        <v>3946</v>
      </c>
      <c r="M2686" t="s">
        <v>5575</v>
      </c>
      <c r="P2686" t="s">
        <v>6182</v>
      </c>
    </row>
    <row r="2687" spans="1:16" x14ac:dyDescent="0.2">
      <c r="A2687" t="s">
        <v>3955</v>
      </c>
      <c r="B2687" t="s">
        <v>3398</v>
      </c>
      <c r="C2687" t="s">
        <v>3399</v>
      </c>
      <c r="D2687" t="s">
        <v>2307</v>
      </c>
      <c r="E2687">
        <v>98501</v>
      </c>
      <c r="F2687" t="s">
        <v>1658</v>
      </c>
      <c r="G2687" t="s">
        <v>2128</v>
      </c>
      <c r="H2687" t="s">
        <v>5311</v>
      </c>
      <c r="I2687">
        <v>47.043795000000003</v>
      </c>
      <c r="J2687">
        <v>-122.844504</v>
      </c>
      <c r="K2687" t="s">
        <v>3936</v>
      </c>
      <c r="L2687" t="s">
        <v>3946</v>
      </c>
      <c r="M2687" t="s">
        <v>5575</v>
      </c>
      <c r="P2687" t="s">
        <v>3398</v>
      </c>
    </row>
    <row r="2688" spans="1:16" x14ac:dyDescent="0.2">
      <c r="A2688" t="s">
        <v>2011</v>
      </c>
      <c r="B2688" t="s">
        <v>3400</v>
      </c>
      <c r="C2688" t="s">
        <v>3383</v>
      </c>
      <c r="D2688" t="s">
        <v>2307</v>
      </c>
      <c r="E2688">
        <v>98501</v>
      </c>
      <c r="F2688" t="s">
        <v>1573</v>
      </c>
      <c r="G2688" t="s">
        <v>1986</v>
      </c>
      <c r="H2688" t="s">
        <v>4857</v>
      </c>
      <c r="I2688">
        <v>47.041896000000001</v>
      </c>
      <c r="J2688">
        <v>-122.847724</v>
      </c>
      <c r="K2688" t="s">
        <v>3936</v>
      </c>
      <c r="L2688" t="s">
        <v>3946</v>
      </c>
      <c r="M2688" t="s">
        <v>5575</v>
      </c>
      <c r="P2688" t="s">
        <v>3400</v>
      </c>
    </row>
    <row r="2689" spans="1:16" x14ac:dyDescent="0.2">
      <c r="A2689" t="s">
        <v>2299</v>
      </c>
      <c r="B2689" t="s">
        <v>3401</v>
      </c>
      <c r="C2689" t="s">
        <v>3402</v>
      </c>
      <c r="D2689" t="s">
        <v>2307</v>
      </c>
      <c r="E2689">
        <v>98382</v>
      </c>
      <c r="F2689" t="s">
        <v>2035</v>
      </c>
      <c r="G2689" t="s">
        <v>2005</v>
      </c>
      <c r="H2689" t="s">
        <v>4858</v>
      </c>
      <c r="I2689">
        <v>48.079954000000001</v>
      </c>
      <c r="J2689">
        <v>-123.102131</v>
      </c>
      <c r="K2689" t="s">
        <v>3936</v>
      </c>
      <c r="L2689" t="s">
        <v>3946</v>
      </c>
      <c r="M2689" t="s">
        <v>5575</v>
      </c>
      <c r="P2689" t="s">
        <v>3401</v>
      </c>
    </row>
    <row r="2690" spans="1:16" x14ac:dyDescent="0.2">
      <c r="A2690" t="s">
        <v>2011</v>
      </c>
      <c r="B2690" t="s">
        <v>3403</v>
      </c>
      <c r="C2690" t="s">
        <v>3383</v>
      </c>
      <c r="D2690" t="s">
        <v>2307</v>
      </c>
      <c r="E2690">
        <v>98506</v>
      </c>
      <c r="F2690" t="s">
        <v>1573</v>
      </c>
      <c r="G2690" t="s">
        <v>1986</v>
      </c>
      <c r="H2690" t="s">
        <v>4859</v>
      </c>
      <c r="I2690">
        <v>47.046159000000003</v>
      </c>
      <c r="J2690">
        <v>-122.875756</v>
      </c>
      <c r="K2690" t="s">
        <v>3936</v>
      </c>
      <c r="L2690" t="s">
        <v>3946</v>
      </c>
      <c r="M2690" t="s">
        <v>5575</v>
      </c>
      <c r="P2690" t="s">
        <v>3403</v>
      </c>
    </row>
    <row r="2691" spans="1:16" x14ac:dyDescent="0.2">
      <c r="A2691" t="s">
        <v>2011</v>
      </c>
      <c r="B2691" t="s">
        <v>3404</v>
      </c>
      <c r="C2691" t="s">
        <v>3402</v>
      </c>
      <c r="D2691" t="s">
        <v>2307</v>
      </c>
      <c r="E2691">
        <v>98382</v>
      </c>
      <c r="F2691" t="s">
        <v>1573</v>
      </c>
      <c r="G2691" t="s">
        <v>1986</v>
      </c>
      <c r="H2691" t="s">
        <v>4860</v>
      </c>
      <c r="I2691">
        <v>48.07987</v>
      </c>
      <c r="J2691">
        <v>-123.11761799999999</v>
      </c>
      <c r="K2691" t="s">
        <v>3936</v>
      </c>
      <c r="L2691" t="s">
        <v>3946</v>
      </c>
      <c r="M2691" t="s">
        <v>5575</v>
      </c>
      <c r="P2691" t="s">
        <v>3404</v>
      </c>
    </row>
    <row r="2692" spans="1:16" x14ac:dyDescent="0.2">
      <c r="A2692" t="s">
        <v>3955</v>
      </c>
      <c r="B2692" t="s">
        <v>3405</v>
      </c>
      <c r="C2692" t="s">
        <v>3406</v>
      </c>
      <c r="D2692" t="s">
        <v>2307</v>
      </c>
      <c r="E2692">
        <v>98382</v>
      </c>
      <c r="F2692" t="s">
        <v>1658</v>
      </c>
      <c r="G2692" t="s">
        <v>2148</v>
      </c>
      <c r="H2692" t="s">
        <v>5654</v>
      </c>
      <c r="I2692">
        <v>48.079836</v>
      </c>
      <c r="J2692">
        <v>-123.119243</v>
      </c>
      <c r="K2692" t="s">
        <v>3936</v>
      </c>
      <c r="L2692" t="s">
        <v>3946</v>
      </c>
      <c r="M2692" t="s">
        <v>5575</v>
      </c>
      <c r="P2692" t="s">
        <v>3405</v>
      </c>
    </row>
    <row r="2693" spans="1:16" x14ac:dyDescent="0.2">
      <c r="A2693" t="s">
        <v>2007</v>
      </c>
      <c r="B2693" t="s">
        <v>3407</v>
      </c>
      <c r="C2693" t="s">
        <v>3402</v>
      </c>
      <c r="D2693" t="s">
        <v>2307</v>
      </c>
      <c r="E2693">
        <v>98382</v>
      </c>
      <c r="F2693" t="s">
        <v>1658</v>
      </c>
      <c r="G2693" t="s">
        <v>2066</v>
      </c>
      <c r="H2693" t="s">
        <v>5017</v>
      </c>
      <c r="I2693">
        <v>48.079487999999998</v>
      </c>
      <c r="J2693">
        <v>-123.119957</v>
      </c>
      <c r="K2693" t="s">
        <v>3936</v>
      </c>
      <c r="L2693" t="s">
        <v>3946</v>
      </c>
      <c r="M2693" t="s">
        <v>5575</v>
      </c>
      <c r="P2693" t="s">
        <v>3407</v>
      </c>
    </row>
    <row r="2694" spans="1:16" x14ac:dyDescent="0.2">
      <c r="A2694" t="s">
        <v>2300</v>
      </c>
      <c r="B2694" t="s">
        <v>3408</v>
      </c>
      <c r="C2694" t="s">
        <v>3409</v>
      </c>
      <c r="D2694" t="s">
        <v>2307</v>
      </c>
      <c r="E2694">
        <v>98277</v>
      </c>
      <c r="F2694" t="s">
        <v>1583</v>
      </c>
      <c r="G2694" t="s">
        <v>1980</v>
      </c>
      <c r="H2694" t="s">
        <v>5170</v>
      </c>
      <c r="I2694">
        <v>48.288727999999999</v>
      </c>
      <c r="J2694">
        <v>-122.648859</v>
      </c>
      <c r="K2694" t="s">
        <v>3936</v>
      </c>
      <c r="L2694" t="s">
        <v>3946</v>
      </c>
      <c r="M2694" t="s">
        <v>5575</v>
      </c>
      <c r="P2694" t="s">
        <v>5677</v>
      </c>
    </row>
    <row r="2695" spans="1:16" x14ac:dyDescent="0.2">
      <c r="A2695" t="s">
        <v>2301</v>
      </c>
      <c r="B2695" t="s">
        <v>3410</v>
      </c>
      <c r="C2695" t="s">
        <v>3409</v>
      </c>
      <c r="D2695" t="s">
        <v>2307</v>
      </c>
      <c r="E2695">
        <v>98277</v>
      </c>
      <c r="F2695" t="s">
        <v>1583</v>
      </c>
      <c r="G2695" t="s">
        <v>1980</v>
      </c>
      <c r="H2695" t="s">
        <v>4961</v>
      </c>
      <c r="I2695">
        <v>48.289174000000003</v>
      </c>
      <c r="J2695">
        <v>-122.64856</v>
      </c>
      <c r="K2695" t="s">
        <v>3936</v>
      </c>
      <c r="L2695" t="s">
        <v>3946</v>
      </c>
      <c r="M2695" t="s">
        <v>5575</v>
      </c>
      <c r="P2695" t="s">
        <v>5676</v>
      </c>
    </row>
    <row r="2696" spans="1:16" x14ac:dyDescent="0.2">
      <c r="A2696" t="s">
        <v>2302</v>
      </c>
      <c r="B2696" t="s">
        <v>3411</v>
      </c>
      <c r="C2696" t="s">
        <v>3409</v>
      </c>
      <c r="D2696" t="s">
        <v>2307</v>
      </c>
      <c r="E2696">
        <v>98277</v>
      </c>
      <c r="F2696" t="s">
        <v>2213</v>
      </c>
      <c r="G2696" t="s">
        <v>1969</v>
      </c>
      <c r="H2696" t="s">
        <v>4861</v>
      </c>
      <c r="I2696">
        <v>48.289152000000001</v>
      </c>
      <c r="J2696">
        <v>-122.647474</v>
      </c>
      <c r="K2696" t="s">
        <v>3936</v>
      </c>
      <c r="L2696" t="s">
        <v>3946</v>
      </c>
      <c r="M2696" t="s">
        <v>5575</v>
      </c>
      <c r="P2696" t="s">
        <v>3411</v>
      </c>
    </row>
    <row r="2697" spans="1:16" x14ac:dyDescent="0.2">
      <c r="A2697" t="s">
        <v>3955</v>
      </c>
      <c r="B2697" t="s">
        <v>3412</v>
      </c>
      <c r="C2697" t="s">
        <v>3413</v>
      </c>
      <c r="D2697" t="s">
        <v>2307</v>
      </c>
      <c r="E2697">
        <v>98277</v>
      </c>
      <c r="F2697" t="s">
        <v>1658</v>
      </c>
      <c r="G2697" t="s">
        <v>2148</v>
      </c>
      <c r="H2697" t="s">
        <v>5312</v>
      </c>
      <c r="I2697">
        <v>48.287891000000002</v>
      </c>
      <c r="J2697">
        <v>-122.65961900000001</v>
      </c>
      <c r="K2697" t="s">
        <v>3936</v>
      </c>
      <c r="L2697" t="s">
        <v>3946</v>
      </c>
      <c r="M2697" t="s">
        <v>5575</v>
      </c>
      <c r="P2697" t="s">
        <v>3412</v>
      </c>
    </row>
    <row r="2698" spans="1:16" x14ac:dyDescent="0.2">
      <c r="A2698" t="s">
        <v>2011</v>
      </c>
      <c r="B2698" t="s">
        <v>3414</v>
      </c>
      <c r="C2698" t="s">
        <v>3409</v>
      </c>
      <c r="D2698" t="s">
        <v>2307</v>
      </c>
      <c r="E2698">
        <v>98277</v>
      </c>
      <c r="F2698" t="s">
        <v>1573</v>
      </c>
      <c r="G2698" t="s">
        <v>1986</v>
      </c>
      <c r="H2698" t="s">
        <v>4862</v>
      </c>
      <c r="I2698">
        <v>48.287728999999999</v>
      </c>
      <c r="J2698">
        <v>-122.662882</v>
      </c>
      <c r="K2698" t="s">
        <v>3936</v>
      </c>
      <c r="L2698" t="s">
        <v>3946</v>
      </c>
      <c r="M2698" t="s">
        <v>5575</v>
      </c>
      <c r="P2698" t="s">
        <v>3414</v>
      </c>
    </row>
    <row r="2699" spans="1:16" x14ac:dyDescent="0.2">
      <c r="A2699" t="s">
        <v>2011</v>
      </c>
      <c r="B2699" t="s">
        <v>3415</v>
      </c>
      <c r="C2699" t="s">
        <v>3383</v>
      </c>
      <c r="D2699" t="s">
        <v>2307</v>
      </c>
      <c r="E2699">
        <v>98501</v>
      </c>
      <c r="F2699" t="s">
        <v>1573</v>
      </c>
      <c r="G2699" t="s">
        <v>1986</v>
      </c>
      <c r="H2699" t="s">
        <v>4863</v>
      </c>
      <c r="I2699">
        <v>47.045777999999999</v>
      </c>
      <c r="J2699">
        <v>-122.890956</v>
      </c>
      <c r="K2699" t="s">
        <v>3936</v>
      </c>
      <c r="L2699" t="s">
        <v>3946</v>
      </c>
      <c r="M2699" t="s">
        <v>5575</v>
      </c>
      <c r="P2699" t="s">
        <v>3415</v>
      </c>
    </row>
    <row r="2700" spans="1:16" x14ac:dyDescent="0.2">
      <c r="A2700" t="s">
        <v>2059</v>
      </c>
      <c r="B2700" t="s">
        <v>3416</v>
      </c>
      <c r="C2700" t="s">
        <v>3383</v>
      </c>
      <c r="D2700" t="s">
        <v>2307</v>
      </c>
      <c r="E2700">
        <v>98501</v>
      </c>
      <c r="F2700" t="s">
        <v>1600</v>
      </c>
      <c r="G2700" t="s">
        <v>2063</v>
      </c>
      <c r="H2700" t="s">
        <v>5655</v>
      </c>
      <c r="I2700">
        <v>47.044474999999998</v>
      </c>
      <c r="J2700">
        <v>-122.892493</v>
      </c>
      <c r="K2700" t="s">
        <v>3936</v>
      </c>
      <c r="L2700" t="s">
        <v>3946</v>
      </c>
      <c r="M2700" t="s">
        <v>5575</v>
      </c>
      <c r="P2700" t="s">
        <v>3416</v>
      </c>
    </row>
    <row r="2701" spans="1:16" x14ac:dyDescent="0.2">
      <c r="A2701" t="s">
        <v>2183</v>
      </c>
      <c r="B2701" t="s">
        <v>3417</v>
      </c>
      <c r="C2701" t="s">
        <v>3402</v>
      </c>
      <c r="D2701" t="s">
        <v>2307</v>
      </c>
      <c r="E2701">
        <v>98382</v>
      </c>
      <c r="F2701" t="s">
        <v>1716</v>
      </c>
      <c r="G2701" t="s">
        <v>2000</v>
      </c>
      <c r="H2701" t="s">
        <v>4864</v>
      </c>
      <c r="I2701">
        <v>48.077939999999998</v>
      </c>
      <c r="J2701">
        <v>-123.133129</v>
      </c>
      <c r="K2701" t="s">
        <v>3936</v>
      </c>
      <c r="L2701" t="s">
        <v>3946</v>
      </c>
      <c r="M2701" t="s">
        <v>5575</v>
      </c>
      <c r="P2701" t="s">
        <v>3417</v>
      </c>
    </row>
    <row r="2702" spans="1:16" x14ac:dyDescent="0.2">
      <c r="A2702" t="s">
        <v>2059</v>
      </c>
      <c r="B2702" t="s">
        <v>3418</v>
      </c>
      <c r="C2702" t="s">
        <v>3402</v>
      </c>
      <c r="D2702" t="s">
        <v>2307</v>
      </c>
      <c r="E2702">
        <v>98382</v>
      </c>
      <c r="F2702" t="s">
        <v>1600</v>
      </c>
      <c r="G2702" t="s">
        <v>2135</v>
      </c>
      <c r="H2702" t="s">
        <v>5656</v>
      </c>
      <c r="I2702">
        <v>48.077846000000001</v>
      </c>
      <c r="J2702">
        <v>-123.133769</v>
      </c>
      <c r="K2702" t="s">
        <v>3936</v>
      </c>
      <c r="L2702" t="s">
        <v>3946</v>
      </c>
      <c r="M2702" t="s">
        <v>5575</v>
      </c>
      <c r="P2702" t="s">
        <v>3418</v>
      </c>
    </row>
    <row r="2703" spans="1:16" x14ac:dyDescent="0.2">
      <c r="A2703" t="s">
        <v>2303</v>
      </c>
      <c r="B2703" t="s">
        <v>3420</v>
      </c>
      <c r="C2703" t="s">
        <v>3383</v>
      </c>
      <c r="D2703" t="s">
        <v>2307</v>
      </c>
      <c r="E2703">
        <v>98501</v>
      </c>
      <c r="F2703" t="s">
        <v>1583</v>
      </c>
      <c r="G2703" t="s">
        <v>1980</v>
      </c>
      <c r="H2703" t="s">
        <v>4866</v>
      </c>
      <c r="I2703">
        <v>47.044925999999997</v>
      </c>
      <c r="J2703">
        <v>-122.900274</v>
      </c>
      <c r="K2703" t="s">
        <v>3936</v>
      </c>
      <c r="L2703" t="s">
        <v>3946</v>
      </c>
      <c r="M2703" t="s">
        <v>5575</v>
      </c>
      <c r="P2703" t="s">
        <v>3420</v>
      </c>
    </row>
    <row r="2704" spans="1:16" x14ac:dyDescent="0.2">
      <c r="A2704" t="s">
        <v>2007</v>
      </c>
      <c r="B2704" t="s">
        <v>3421</v>
      </c>
      <c r="C2704" t="s">
        <v>3409</v>
      </c>
      <c r="D2704" t="s">
        <v>2307</v>
      </c>
      <c r="E2704">
        <v>98277</v>
      </c>
      <c r="F2704" t="s">
        <v>1658</v>
      </c>
      <c r="G2704" t="s">
        <v>2110</v>
      </c>
      <c r="H2704" t="s">
        <v>5657</v>
      </c>
      <c r="I2704">
        <v>48.295526000000002</v>
      </c>
      <c r="J2704">
        <v>-122.653499</v>
      </c>
      <c r="K2704" t="s">
        <v>3936</v>
      </c>
      <c r="L2704" t="s">
        <v>3946</v>
      </c>
      <c r="M2704" t="s">
        <v>5575</v>
      </c>
      <c r="P2704" t="s">
        <v>3421</v>
      </c>
    </row>
    <row r="2705" spans="1:16" x14ac:dyDescent="0.2">
      <c r="A2705" t="s">
        <v>2011</v>
      </c>
      <c r="B2705" t="s">
        <v>3422</v>
      </c>
      <c r="C2705" t="s">
        <v>3383</v>
      </c>
      <c r="D2705" t="s">
        <v>2307</v>
      </c>
      <c r="E2705">
        <v>98501</v>
      </c>
      <c r="F2705" t="s">
        <v>1573</v>
      </c>
      <c r="G2705" t="s">
        <v>1986</v>
      </c>
      <c r="H2705" t="s">
        <v>4867</v>
      </c>
      <c r="I2705">
        <v>47.039558999999997</v>
      </c>
      <c r="J2705">
        <v>-122.891592</v>
      </c>
      <c r="K2705" t="s">
        <v>3936</v>
      </c>
      <c r="L2705" t="s">
        <v>3946</v>
      </c>
      <c r="M2705" t="s">
        <v>5575</v>
      </c>
      <c r="P2705" t="s">
        <v>3422</v>
      </c>
    </row>
    <row r="2706" spans="1:16" x14ac:dyDescent="0.2">
      <c r="A2706" t="s">
        <v>2048</v>
      </c>
      <c r="B2706" t="s">
        <v>3423</v>
      </c>
      <c r="C2706" t="s">
        <v>3409</v>
      </c>
      <c r="D2706" t="s">
        <v>2307</v>
      </c>
      <c r="E2706">
        <v>98277</v>
      </c>
      <c r="F2706" t="s">
        <v>1573</v>
      </c>
      <c r="G2706" t="s">
        <v>2014</v>
      </c>
      <c r="H2706" t="s">
        <v>4868</v>
      </c>
      <c r="I2706">
        <v>48.295681999999999</v>
      </c>
      <c r="J2706">
        <v>-122.655231</v>
      </c>
      <c r="K2706" t="s">
        <v>3936</v>
      </c>
      <c r="L2706" t="s">
        <v>3946</v>
      </c>
      <c r="M2706" t="s">
        <v>5575</v>
      </c>
      <c r="P2706" t="s">
        <v>3423</v>
      </c>
    </row>
    <row r="2707" spans="1:16" x14ac:dyDescent="0.2">
      <c r="A2707" t="s">
        <v>2011</v>
      </c>
      <c r="B2707" t="s">
        <v>6372</v>
      </c>
      <c r="C2707" t="s">
        <v>3409</v>
      </c>
      <c r="D2707" t="s">
        <v>2307</v>
      </c>
      <c r="E2707">
        <v>98277</v>
      </c>
      <c r="F2707" t="s">
        <v>1573</v>
      </c>
      <c r="G2707" t="s">
        <v>1986</v>
      </c>
      <c r="H2707" t="s">
        <v>4870</v>
      </c>
      <c r="I2707">
        <v>48.298295000000003</v>
      </c>
      <c r="J2707">
        <v>-122.653254</v>
      </c>
      <c r="K2707" t="s">
        <v>3936</v>
      </c>
      <c r="L2707" t="s">
        <v>3946</v>
      </c>
      <c r="M2707" t="s">
        <v>5575</v>
      </c>
      <c r="P2707" t="s">
        <v>6183</v>
      </c>
    </row>
    <row r="2708" spans="1:16" x14ac:dyDescent="0.2">
      <c r="A2708" t="s">
        <v>2059</v>
      </c>
      <c r="B2708" t="s">
        <v>3425</v>
      </c>
      <c r="C2708" t="s">
        <v>3409</v>
      </c>
      <c r="D2708" t="s">
        <v>2307</v>
      </c>
      <c r="E2708">
        <v>98277</v>
      </c>
      <c r="F2708" t="s">
        <v>1600</v>
      </c>
      <c r="G2708" t="s">
        <v>2135</v>
      </c>
      <c r="H2708" t="s">
        <v>5658</v>
      </c>
      <c r="I2708">
        <v>48.298259999999999</v>
      </c>
      <c r="J2708">
        <v>-122.65328599999999</v>
      </c>
      <c r="K2708" t="s">
        <v>3936</v>
      </c>
      <c r="L2708" t="s">
        <v>3946</v>
      </c>
      <c r="M2708" t="s">
        <v>5575</v>
      </c>
      <c r="P2708" t="s">
        <v>3425</v>
      </c>
    </row>
    <row r="2709" spans="1:16" x14ac:dyDescent="0.2">
      <c r="A2709" t="s">
        <v>2011</v>
      </c>
      <c r="B2709" t="s">
        <v>3426</v>
      </c>
      <c r="C2709" t="s">
        <v>3427</v>
      </c>
      <c r="D2709" t="s">
        <v>2307</v>
      </c>
      <c r="E2709">
        <v>98580</v>
      </c>
      <c r="F2709" t="s">
        <v>1573</v>
      </c>
      <c r="G2709" t="s">
        <v>1986</v>
      </c>
      <c r="H2709" t="s">
        <v>4871</v>
      </c>
      <c r="I2709">
        <v>46.943378000000003</v>
      </c>
      <c r="J2709">
        <v>-122.551722</v>
      </c>
      <c r="K2709" t="s">
        <v>3936</v>
      </c>
      <c r="L2709" t="s">
        <v>3946</v>
      </c>
      <c r="M2709" t="s">
        <v>5575</v>
      </c>
      <c r="P2709" t="s">
        <v>3426</v>
      </c>
    </row>
    <row r="2710" spans="1:16" x14ac:dyDescent="0.2">
      <c r="A2710" t="s">
        <v>2011</v>
      </c>
      <c r="B2710" t="s">
        <v>3431</v>
      </c>
      <c r="C2710" t="s">
        <v>3374</v>
      </c>
      <c r="D2710" t="s">
        <v>2307</v>
      </c>
      <c r="E2710">
        <v>98584</v>
      </c>
      <c r="F2710" t="s">
        <v>1573</v>
      </c>
      <c r="G2710" t="s">
        <v>1986</v>
      </c>
      <c r="H2710" t="s">
        <v>4874</v>
      </c>
      <c r="I2710">
        <v>47.197068999999999</v>
      </c>
      <c r="J2710">
        <v>-122.947624</v>
      </c>
      <c r="K2710" t="s">
        <v>3936</v>
      </c>
      <c r="L2710" t="s">
        <v>3946</v>
      </c>
      <c r="M2710" t="s">
        <v>5575</v>
      </c>
      <c r="P2710" t="s">
        <v>3431</v>
      </c>
    </row>
    <row r="2711" spans="1:16" x14ac:dyDescent="0.2">
      <c r="A2711" t="s">
        <v>2011</v>
      </c>
      <c r="B2711" t="s">
        <v>3432</v>
      </c>
      <c r="C2711" t="s">
        <v>3383</v>
      </c>
      <c r="D2711" t="s">
        <v>2307</v>
      </c>
      <c r="E2711">
        <v>98502</v>
      </c>
      <c r="F2711" t="s">
        <v>1573</v>
      </c>
      <c r="G2711" t="s">
        <v>1986</v>
      </c>
      <c r="H2711" t="s">
        <v>4875</v>
      </c>
      <c r="I2711">
        <v>47.045966</v>
      </c>
      <c r="J2711">
        <v>-122.93009499999999</v>
      </c>
      <c r="K2711" t="s">
        <v>3936</v>
      </c>
      <c r="L2711" t="s">
        <v>3946</v>
      </c>
      <c r="M2711" t="s">
        <v>5575</v>
      </c>
      <c r="P2711" t="s">
        <v>3432</v>
      </c>
    </row>
    <row r="2712" spans="1:16" x14ac:dyDescent="0.2">
      <c r="A2712" t="s">
        <v>2011</v>
      </c>
      <c r="B2712" t="s">
        <v>3433</v>
      </c>
      <c r="C2712" t="s">
        <v>3376</v>
      </c>
      <c r="D2712" t="s">
        <v>2307</v>
      </c>
      <c r="E2712">
        <v>98503</v>
      </c>
      <c r="F2712" t="s">
        <v>1573</v>
      </c>
      <c r="G2712" t="s">
        <v>1986</v>
      </c>
      <c r="H2712" t="s">
        <v>4876</v>
      </c>
      <c r="I2712">
        <v>46.996825000000001</v>
      </c>
      <c r="J2712">
        <v>-122.80709</v>
      </c>
      <c r="K2712" t="s">
        <v>3936</v>
      </c>
      <c r="L2712" t="s">
        <v>3946</v>
      </c>
      <c r="M2712" t="s">
        <v>5575</v>
      </c>
      <c r="P2712" t="s">
        <v>3433</v>
      </c>
    </row>
    <row r="2713" spans="1:16" x14ac:dyDescent="0.2">
      <c r="A2713" t="s">
        <v>3952</v>
      </c>
      <c r="B2713" t="s">
        <v>3434</v>
      </c>
      <c r="C2713" t="s">
        <v>3383</v>
      </c>
      <c r="D2713" t="s">
        <v>2307</v>
      </c>
      <c r="E2713">
        <v>98502</v>
      </c>
      <c r="F2713" t="s">
        <v>1573</v>
      </c>
      <c r="G2713" t="s">
        <v>2014</v>
      </c>
      <c r="H2713" t="s">
        <v>4877</v>
      </c>
      <c r="I2713">
        <v>47.046256</v>
      </c>
      <c r="J2713">
        <v>-122.93432199999999</v>
      </c>
      <c r="K2713" t="s">
        <v>3936</v>
      </c>
      <c r="L2713" t="s">
        <v>3946</v>
      </c>
      <c r="M2713" t="s">
        <v>5575</v>
      </c>
      <c r="P2713" t="s">
        <v>3434</v>
      </c>
    </row>
    <row r="2714" spans="1:16" x14ac:dyDescent="0.2">
      <c r="A2714" t="s">
        <v>2175</v>
      </c>
      <c r="B2714" t="s">
        <v>3435</v>
      </c>
      <c r="C2714" t="s">
        <v>3383</v>
      </c>
      <c r="D2714" t="s">
        <v>2307</v>
      </c>
      <c r="E2714">
        <v>98502</v>
      </c>
      <c r="F2714" t="s">
        <v>1600</v>
      </c>
      <c r="G2714" t="s">
        <v>2207</v>
      </c>
      <c r="H2714" t="s">
        <v>5444</v>
      </c>
      <c r="I2714">
        <v>47.047277000000001</v>
      </c>
      <c r="J2714">
        <v>-122.939599</v>
      </c>
      <c r="K2714" t="s">
        <v>3936</v>
      </c>
      <c r="L2714" t="s">
        <v>3946</v>
      </c>
      <c r="M2714" t="s">
        <v>5575</v>
      </c>
      <c r="P2714" t="s">
        <v>3435</v>
      </c>
    </row>
    <row r="2715" spans="1:16" x14ac:dyDescent="0.2">
      <c r="A2715" t="s">
        <v>2304</v>
      </c>
      <c r="B2715" t="s">
        <v>3436</v>
      </c>
      <c r="C2715" t="s">
        <v>3383</v>
      </c>
      <c r="D2715" t="s">
        <v>2307</v>
      </c>
      <c r="E2715">
        <v>98502</v>
      </c>
      <c r="F2715" t="s">
        <v>1583</v>
      </c>
      <c r="G2715" t="s">
        <v>1980</v>
      </c>
      <c r="H2715" t="s">
        <v>4878</v>
      </c>
      <c r="I2715">
        <v>47.041831999999999</v>
      </c>
      <c r="J2715">
        <v>-122.929489</v>
      </c>
      <c r="K2715" t="s">
        <v>3936</v>
      </c>
      <c r="L2715" t="s">
        <v>3946</v>
      </c>
      <c r="M2715" t="s">
        <v>5575</v>
      </c>
      <c r="P2715" t="s">
        <v>3436</v>
      </c>
    </row>
    <row r="2716" spans="1:16" x14ac:dyDescent="0.2">
      <c r="A2716" t="s">
        <v>2169</v>
      </c>
      <c r="B2716" t="s">
        <v>6373</v>
      </c>
      <c r="C2716" t="s">
        <v>3383</v>
      </c>
      <c r="D2716" t="s">
        <v>2307</v>
      </c>
      <c r="E2716">
        <v>98502</v>
      </c>
      <c r="F2716" t="s">
        <v>1658</v>
      </c>
      <c r="G2716" t="s">
        <v>5018</v>
      </c>
      <c r="H2716" t="s">
        <v>5019</v>
      </c>
      <c r="I2716">
        <v>47.041831999999999</v>
      </c>
      <c r="J2716">
        <v>-122.929489</v>
      </c>
      <c r="K2716" t="s">
        <v>3936</v>
      </c>
      <c r="L2716" t="s">
        <v>3946</v>
      </c>
      <c r="M2716" t="s">
        <v>5575</v>
      </c>
      <c r="P2716" t="s">
        <v>6184</v>
      </c>
    </row>
    <row r="2717" spans="1:16" x14ac:dyDescent="0.2">
      <c r="A2717" t="s">
        <v>2011</v>
      </c>
      <c r="B2717" t="s">
        <v>3437</v>
      </c>
      <c r="C2717" t="s">
        <v>3376</v>
      </c>
      <c r="D2717" t="s">
        <v>2307</v>
      </c>
      <c r="E2717">
        <v>98503</v>
      </c>
      <c r="F2717" t="s">
        <v>1573</v>
      </c>
      <c r="G2717" t="s">
        <v>1986</v>
      </c>
      <c r="H2717" t="s">
        <v>4879</v>
      </c>
      <c r="I2717">
        <v>46.996257999999997</v>
      </c>
      <c r="J2717">
        <v>-122.821916</v>
      </c>
      <c r="K2717" t="s">
        <v>3936</v>
      </c>
      <c r="L2717" t="s">
        <v>3946</v>
      </c>
      <c r="M2717" t="s">
        <v>5575</v>
      </c>
      <c r="P2717" t="s">
        <v>3437</v>
      </c>
    </row>
    <row r="2718" spans="1:16" x14ac:dyDescent="0.2">
      <c r="A2718" t="s">
        <v>2059</v>
      </c>
      <c r="B2718" t="s">
        <v>3439</v>
      </c>
      <c r="C2718" t="s">
        <v>3430</v>
      </c>
      <c r="D2718" t="s">
        <v>2307</v>
      </c>
      <c r="E2718">
        <v>98597</v>
      </c>
      <c r="F2718" t="s">
        <v>1573</v>
      </c>
      <c r="G2718" t="s">
        <v>2067</v>
      </c>
      <c r="H2718" t="s">
        <v>5659</v>
      </c>
      <c r="I2718">
        <v>46.935509000000003</v>
      </c>
      <c r="J2718">
        <v>-122.594944</v>
      </c>
      <c r="K2718" t="s">
        <v>3936</v>
      </c>
      <c r="L2718" t="s">
        <v>3946</v>
      </c>
      <c r="M2718" t="s">
        <v>5575</v>
      </c>
      <c r="P2718" t="s">
        <v>3439</v>
      </c>
    </row>
    <row r="2719" spans="1:16" x14ac:dyDescent="0.2">
      <c r="A2719" t="s">
        <v>2007</v>
      </c>
      <c r="B2719" t="s">
        <v>3440</v>
      </c>
      <c r="C2719" t="s">
        <v>3430</v>
      </c>
      <c r="D2719" t="s">
        <v>2307</v>
      </c>
      <c r="E2719">
        <v>98597</v>
      </c>
      <c r="F2719" t="s">
        <v>1658</v>
      </c>
      <c r="G2719" t="s">
        <v>2110</v>
      </c>
      <c r="H2719" t="s">
        <v>5660</v>
      </c>
      <c r="I2719">
        <v>46.934820999999999</v>
      </c>
      <c r="J2719">
        <v>-122.590211</v>
      </c>
      <c r="K2719" t="s">
        <v>3936</v>
      </c>
      <c r="L2719" t="s">
        <v>3946</v>
      </c>
      <c r="M2719" t="s">
        <v>5575</v>
      </c>
      <c r="P2719" t="s">
        <v>3440</v>
      </c>
    </row>
    <row r="2720" spans="1:16" x14ac:dyDescent="0.2">
      <c r="A2720" t="s">
        <v>3955</v>
      </c>
      <c r="B2720" t="s">
        <v>3441</v>
      </c>
      <c r="C2720" t="s">
        <v>3442</v>
      </c>
      <c r="D2720" t="s">
        <v>2307</v>
      </c>
      <c r="E2720">
        <v>98597</v>
      </c>
      <c r="F2720" t="s">
        <v>1658</v>
      </c>
      <c r="G2720" t="s">
        <v>2148</v>
      </c>
      <c r="H2720" t="s">
        <v>5661</v>
      </c>
      <c r="I2720">
        <v>46.934708000000001</v>
      </c>
      <c r="J2720">
        <v>-122.59294300000001</v>
      </c>
      <c r="K2720" t="s">
        <v>3936</v>
      </c>
      <c r="L2720" t="s">
        <v>3946</v>
      </c>
      <c r="M2720" t="s">
        <v>5575</v>
      </c>
      <c r="P2720" t="s">
        <v>3441</v>
      </c>
    </row>
    <row r="2721" spans="1:16" x14ac:dyDescent="0.2">
      <c r="A2721" t="s">
        <v>2048</v>
      </c>
      <c r="B2721" t="s">
        <v>3443</v>
      </c>
      <c r="C2721" t="s">
        <v>3430</v>
      </c>
      <c r="D2721" t="s">
        <v>2307</v>
      </c>
      <c r="E2721">
        <v>98597</v>
      </c>
      <c r="F2721" t="s">
        <v>1573</v>
      </c>
      <c r="G2721" t="s">
        <v>2014</v>
      </c>
      <c r="H2721" t="s">
        <v>4881</v>
      </c>
      <c r="I2721">
        <v>46.932977000000001</v>
      </c>
      <c r="J2721">
        <v>-122.589279</v>
      </c>
      <c r="K2721" t="s">
        <v>3936</v>
      </c>
      <c r="L2721" t="s">
        <v>3946</v>
      </c>
      <c r="M2721" t="s">
        <v>5575</v>
      </c>
      <c r="P2721" t="s">
        <v>3443</v>
      </c>
    </row>
    <row r="2722" spans="1:16" x14ac:dyDescent="0.2">
      <c r="A2722" t="s">
        <v>2011</v>
      </c>
      <c r="B2722" t="s">
        <v>3444</v>
      </c>
      <c r="C2722" t="s">
        <v>3445</v>
      </c>
      <c r="D2722" t="s">
        <v>2307</v>
      </c>
      <c r="E2722">
        <v>98502</v>
      </c>
      <c r="F2722" t="s">
        <v>1573</v>
      </c>
      <c r="G2722" t="s">
        <v>1986</v>
      </c>
      <c r="H2722" t="s">
        <v>4882</v>
      </c>
      <c r="I2722">
        <v>47.054676999999998</v>
      </c>
      <c r="J2722">
        <v>-122.941361</v>
      </c>
      <c r="K2722" t="s">
        <v>3936</v>
      </c>
      <c r="L2722" t="s">
        <v>3946</v>
      </c>
      <c r="M2722" t="s">
        <v>5575</v>
      </c>
      <c r="P2722" t="s">
        <v>3444</v>
      </c>
    </row>
    <row r="2723" spans="1:16" x14ac:dyDescent="0.2">
      <c r="A2723" t="s">
        <v>2011</v>
      </c>
      <c r="B2723" t="s">
        <v>3446</v>
      </c>
      <c r="C2723" t="s">
        <v>3383</v>
      </c>
      <c r="D2723" t="s">
        <v>2307</v>
      </c>
      <c r="E2723">
        <v>98512</v>
      </c>
      <c r="F2723" t="s">
        <v>1573</v>
      </c>
      <c r="G2723" t="s">
        <v>1986</v>
      </c>
      <c r="H2723" t="s">
        <v>4883</v>
      </c>
      <c r="I2723">
        <v>47.078667000000003</v>
      </c>
      <c r="J2723">
        <v>-123.020409</v>
      </c>
      <c r="K2723" t="s">
        <v>3936</v>
      </c>
      <c r="L2723" t="s">
        <v>3946</v>
      </c>
      <c r="M2723" t="s">
        <v>5575</v>
      </c>
      <c r="P2723" t="s">
        <v>3446</v>
      </c>
    </row>
    <row r="2724" spans="1:16" x14ac:dyDescent="0.2">
      <c r="A2724" t="s">
        <v>2011</v>
      </c>
      <c r="B2724" t="s">
        <v>3447</v>
      </c>
      <c r="C2724" t="s">
        <v>3383</v>
      </c>
      <c r="D2724" t="s">
        <v>2307</v>
      </c>
      <c r="E2724">
        <v>98501</v>
      </c>
      <c r="F2724" t="s">
        <v>1573</v>
      </c>
      <c r="G2724" t="s">
        <v>1986</v>
      </c>
      <c r="H2724" t="s">
        <v>4884</v>
      </c>
      <c r="I2724">
        <v>47.029952000000002</v>
      </c>
      <c r="J2724">
        <v>-122.925533</v>
      </c>
      <c r="K2724" t="s">
        <v>3936</v>
      </c>
      <c r="L2724" t="s">
        <v>3946</v>
      </c>
      <c r="M2724" t="s">
        <v>5575</v>
      </c>
      <c r="P2724" t="s">
        <v>3447</v>
      </c>
    </row>
    <row r="2725" spans="1:16" x14ac:dyDescent="0.2">
      <c r="A2725" t="s">
        <v>2011</v>
      </c>
      <c r="B2725" t="s">
        <v>3448</v>
      </c>
      <c r="C2725" t="s">
        <v>3449</v>
      </c>
      <c r="D2725" t="s">
        <v>2307</v>
      </c>
      <c r="E2725">
        <v>98501</v>
      </c>
      <c r="F2725" t="s">
        <v>1573</v>
      </c>
      <c r="G2725" t="s">
        <v>1986</v>
      </c>
      <c r="H2725" t="s">
        <v>4885</v>
      </c>
      <c r="I2725">
        <v>47.017767999999997</v>
      </c>
      <c r="J2725">
        <v>-122.898436</v>
      </c>
      <c r="K2725" t="s">
        <v>3936</v>
      </c>
      <c r="L2725" t="s">
        <v>3946</v>
      </c>
      <c r="M2725" t="s">
        <v>5575</v>
      </c>
      <c r="P2725" t="s">
        <v>3448</v>
      </c>
    </row>
    <row r="2726" spans="1:16" x14ac:dyDescent="0.2">
      <c r="A2726" t="s">
        <v>2011</v>
      </c>
      <c r="B2726" t="s">
        <v>6186</v>
      </c>
      <c r="C2726" t="s">
        <v>3067</v>
      </c>
      <c r="D2726" t="s">
        <v>2307</v>
      </c>
      <c r="E2726">
        <v>98408</v>
      </c>
      <c r="F2726" t="s">
        <v>1573</v>
      </c>
      <c r="G2726" t="s">
        <v>1986</v>
      </c>
      <c r="H2726" t="s">
        <v>4745</v>
      </c>
      <c r="I2726">
        <v>47.198974</v>
      </c>
      <c r="J2726">
        <v>-122.44343499999999</v>
      </c>
      <c r="K2726" t="s">
        <v>3936</v>
      </c>
      <c r="L2726" t="s">
        <v>3946</v>
      </c>
      <c r="M2726" t="s">
        <v>5575</v>
      </c>
      <c r="P2726" t="s">
        <v>6170</v>
      </c>
    </row>
    <row r="2727" spans="1:16" x14ac:dyDescent="0.2">
      <c r="A2727" t="s">
        <v>2015</v>
      </c>
      <c r="B2727" t="s">
        <v>6185</v>
      </c>
      <c r="C2727" t="s">
        <v>3067</v>
      </c>
      <c r="D2727" t="s">
        <v>2307</v>
      </c>
      <c r="E2727">
        <v>98447</v>
      </c>
      <c r="F2727" t="s">
        <v>1573</v>
      </c>
      <c r="G2727" t="s">
        <v>1999</v>
      </c>
      <c r="H2727" t="s">
        <v>5627</v>
      </c>
      <c r="I2727">
        <v>47.145988000000003</v>
      </c>
      <c r="J2727">
        <v>-122.434866</v>
      </c>
      <c r="K2727" t="s">
        <v>3936</v>
      </c>
      <c r="L2727" t="s">
        <v>3946</v>
      </c>
      <c r="M2727" t="s">
        <v>5575</v>
      </c>
      <c r="P2727" t="s">
        <v>3289</v>
      </c>
    </row>
    <row r="2728" spans="1:16" x14ac:dyDescent="0.2">
      <c r="A2728" t="s">
        <v>1597</v>
      </c>
      <c r="B2728" t="s">
        <v>6188</v>
      </c>
      <c r="C2728" t="s">
        <v>3686</v>
      </c>
      <c r="D2728" t="s">
        <v>2307</v>
      </c>
      <c r="E2728">
        <v>98188</v>
      </c>
      <c r="F2728" t="s">
        <v>1573</v>
      </c>
      <c r="G2728" t="s">
        <v>1990</v>
      </c>
      <c r="H2728" t="s">
        <v>4104</v>
      </c>
      <c r="I2728">
        <v>47.463920000000002</v>
      </c>
      <c r="J2728">
        <v>-122.29921299999999</v>
      </c>
      <c r="K2728" t="s">
        <v>3936</v>
      </c>
      <c r="L2728" t="s">
        <v>3946</v>
      </c>
      <c r="M2728" t="s">
        <v>4888</v>
      </c>
      <c r="N2728" t="s">
        <v>4889</v>
      </c>
      <c r="O2728" t="s">
        <v>3948</v>
      </c>
      <c r="P2728" t="s">
        <v>3685</v>
      </c>
    </row>
    <row r="2729" spans="1:16" x14ac:dyDescent="0.2">
      <c r="A2729" t="s">
        <v>1597</v>
      </c>
      <c r="B2729" t="s">
        <v>6189</v>
      </c>
      <c r="C2729" t="s">
        <v>3201</v>
      </c>
      <c r="D2729" t="s">
        <v>2307</v>
      </c>
      <c r="E2729">
        <v>98270</v>
      </c>
      <c r="F2729" t="s">
        <v>1573</v>
      </c>
      <c r="G2729" t="s">
        <v>1990</v>
      </c>
      <c r="H2729" t="s">
        <v>5024</v>
      </c>
      <c r="I2729">
        <v>48.083523999999997</v>
      </c>
      <c r="J2729">
        <v>-122.17319500000001</v>
      </c>
      <c r="K2729" t="s">
        <v>3936</v>
      </c>
      <c r="L2729" t="s">
        <v>3946</v>
      </c>
      <c r="M2729" t="s">
        <v>4888</v>
      </c>
      <c r="N2729" t="s">
        <v>4889</v>
      </c>
      <c r="O2729" t="s">
        <v>3948</v>
      </c>
      <c r="P2729" t="s">
        <v>3869</v>
      </c>
    </row>
    <row r="2730" spans="1:16" x14ac:dyDescent="0.2">
      <c r="A2730" t="s">
        <v>2006</v>
      </c>
      <c r="B2730" t="s">
        <v>6190</v>
      </c>
      <c r="C2730" t="s">
        <v>66</v>
      </c>
      <c r="D2730" t="s">
        <v>2307</v>
      </c>
      <c r="E2730">
        <v>98101</v>
      </c>
      <c r="F2730" t="s">
        <v>1716</v>
      </c>
      <c r="G2730" t="s">
        <v>1989</v>
      </c>
      <c r="H2730" t="s">
        <v>5046</v>
      </c>
      <c r="I2730">
        <v>47.605207</v>
      </c>
      <c r="J2730">
        <v>-122.339896</v>
      </c>
      <c r="K2730" t="s">
        <v>3936</v>
      </c>
      <c r="L2730" t="s">
        <v>3946</v>
      </c>
      <c r="M2730" t="s">
        <v>4888</v>
      </c>
      <c r="N2730" t="s">
        <v>4889</v>
      </c>
      <c r="P2730" t="s">
        <v>2363</v>
      </c>
    </row>
    <row r="2731" spans="1:16" x14ac:dyDescent="0.2">
      <c r="A2731" t="s">
        <v>1909</v>
      </c>
      <c r="B2731" t="s">
        <v>6187</v>
      </c>
      <c r="C2731" t="s">
        <v>66</v>
      </c>
      <c r="D2731" t="s">
        <v>2307</v>
      </c>
      <c r="E2731">
        <v>98104</v>
      </c>
      <c r="F2731" t="s">
        <v>1573</v>
      </c>
      <c r="G2731" t="s">
        <v>1974</v>
      </c>
      <c r="H2731" t="s">
        <v>4011</v>
      </c>
      <c r="I2731">
        <v>47.603811999999998</v>
      </c>
      <c r="J2731">
        <v>-122.338556</v>
      </c>
      <c r="K2731" t="s">
        <v>3936</v>
      </c>
      <c r="L2731" t="s">
        <v>3946</v>
      </c>
      <c r="M2731" t="s">
        <v>4888</v>
      </c>
      <c r="N2731" t="s">
        <v>4889</v>
      </c>
      <c r="P2731" t="s">
        <v>6021</v>
      </c>
    </row>
    <row r="2732" spans="1:16" x14ac:dyDescent="0.2">
      <c r="A2732" t="s">
        <v>1597</v>
      </c>
      <c r="B2732" t="s">
        <v>6187</v>
      </c>
      <c r="C2732" t="s">
        <v>66</v>
      </c>
      <c r="D2732" t="s">
        <v>2307</v>
      </c>
      <c r="E2732">
        <v>98104</v>
      </c>
      <c r="F2732" t="s">
        <v>1573</v>
      </c>
      <c r="G2732" t="s">
        <v>1990</v>
      </c>
      <c r="H2732" t="s">
        <v>5794</v>
      </c>
      <c r="I2732">
        <v>47.603811999999998</v>
      </c>
      <c r="J2732">
        <v>-122.338556</v>
      </c>
      <c r="K2732" t="s">
        <v>3936</v>
      </c>
      <c r="L2732" t="s">
        <v>3946</v>
      </c>
      <c r="M2732" t="s">
        <v>4888</v>
      </c>
      <c r="N2732" t="s">
        <v>4889</v>
      </c>
      <c r="P2732" t="s">
        <v>3546</v>
      </c>
    </row>
    <row r="2733" spans="1:16" x14ac:dyDescent="0.2">
      <c r="A2733" t="s">
        <v>1597</v>
      </c>
      <c r="B2733" t="s">
        <v>6188</v>
      </c>
      <c r="C2733" t="s">
        <v>3686</v>
      </c>
      <c r="D2733" t="s">
        <v>2307</v>
      </c>
      <c r="E2733">
        <v>98188</v>
      </c>
      <c r="F2733" t="s">
        <v>1573</v>
      </c>
      <c r="G2733" t="s">
        <v>1990</v>
      </c>
      <c r="H2733" t="s">
        <v>4104</v>
      </c>
      <c r="I2733">
        <v>47.463920000000002</v>
      </c>
      <c r="J2733">
        <v>-122.29921299999999</v>
      </c>
      <c r="K2733" t="s">
        <v>3936</v>
      </c>
      <c r="L2733" t="s">
        <v>3946</v>
      </c>
      <c r="M2733" t="s">
        <v>4888</v>
      </c>
      <c r="N2733" t="s">
        <v>4889</v>
      </c>
      <c r="P2733" t="s">
        <v>3685</v>
      </c>
    </row>
    <row r="2734" spans="1:16" x14ac:dyDescent="0.2">
      <c r="A2734" t="s">
        <v>1597</v>
      </c>
      <c r="B2734" t="s">
        <v>6189</v>
      </c>
      <c r="C2734" t="s">
        <v>3201</v>
      </c>
      <c r="D2734" t="s">
        <v>2307</v>
      </c>
      <c r="E2734">
        <v>98270</v>
      </c>
      <c r="F2734" t="s">
        <v>1573</v>
      </c>
      <c r="G2734" t="s">
        <v>1990</v>
      </c>
      <c r="H2734" t="s">
        <v>5024</v>
      </c>
      <c r="I2734">
        <v>48.083523999999997</v>
      </c>
      <c r="J2734">
        <v>-122.17319500000001</v>
      </c>
      <c r="K2734" t="s">
        <v>3936</v>
      </c>
      <c r="L2734" t="s">
        <v>3946</v>
      </c>
      <c r="M2734" t="s">
        <v>4888</v>
      </c>
      <c r="N2734" t="s">
        <v>4889</v>
      </c>
      <c r="P2734" t="s">
        <v>3869</v>
      </c>
    </row>
    <row r="2735" spans="1:16" x14ac:dyDescent="0.2">
      <c r="A2735" t="s">
        <v>2020</v>
      </c>
      <c r="B2735" s="5" t="s">
        <v>6191</v>
      </c>
      <c r="C2735" t="s">
        <v>66</v>
      </c>
      <c r="D2735" t="s">
        <v>2307</v>
      </c>
      <c r="E2735">
        <v>98105</v>
      </c>
      <c r="F2735" t="s">
        <v>1716</v>
      </c>
      <c r="G2735" t="s">
        <v>2005</v>
      </c>
      <c r="H2735" t="s">
        <v>4261</v>
      </c>
      <c r="I2735">
        <v>47.665658999999998</v>
      </c>
      <c r="J2735">
        <v>-122.314379</v>
      </c>
      <c r="K2735" t="s">
        <v>3936</v>
      </c>
      <c r="L2735" t="s">
        <v>3946</v>
      </c>
      <c r="M2735" t="s">
        <v>4888</v>
      </c>
      <c r="P2735" t="s">
        <v>2328</v>
      </c>
    </row>
    <row r="2736" spans="1:16" x14ac:dyDescent="0.2">
      <c r="A2736" t="s">
        <v>2006</v>
      </c>
      <c r="B2736" t="s">
        <v>6190</v>
      </c>
      <c r="C2736" t="s">
        <v>66</v>
      </c>
      <c r="D2736" t="s">
        <v>2307</v>
      </c>
      <c r="E2736">
        <v>98101</v>
      </c>
      <c r="F2736" t="s">
        <v>1716</v>
      </c>
      <c r="G2736" t="s">
        <v>1989</v>
      </c>
      <c r="H2736" t="s">
        <v>5046</v>
      </c>
      <c r="I2736">
        <v>47.605207</v>
      </c>
      <c r="J2736">
        <v>-122.339896</v>
      </c>
      <c r="K2736" t="s">
        <v>3936</v>
      </c>
      <c r="L2736" t="s">
        <v>3946</v>
      </c>
      <c r="M2736" t="s">
        <v>4888</v>
      </c>
      <c r="P2736" t="s">
        <v>2363</v>
      </c>
    </row>
    <row r="2737" spans="1:16" x14ac:dyDescent="0.2">
      <c r="A2737" t="s">
        <v>1909</v>
      </c>
      <c r="B2737" s="5" t="s">
        <v>6187</v>
      </c>
      <c r="C2737" t="s">
        <v>66</v>
      </c>
      <c r="D2737" t="s">
        <v>2307</v>
      </c>
      <c r="E2737">
        <v>98104</v>
      </c>
      <c r="F2737" t="s">
        <v>1573</v>
      </c>
      <c r="G2737" t="s">
        <v>1974</v>
      </c>
      <c r="H2737" t="s">
        <v>4011</v>
      </c>
      <c r="I2737">
        <v>47.603811999999998</v>
      </c>
      <c r="J2737">
        <v>-122.338556</v>
      </c>
      <c r="K2737" t="s">
        <v>3936</v>
      </c>
      <c r="L2737" t="s">
        <v>3946</v>
      </c>
      <c r="M2737" t="s">
        <v>4888</v>
      </c>
      <c r="P2737" t="s">
        <v>6021</v>
      </c>
    </row>
    <row r="2738" spans="1:16" x14ac:dyDescent="0.2">
      <c r="A2738" t="s">
        <v>1597</v>
      </c>
      <c r="B2738" s="5" t="s">
        <v>6187</v>
      </c>
      <c r="C2738" t="s">
        <v>66</v>
      </c>
      <c r="D2738" t="s">
        <v>2307</v>
      </c>
      <c r="E2738">
        <v>98104</v>
      </c>
      <c r="F2738" t="s">
        <v>1573</v>
      </c>
      <c r="G2738" t="s">
        <v>1990</v>
      </c>
      <c r="H2738" t="s">
        <v>5794</v>
      </c>
      <c r="I2738">
        <v>47.603811999999998</v>
      </c>
      <c r="J2738">
        <v>-122.338556</v>
      </c>
      <c r="K2738" t="s">
        <v>3936</v>
      </c>
      <c r="L2738" t="s">
        <v>3946</v>
      </c>
      <c r="M2738" t="s">
        <v>4888</v>
      </c>
      <c r="P2738" t="s">
        <v>3546</v>
      </c>
    </row>
    <row r="2739" spans="1:16" x14ac:dyDescent="0.2">
      <c r="A2739" t="s">
        <v>1597</v>
      </c>
      <c r="B2739" t="s">
        <v>6188</v>
      </c>
      <c r="C2739" t="s">
        <v>3686</v>
      </c>
      <c r="D2739" t="s">
        <v>2307</v>
      </c>
      <c r="E2739">
        <v>98188</v>
      </c>
      <c r="F2739" t="s">
        <v>1573</v>
      </c>
      <c r="G2739" t="s">
        <v>1990</v>
      </c>
      <c r="H2739" t="s">
        <v>4104</v>
      </c>
      <c r="I2739">
        <v>47.463920000000002</v>
      </c>
      <c r="J2739">
        <v>-122.29921299999999</v>
      </c>
      <c r="K2739" t="s">
        <v>3936</v>
      </c>
      <c r="L2739" t="s">
        <v>3946</v>
      </c>
      <c r="M2739" t="s">
        <v>4888</v>
      </c>
      <c r="P2739" t="s">
        <v>3685</v>
      </c>
    </row>
    <row r="2740" spans="1:16" x14ac:dyDescent="0.2">
      <c r="A2740" t="s">
        <v>2173</v>
      </c>
      <c r="B2740" s="5" t="s">
        <v>6192</v>
      </c>
      <c r="C2740" t="s">
        <v>2636</v>
      </c>
      <c r="D2740" t="s">
        <v>2307</v>
      </c>
      <c r="E2740">
        <v>98188</v>
      </c>
      <c r="F2740" t="s">
        <v>5573</v>
      </c>
      <c r="G2740" t="s">
        <v>2005</v>
      </c>
      <c r="H2740" t="s">
        <v>5802</v>
      </c>
      <c r="I2740">
        <v>47.458240000000004</v>
      </c>
      <c r="J2740">
        <v>-122.25514</v>
      </c>
      <c r="K2740" t="s">
        <v>3936</v>
      </c>
      <c r="L2740" t="s">
        <v>3946</v>
      </c>
      <c r="M2740" t="s">
        <v>4888</v>
      </c>
      <c r="P2740" t="s">
        <v>2730</v>
      </c>
    </row>
    <row r="2741" spans="1:16" x14ac:dyDescent="0.2">
      <c r="A2741" t="s">
        <v>2174</v>
      </c>
      <c r="B2741" s="5" t="s">
        <v>6192</v>
      </c>
      <c r="C2741" t="s">
        <v>2636</v>
      </c>
      <c r="D2741" t="s">
        <v>2307</v>
      </c>
      <c r="E2741">
        <v>98188</v>
      </c>
      <c r="F2741" t="s">
        <v>1591</v>
      </c>
      <c r="G2741" t="s">
        <v>1969</v>
      </c>
      <c r="H2741" t="s">
        <v>4953</v>
      </c>
      <c r="I2741">
        <v>47.458240000000004</v>
      </c>
      <c r="J2741">
        <v>-122.25514</v>
      </c>
      <c r="K2741" t="s">
        <v>3936</v>
      </c>
      <c r="L2741" t="s">
        <v>3946</v>
      </c>
      <c r="M2741" t="s">
        <v>4888</v>
      </c>
      <c r="P2741" t="s">
        <v>2730</v>
      </c>
    </row>
    <row r="2742" spans="1:16" x14ac:dyDescent="0.2">
      <c r="A2742" t="s">
        <v>1817</v>
      </c>
      <c r="B2742" s="5" t="s">
        <v>6194</v>
      </c>
      <c r="C2742" t="s">
        <v>2995</v>
      </c>
      <c r="D2742" t="s">
        <v>2307</v>
      </c>
      <c r="E2742">
        <v>98272</v>
      </c>
      <c r="F2742" t="s">
        <v>1575</v>
      </c>
      <c r="G2742" t="s">
        <v>1989</v>
      </c>
      <c r="H2742" t="s">
        <v>4957</v>
      </c>
      <c r="I2742">
        <v>47.857486000000002</v>
      </c>
      <c r="J2742">
        <v>-121.970879</v>
      </c>
      <c r="K2742" t="s">
        <v>3936</v>
      </c>
      <c r="L2742" t="s">
        <v>3946</v>
      </c>
      <c r="M2742" t="s">
        <v>4888</v>
      </c>
      <c r="P2742" t="s">
        <v>3809</v>
      </c>
    </row>
    <row r="2743" spans="1:16" x14ac:dyDescent="0.2">
      <c r="A2743" t="s">
        <v>1597</v>
      </c>
      <c r="B2743" s="5" t="s">
        <v>6189</v>
      </c>
      <c r="C2743" t="s">
        <v>3201</v>
      </c>
      <c r="D2743" t="s">
        <v>2307</v>
      </c>
      <c r="E2743">
        <v>98270</v>
      </c>
      <c r="F2743" t="s">
        <v>1573</v>
      </c>
      <c r="G2743" t="s">
        <v>1990</v>
      </c>
      <c r="H2743" t="s">
        <v>5024</v>
      </c>
      <c r="I2743">
        <v>48.083523999999997</v>
      </c>
      <c r="J2743">
        <v>-122.17319500000001</v>
      </c>
      <c r="K2743" t="s">
        <v>3936</v>
      </c>
      <c r="L2743" t="s">
        <v>3946</v>
      </c>
      <c r="M2743" t="s">
        <v>4888</v>
      </c>
      <c r="P2743" t="s">
        <v>3869</v>
      </c>
    </row>
    <row r="2744" spans="1:16" x14ac:dyDescent="0.2">
      <c r="A2744" t="s">
        <v>2158</v>
      </c>
      <c r="B2744" s="5" t="s">
        <v>6195</v>
      </c>
      <c r="C2744" t="s">
        <v>3067</v>
      </c>
      <c r="D2744" t="s">
        <v>2307</v>
      </c>
      <c r="E2744">
        <v>98433</v>
      </c>
      <c r="F2744" t="s">
        <v>1716</v>
      </c>
      <c r="G2744" t="s">
        <v>2000</v>
      </c>
      <c r="H2744" t="s">
        <v>4829</v>
      </c>
      <c r="I2744">
        <v>47.089920999999997</v>
      </c>
      <c r="J2744">
        <v>-122.589877</v>
      </c>
      <c r="K2744" t="s">
        <v>3936</v>
      </c>
      <c r="L2744" t="s">
        <v>3946</v>
      </c>
      <c r="M2744" t="s">
        <v>4888</v>
      </c>
      <c r="P2744" t="s">
        <v>6047</v>
      </c>
    </row>
    <row r="2745" spans="1:16" x14ac:dyDescent="0.2">
      <c r="A2745" t="s">
        <v>1874</v>
      </c>
      <c r="B2745" s="5" t="s">
        <v>6196</v>
      </c>
      <c r="C2745" t="s">
        <v>3329</v>
      </c>
      <c r="D2745" t="s">
        <v>2307</v>
      </c>
      <c r="E2745">
        <v>98223</v>
      </c>
      <c r="F2745" t="s">
        <v>1583</v>
      </c>
      <c r="G2745" t="s">
        <v>1980</v>
      </c>
      <c r="H2745" t="s">
        <v>4215</v>
      </c>
      <c r="I2745">
        <v>48.197560000000003</v>
      </c>
      <c r="J2745">
        <v>-122.128044</v>
      </c>
      <c r="K2745" t="s">
        <v>3936</v>
      </c>
      <c r="L2745" t="s">
        <v>3946</v>
      </c>
      <c r="M2745" t="s">
        <v>4888</v>
      </c>
      <c r="P2745" t="s">
        <v>3903</v>
      </c>
    </row>
    <row r="2746" spans="1:16" x14ac:dyDescent="0.2">
      <c r="A2746" t="s">
        <v>2081</v>
      </c>
      <c r="B2746" s="5" t="s">
        <v>6197</v>
      </c>
      <c r="C2746" t="s">
        <v>2968</v>
      </c>
      <c r="D2746" t="s">
        <v>2307</v>
      </c>
      <c r="E2746">
        <v>98038</v>
      </c>
      <c r="F2746" t="s">
        <v>1600</v>
      </c>
      <c r="G2746" t="s">
        <v>1968</v>
      </c>
      <c r="H2746" t="s">
        <v>4623</v>
      </c>
      <c r="I2746">
        <v>47.392521000000002</v>
      </c>
      <c r="J2746">
        <v>-122.045649</v>
      </c>
      <c r="K2746" t="s">
        <v>3936</v>
      </c>
      <c r="L2746" t="s">
        <v>3946</v>
      </c>
      <c r="M2746" t="s">
        <v>4906</v>
      </c>
      <c r="P2746" t="s">
        <v>2967</v>
      </c>
    </row>
    <row r="2747" spans="1:16" x14ac:dyDescent="0.2">
      <c r="A2747" t="s">
        <v>1780</v>
      </c>
      <c r="B2747" s="5" t="s">
        <v>6198</v>
      </c>
      <c r="C2747" t="s">
        <v>2900</v>
      </c>
      <c r="D2747" t="s">
        <v>2307</v>
      </c>
      <c r="E2747">
        <v>98204</v>
      </c>
      <c r="F2747" t="s">
        <v>1587</v>
      </c>
      <c r="G2747" t="s">
        <v>1989</v>
      </c>
      <c r="H2747" t="s">
        <v>5550</v>
      </c>
      <c r="I2747">
        <v>47.882077000000002</v>
      </c>
      <c r="J2747">
        <v>-122.235857</v>
      </c>
      <c r="K2747" t="s">
        <v>3936</v>
      </c>
      <c r="L2747" t="s">
        <v>3946</v>
      </c>
      <c r="M2747" t="s">
        <v>4907</v>
      </c>
      <c r="P2747" t="s">
        <v>6058</v>
      </c>
    </row>
    <row r="2748" spans="1:16" x14ac:dyDescent="0.2">
      <c r="A2748" t="s">
        <v>2048</v>
      </c>
      <c r="B2748" s="5" t="s">
        <v>6199</v>
      </c>
      <c r="C2748" t="s">
        <v>66</v>
      </c>
      <c r="D2748" t="s">
        <v>2307</v>
      </c>
      <c r="E2748">
        <v>98118</v>
      </c>
      <c r="F2748" t="s">
        <v>1573</v>
      </c>
      <c r="G2748" t="s">
        <v>2014</v>
      </c>
      <c r="H2748" t="s">
        <v>4349</v>
      </c>
      <c r="I2748">
        <v>47.551817</v>
      </c>
      <c r="J2748">
        <v>-122.288037</v>
      </c>
      <c r="K2748" t="s">
        <v>3936</v>
      </c>
      <c r="L2748" t="s">
        <v>3946</v>
      </c>
      <c r="M2748" t="s">
        <v>5575</v>
      </c>
      <c r="P2748" t="s">
        <v>2491</v>
      </c>
    </row>
    <row r="2749" spans="1:16" x14ac:dyDescent="0.2">
      <c r="A2749" t="s">
        <v>2011</v>
      </c>
      <c r="B2749" s="5" t="s">
        <v>6203</v>
      </c>
      <c r="C2749" t="s">
        <v>2968</v>
      </c>
      <c r="D2749" t="s">
        <v>2307</v>
      </c>
      <c r="E2749">
        <v>98038</v>
      </c>
      <c r="F2749" t="s">
        <v>1573</v>
      </c>
      <c r="G2749" t="s">
        <v>1986</v>
      </c>
      <c r="H2749" t="s">
        <v>4664</v>
      </c>
      <c r="I2749">
        <v>47.360247000000001</v>
      </c>
      <c r="J2749">
        <v>-122.02074500000001</v>
      </c>
      <c r="K2749" t="s">
        <v>3936</v>
      </c>
      <c r="L2749" t="s">
        <v>3946</v>
      </c>
      <c r="M2749" t="s">
        <v>5575</v>
      </c>
      <c r="P2749" t="s">
        <v>3052</v>
      </c>
    </row>
    <row r="2750" spans="1:16" x14ac:dyDescent="0.2">
      <c r="A2750" t="s">
        <v>5576</v>
      </c>
      <c r="B2750" s="5" t="s">
        <v>6205</v>
      </c>
      <c r="C2750" t="s">
        <v>3067</v>
      </c>
      <c r="D2750" t="s">
        <v>2307</v>
      </c>
      <c r="E2750">
        <v>98407</v>
      </c>
      <c r="F2750" t="s">
        <v>1573</v>
      </c>
      <c r="G2750" t="s">
        <v>5584</v>
      </c>
      <c r="H2750" t="s">
        <v>5987</v>
      </c>
      <c r="I2750">
        <v>47.271296</v>
      </c>
      <c r="J2750">
        <v>-122.515685</v>
      </c>
      <c r="K2750" t="s">
        <v>3936</v>
      </c>
      <c r="L2750" t="s">
        <v>3946</v>
      </c>
      <c r="M2750" t="s">
        <v>5575</v>
      </c>
      <c r="P2750" t="s">
        <v>5595</v>
      </c>
    </row>
    <row r="2751" spans="1:16" x14ac:dyDescent="0.2">
      <c r="A2751" t="s">
        <v>2011</v>
      </c>
      <c r="B2751" s="5" t="s">
        <v>6206</v>
      </c>
      <c r="C2751" t="s">
        <v>3138</v>
      </c>
      <c r="D2751" t="s">
        <v>2307</v>
      </c>
      <c r="E2751">
        <v>98045</v>
      </c>
      <c r="F2751" t="s">
        <v>1573</v>
      </c>
      <c r="G2751" t="s">
        <v>1986</v>
      </c>
      <c r="H2751" t="s">
        <v>4707</v>
      </c>
      <c r="I2751">
        <v>47.491539000000003</v>
      </c>
      <c r="J2751">
        <v>-121.793277</v>
      </c>
      <c r="K2751" t="s">
        <v>3936</v>
      </c>
      <c r="L2751" t="s">
        <v>3946</v>
      </c>
      <c r="M2751" t="s">
        <v>5575</v>
      </c>
      <c r="P2751" t="s">
        <v>6167</v>
      </c>
    </row>
    <row r="2752" spans="1:16" x14ac:dyDescent="0.2">
      <c r="A2752" t="s">
        <v>3955</v>
      </c>
      <c r="B2752" s="5" t="s">
        <v>6207</v>
      </c>
      <c r="C2752" t="s">
        <v>3093</v>
      </c>
      <c r="D2752" t="s">
        <v>2307</v>
      </c>
      <c r="E2752">
        <v>98409</v>
      </c>
      <c r="F2752" t="s">
        <v>1658</v>
      </c>
      <c r="G2752" t="s">
        <v>2148</v>
      </c>
      <c r="H2752" t="s">
        <v>6005</v>
      </c>
      <c r="I2752">
        <v>47.217892999999997</v>
      </c>
      <c r="J2752">
        <v>-122.46785300000001</v>
      </c>
      <c r="K2752" t="s">
        <v>3936</v>
      </c>
      <c r="L2752" t="s">
        <v>3946</v>
      </c>
      <c r="M2752" t="s">
        <v>5575</v>
      </c>
      <c r="P2752" t="s">
        <v>5297</v>
      </c>
    </row>
    <row r="2753" spans="1:16" x14ac:dyDescent="0.2">
      <c r="A2753" t="s">
        <v>2011</v>
      </c>
      <c r="B2753" s="5" t="s">
        <v>6208</v>
      </c>
      <c r="C2753" t="s">
        <v>3186</v>
      </c>
      <c r="D2753" t="s">
        <v>2307</v>
      </c>
      <c r="E2753">
        <v>98371</v>
      </c>
      <c r="F2753" t="s">
        <v>1573</v>
      </c>
      <c r="G2753" t="s">
        <v>1986</v>
      </c>
      <c r="H2753" t="s">
        <v>4737</v>
      </c>
      <c r="I2753">
        <v>47.200049999999997</v>
      </c>
      <c r="J2753">
        <v>-122.294254</v>
      </c>
      <c r="K2753" t="s">
        <v>3936</v>
      </c>
      <c r="L2753" t="s">
        <v>3946</v>
      </c>
      <c r="M2753" t="s">
        <v>5575</v>
      </c>
      <c r="P2753" t="s">
        <v>6169</v>
      </c>
    </row>
    <row r="2754" spans="1:16" x14ac:dyDescent="0.2">
      <c r="A2754" t="s">
        <v>3955</v>
      </c>
      <c r="B2754" s="5" t="s">
        <v>6209</v>
      </c>
      <c r="C2754" t="s">
        <v>3313</v>
      </c>
      <c r="D2754" t="s">
        <v>2307</v>
      </c>
      <c r="E2754">
        <v>98373</v>
      </c>
      <c r="F2754" t="s">
        <v>1658</v>
      </c>
      <c r="G2754" t="s">
        <v>2125</v>
      </c>
      <c r="H2754" t="s">
        <v>5300</v>
      </c>
      <c r="I2754">
        <v>47.157916999999998</v>
      </c>
      <c r="J2754">
        <v>-122.293207</v>
      </c>
      <c r="K2754" t="s">
        <v>3936</v>
      </c>
      <c r="L2754" t="s">
        <v>3946</v>
      </c>
      <c r="M2754" t="s">
        <v>5575</v>
      </c>
      <c r="P2754" t="s">
        <v>5786</v>
      </c>
    </row>
    <row r="2755" spans="1:16" x14ac:dyDescent="0.2">
      <c r="A2755" t="s">
        <v>1909</v>
      </c>
      <c r="B2755" s="5" t="s">
        <v>6187</v>
      </c>
      <c r="C2755" t="s">
        <v>66</v>
      </c>
      <c r="D2755" t="s">
        <v>2307</v>
      </c>
      <c r="E2755">
        <v>98104</v>
      </c>
      <c r="F2755" t="s">
        <v>1573</v>
      </c>
      <c r="G2755" t="s">
        <v>1974</v>
      </c>
      <c r="H2755" t="s">
        <v>4011</v>
      </c>
      <c r="I2755">
        <v>47.603811999999998</v>
      </c>
      <c r="J2755">
        <v>-122.338556</v>
      </c>
      <c r="K2755" t="s">
        <v>3936</v>
      </c>
      <c r="L2755" t="s">
        <v>3946</v>
      </c>
      <c r="M2755" t="s">
        <v>3947</v>
      </c>
      <c r="P2755" t="s">
        <v>6021</v>
      </c>
    </row>
    <row r="2756" spans="1:16" x14ac:dyDescent="0.2">
      <c r="A2756" t="s">
        <v>1597</v>
      </c>
      <c r="B2756" s="5" t="s">
        <v>6187</v>
      </c>
      <c r="C2756" t="s">
        <v>66</v>
      </c>
      <c r="D2756" t="s">
        <v>2307</v>
      </c>
      <c r="E2756">
        <v>98104</v>
      </c>
      <c r="F2756" t="s">
        <v>1573</v>
      </c>
      <c r="G2756" t="s">
        <v>1990</v>
      </c>
      <c r="H2756" t="s">
        <v>5794</v>
      </c>
      <c r="I2756">
        <v>47.603811999999998</v>
      </c>
      <c r="J2756">
        <v>-122.338556</v>
      </c>
      <c r="K2756" t="s">
        <v>3936</v>
      </c>
      <c r="L2756" t="s">
        <v>3946</v>
      </c>
      <c r="M2756" t="s">
        <v>3948</v>
      </c>
      <c r="P2756" t="s">
        <v>3546</v>
      </c>
    </row>
    <row r="2757" spans="1:16" x14ac:dyDescent="0.2">
      <c r="A2757" t="s">
        <v>1597</v>
      </c>
      <c r="B2757" t="s">
        <v>6188</v>
      </c>
      <c r="C2757" t="s">
        <v>3686</v>
      </c>
      <c r="D2757" t="s">
        <v>2307</v>
      </c>
      <c r="E2757">
        <v>98188</v>
      </c>
      <c r="F2757" t="s">
        <v>1573</v>
      </c>
      <c r="G2757" t="s">
        <v>1990</v>
      </c>
      <c r="H2757" t="s">
        <v>4104</v>
      </c>
      <c r="I2757">
        <v>47.463920000000002</v>
      </c>
      <c r="J2757">
        <v>-122.29921299999999</v>
      </c>
      <c r="K2757" t="s">
        <v>3936</v>
      </c>
      <c r="L2757" t="s">
        <v>3946</v>
      </c>
      <c r="M2757" t="s">
        <v>3948</v>
      </c>
      <c r="P2757" t="s">
        <v>3685</v>
      </c>
    </row>
    <row r="2758" spans="1:16" x14ac:dyDescent="0.2">
      <c r="A2758" t="s">
        <v>1780</v>
      </c>
      <c r="B2758" s="5" t="s">
        <v>6198</v>
      </c>
      <c r="C2758" t="s">
        <v>2900</v>
      </c>
      <c r="D2758" t="s">
        <v>2307</v>
      </c>
      <c r="E2758">
        <v>98204</v>
      </c>
      <c r="F2758" t="s">
        <v>1587</v>
      </c>
      <c r="G2758" t="s">
        <v>1989</v>
      </c>
      <c r="H2758" t="s">
        <v>5550</v>
      </c>
      <c r="I2758">
        <v>47.882077000000002</v>
      </c>
      <c r="J2758">
        <v>-122.235857</v>
      </c>
      <c r="K2758" t="s">
        <v>3936</v>
      </c>
      <c r="L2758" t="s">
        <v>3946</v>
      </c>
      <c r="M2758" t="s">
        <v>3948</v>
      </c>
      <c r="P2758" t="s">
        <v>6058</v>
      </c>
    </row>
    <row r="2759" spans="1:16" x14ac:dyDescent="0.2">
      <c r="A2759" t="s">
        <v>1817</v>
      </c>
      <c r="B2759" s="5" t="s">
        <v>6194</v>
      </c>
      <c r="C2759" t="s">
        <v>2995</v>
      </c>
      <c r="D2759" t="s">
        <v>2307</v>
      </c>
      <c r="E2759">
        <v>98272</v>
      </c>
      <c r="F2759" t="s">
        <v>1575</v>
      </c>
      <c r="G2759" t="s">
        <v>1989</v>
      </c>
      <c r="H2759" t="s">
        <v>4957</v>
      </c>
      <c r="I2759">
        <v>47.857486000000002</v>
      </c>
      <c r="J2759">
        <v>-121.970879</v>
      </c>
      <c r="K2759" t="s">
        <v>3936</v>
      </c>
      <c r="L2759" t="s">
        <v>3946</v>
      </c>
      <c r="M2759" t="s">
        <v>3948</v>
      </c>
      <c r="P2759" t="s">
        <v>3809</v>
      </c>
    </row>
    <row r="2760" spans="1:16" x14ac:dyDescent="0.2">
      <c r="A2760" t="s">
        <v>1597</v>
      </c>
      <c r="B2760" s="5" t="s">
        <v>6189</v>
      </c>
      <c r="C2760" t="s">
        <v>3201</v>
      </c>
      <c r="D2760" t="s">
        <v>2307</v>
      </c>
      <c r="E2760">
        <v>98270</v>
      </c>
      <c r="F2760" t="s">
        <v>1573</v>
      </c>
      <c r="G2760" t="s">
        <v>1990</v>
      </c>
      <c r="H2760" t="s">
        <v>5024</v>
      </c>
      <c r="I2760">
        <v>48.083523999999997</v>
      </c>
      <c r="J2760">
        <v>-122.17319500000001</v>
      </c>
      <c r="K2760" t="s">
        <v>3936</v>
      </c>
      <c r="L2760" t="s">
        <v>3946</v>
      </c>
      <c r="M2760" t="s">
        <v>3948</v>
      </c>
      <c r="P2760" t="s">
        <v>3869</v>
      </c>
    </row>
    <row r="2761" spans="1:16" x14ac:dyDescent="0.2">
      <c r="A2761" t="s">
        <v>1874</v>
      </c>
      <c r="B2761" s="5" t="s">
        <v>6196</v>
      </c>
      <c r="C2761" t="s">
        <v>3329</v>
      </c>
      <c r="D2761" t="s">
        <v>2307</v>
      </c>
      <c r="E2761">
        <v>98223</v>
      </c>
      <c r="F2761" t="s">
        <v>1583</v>
      </c>
      <c r="G2761" t="s">
        <v>1980</v>
      </c>
      <c r="H2761" t="s">
        <v>4215</v>
      </c>
      <c r="I2761">
        <v>48.197560000000003</v>
      </c>
      <c r="J2761">
        <v>-122.128044</v>
      </c>
      <c r="K2761" t="s">
        <v>3936</v>
      </c>
      <c r="L2761" t="s">
        <v>3946</v>
      </c>
      <c r="M2761" t="s">
        <v>3948</v>
      </c>
      <c r="P2761" t="s">
        <v>3903</v>
      </c>
    </row>
    <row r="2762" spans="1:16" x14ac:dyDescent="0.2">
      <c r="A2762" t="s">
        <v>2020</v>
      </c>
      <c r="B2762" s="5" t="s">
        <v>6191</v>
      </c>
      <c r="C2762" t="s">
        <v>66</v>
      </c>
      <c r="D2762" t="s">
        <v>2307</v>
      </c>
      <c r="E2762">
        <v>98105</v>
      </c>
      <c r="F2762" t="s">
        <v>1716</v>
      </c>
      <c r="G2762" t="s">
        <v>2005</v>
      </c>
      <c r="H2762" t="s">
        <v>4261</v>
      </c>
      <c r="I2762">
        <v>47.665658999999998</v>
      </c>
      <c r="J2762">
        <v>-122.314379</v>
      </c>
      <c r="K2762" t="s">
        <v>3936</v>
      </c>
      <c r="L2762" t="s">
        <v>3946</v>
      </c>
      <c r="M2762" t="s">
        <v>5575</v>
      </c>
      <c r="P2762" t="s">
        <v>2328</v>
      </c>
    </row>
    <row r="2763" spans="1:16" x14ac:dyDescent="0.2">
      <c r="A2763" t="s">
        <v>2006</v>
      </c>
      <c r="B2763" t="s">
        <v>6190</v>
      </c>
      <c r="C2763" t="s">
        <v>66</v>
      </c>
      <c r="D2763" t="s">
        <v>2307</v>
      </c>
      <c r="E2763">
        <v>98101</v>
      </c>
      <c r="F2763" t="s">
        <v>1716</v>
      </c>
      <c r="G2763" t="s">
        <v>1989</v>
      </c>
      <c r="H2763" t="s">
        <v>5046</v>
      </c>
      <c r="I2763">
        <v>47.605207</v>
      </c>
      <c r="J2763">
        <v>-122.339896</v>
      </c>
      <c r="K2763" t="s">
        <v>3936</v>
      </c>
      <c r="L2763" t="s">
        <v>3946</v>
      </c>
      <c r="M2763" t="s">
        <v>5575</v>
      </c>
      <c r="P2763" t="s">
        <v>2363</v>
      </c>
    </row>
    <row r="2764" spans="1:16" x14ac:dyDescent="0.2">
      <c r="A2764" t="s">
        <v>2011</v>
      </c>
      <c r="B2764" t="s">
        <v>6374</v>
      </c>
      <c r="C2764" t="s">
        <v>66</v>
      </c>
      <c r="D2764" t="s">
        <v>2307</v>
      </c>
      <c r="E2764">
        <v>98107</v>
      </c>
      <c r="F2764" t="s">
        <v>1573</v>
      </c>
      <c r="G2764" t="s">
        <v>1986</v>
      </c>
      <c r="H2764" t="s">
        <v>4317</v>
      </c>
      <c r="I2764">
        <v>47.667315000000002</v>
      </c>
      <c r="J2764">
        <v>-122.37494700000001</v>
      </c>
      <c r="K2764" t="s">
        <v>3937</v>
      </c>
      <c r="L2764" t="s">
        <v>3946</v>
      </c>
      <c r="M2764" t="s">
        <v>5575</v>
      </c>
      <c r="P2764" t="s">
        <v>6096</v>
      </c>
    </row>
    <row r="2765" spans="1:16" x14ac:dyDescent="0.2">
      <c r="A2765" t="s">
        <v>2103</v>
      </c>
      <c r="B2765" t="s">
        <v>2501</v>
      </c>
      <c r="C2765" t="s">
        <v>2502</v>
      </c>
      <c r="D2765" t="s">
        <v>2307</v>
      </c>
      <c r="E2765">
        <v>98004</v>
      </c>
      <c r="F2765" t="s">
        <v>1600</v>
      </c>
      <c r="G2765" t="s">
        <v>2107</v>
      </c>
      <c r="H2765" t="s">
        <v>5844</v>
      </c>
      <c r="I2765">
        <v>47.618360000000003</v>
      </c>
      <c r="J2765">
        <v>-122.203138</v>
      </c>
      <c r="K2765" t="s">
        <v>3937</v>
      </c>
      <c r="L2765" t="s">
        <v>3946</v>
      </c>
      <c r="M2765" t="s">
        <v>5575</v>
      </c>
      <c r="P2765" t="s">
        <v>2501</v>
      </c>
    </row>
    <row r="2766" spans="1:16" x14ac:dyDescent="0.2">
      <c r="A2766" t="s">
        <v>2025</v>
      </c>
      <c r="B2766" t="s">
        <v>2577</v>
      </c>
      <c r="C2766" t="s">
        <v>2555</v>
      </c>
      <c r="D2766" t="s">
        <v>2307</v>
      </c>
      <c r="E2766">
        <v>98110</v>
      </c>
      <c r="F2766" t="s">
        <v>1573</v>
      </c>
      <c r="G2766" t="s">
        <v>2026</v>
      </c>
      <c r="H2766" t="s">
        <v>4397</v>
      </c>
      <c r="I2766">
        <v>47.642997000000001</v>
      </c>
      <c r="J2766">
        <v>-122.531902</v>
      </c>
      <c r="K2766" t="s">
        <v>3937</v>
      </c>
      <c r="L2766" t="s">
        <v>3946</v>
      </c>
      <c r="M2766" t="s">
        <v>5575</v>
      </c>
      <c r="P2766" t="s">
        <v>2577</v>
      </c>
    </row>
    <row r="2767" spans="1:16" x14ac:dyDescent="0.2">
      <c r="A2767" t="s">
        <v>5576</v>
      </c>
      <c r="B2767" s="5" t="s">
        <v>2601</v>
      </c>
      <c r="C2767" t="s">
        <v>2502</v>
      </c>
      <c r="D2767" t="s">
        <v>2307</v>
      </c>
      <c r="E2767">
        <v>98008</v>
      </c>
      <c r="F2767" t="s">
        <v>1573</v>
      </c>
      <c r="G2767" t="s">
        <v>5581</v>
      </c>
      <c r="H2767" t="s">
        <v>5864</v>
      </c>
      <c r="I2767">
        <v>47.617179999999998</v>
      </c>
      <c r="J2767">
        <v>-122.13212799999999</v>
      </c>
      <c r="K2767" t="s">
        <v>3936</v>
      </c>
      <c r="L2767" t="s">
        <v>3946</v>
      </c>
      <c r="M2767" t="s">
        <v>5575</v>
      </c>
      <c r="P2767" t="s">
        <v>6118</v>
      </c>
    </row>
    <row r="2768" spans="1:16" x14ac:dyDescent="0.2">
      <c r="A2768" t="s">
        <v>5576</v>
      </c>
      <c r="B2768" s="5" t="s">
        <v>6210</v>
      </c>
      <c r="C2768" t="s">
        <v>2586</v>
      </c>
      <c r="D2768" t="s">
        <v>2307</v>
      </c>
      <c r="E2768">
        <v>98052</v>
      </c>
      <c r="F2768" t="s">
        <v>1573</v>
      </c>
      <c r="G2768" t="s">
        <v>5581</v>
      </c>
      <c r="H2768" t="s">
        <v>5875</v>
      </c>
      <c r="I2768">
        <v>47.670194000000002</v>
      </c>
      <c r="J2768">
        <v>-122.121709</v>
      </c>
      <c r="K2768" t="s">
        <v>3936</v>
      </c>
      <c r="L2768" t="s">
        <v>3946</v>
      </c>
      <c r="M2768" t="s">
        <v>5575</v>
      </c>
      <c r="P2768" t="s">
        <v>6123</v>
      </c>
    </row>
    <row r="2769" spans="1:16" x14ac:dyDescent="0.2">
      <c r="A2769" t="s">
        <v>2011</v>
      </c>
      <c r="B2769" s="5" t="s">
        <v>6211</v>
      </c>
      <c r="C2769" t="s">
        <v>2548</v>
      </c>
      <c r="D2769" t="s">
        <v>2307</v>
      </c>
      <c r="E2769">
        <v>98011</v>
      </c>
      <c r="F2769" t="s">
        <v>1573</v>
      </c>
      <c r="G2769" t="s">
        <v>1986</v>
      </c>
      <c r="H2769" t="s">
        <v>4446</v>
      </c>
      <c r="I2769">
        <v>47.759005000000002</v>
      </c>
      <c r="J2769">
        <v>-122.190479</v>
      </c>
      <c r="K2769" t="s">
        <v>3936</v>
      </c>
      <c r="L2769" t="s">
        <v>3946</v>
      </c>
      <c r="M2769" t="s">
        <v>5575</v>
      </c>
      <c r="P2769" t="s">
        <v>5728</v>
      </c>
    </row>
    <row r="2770" spans="1:16" x14ac:dyDescent="0.2">
      <c r="A2770" t="s">
        <v>2011</v>
      </c>
      <c r="B2770" s="5" t="s">
        <v>6212</v>
      </c>
      <c r="C2770" t="s">
        <v>2502</v>
      </c>
      <c r="D2770" t="s">
        <v>2307</v>
      </c>
      <c r="E2770">
        <v>98043</v>
      </c>
      <c r="F2770" t="s">
        <v>1573</v>
      </c>
      <c r="G2770" t="s">
        <v>1986</v>
      </c>
      <c r="H2770" t="s">
        <v>4447</v>
      </c>
      <c r="I2770">
        <v>47.792153999999996</v>
      </c>
      <c r="J2770">
        <v>-122.30544399999999</v>
      </c>
      <c r="K2770" t="s">
        <v>3937</v>
      </c>
      <c r="L2770" t="s">
        <v>3946</v>
      </c>
      <c r="M2770" t="s">
        <v>5575</v>
      </c>
      <c r="P2770" t="s">
        <v>2663</v>
      </c>
    </row>
    <row r="2771" spans="1:16" x14ac:dyDescent="0.2">
      <c r="A2771" t="s">
        <v>2161</v>
      </c>
      <c r="B2771" t="s">
        <v>2696</v>
      </c>
      <c r="C2771" t="s">
        <v>2548</v>
      </c>
      <c r="D2771" t="s">
        <v>2307</v>
      </c>
      <c r="E2771">
        <v>98011</v>
      </c>
      <c r="F2771" t="s">
        <v>1600</v>
      </c>
      <c r="G2771" t="s">
        <v>2162</v>
      </c>
      <c r="H2771" t="s">
        <v>5257</v>
      </c>
      <c r="I2771">
        <v>47.751392000000003</v>
      </c>
      <c r="J2771">
        <v>-122.20220500000001</v>
      </c>
      <c r="K2771" t="s">
        <v>3937</v>
      </c>
      <c r="L2771" t="s">
        <v>3946</v>
      </c>
      <c r="M2771" t="s">
        <v>5575</v>
      </c>
      <c r="P2771" t="s">
        <v>2696</v>
      </c>
    </row>
    <row r="2772" spans="1:16" x14ac:dyDescent="0.2">
      <c r="A2772" t="s">
        <v>3955</v>
      </c>
      <c r="B2772" t="s">
        <v>5258</v>
      </c>
      <c r="C2772" t="s">
        <v>5259</v>
      </c>
      <c r="D2772" t="s">
        <v>2307</v>
      </c>
      <c r="E2772">
        <v>98188</v>
      </c>
      <c r="F2772" t="s">
        <v>1658</v>
      </c>
      <c r="G2772" t="s">
        <v>2148</v>
      </c>
      <c r="H2772" t="s">
        <v>5886</v>
      </c>
      <c r="I2772">
        <v>47.449950000000001</v>
      </c>
      <c r="J2772">
        <v>-122.277919</v>
      </c>
      <c r="K2772" t="s">
        <v>3937</v>
      </c>
      <c r="L2772" t="s">
        <v>3946</v>
      </c>
      <c r="M2772" t="s">
        <v>5575</v>
      </c>
      <c r="P2772" t="s">
        <v>5258</v>
      </c>
    </row>
    <row r="2773" spans="1:16" x14ac:dyDescent="0.2">
      <c r="A2773" t="s">
        <v>2169</v>
      </c>
      <c r="B2773" t="s">
        <v>6375</v>
      </c>
      <c r="C2773" t="s">
        <v>2636</v>
      </c>
      <c r="D2773" t="s">
        <v>2307</v>
      </c>
      <c r="E2773">
        <v>98188</v>
      </c>
      <c r="F2773" t="s">
        <v>1658</v>
      </c>
      <c r="G2773" t="s">
        <v>2170</v>
      </c>
      <c r="H2773" t="s">
        <v>4484</v>
      </c>
      <c r="I2773">
        <v>47.450007999999997</v>
      </c>
      <c r="J2773">
        <v>-122.277739</v>
      </c>
      <c r="K2773" t="s">
        <v>3937</v>
      </c>
      <c r="L2773" t="s">
        <v>3946</v>
      </c>
      <c r="M2773" t="s">
        <v>5575</v>
      </c>
      <c r="P2773" t="s">
        <v>6128</v>
      </c>
    </row>
    <row r="2774" spans="1:16" x14ac:dyDescent="0.2">
      <c r="A2774" t="s">
        <v>2173</v>
      </c>
      <c r="B2774" s="5" t="s">
        <v>6192</v>
      </c>
      <c r="C2774" t="s">
        <v>2636</v>
      </c>
      <c r="D2774" t="s">
        <v>2307</v>
      </c>
      <c r="E2774">
        <v>98188</v>
      </c>
      <c r="F2774" t="s">
        <v>5573</v>
      </c>
      <c r="G2774" t="s">
        <v>2005</v>
      </c>
      <c r="H2774" t="s">
        <v>5802</v>
      </c>
      <c r="I2774">
        <v>47.434063000000002</v>
      </c>
      <c r="J2774">
        <v>-122.274265</v>
      </c>
      <c r="K2774" t="s">
        <v>3937</v>
      </c>
      <c r="L2774" t="s">
        <v>3946</v>
      </c>
      <c r="M2774" t="s">
        <v>5575</v>
      </c>
      <c r="P2774" t="s">
        <v>2730</v>
      </c>
    </row>
    <row r="2775" spans="1:16" x14ac:dyDescent="0.2">
      <c r="A2775" t="s">
        <v>2174</v>
      </c>
      <c r="B2775" s="5" t="s">
        <v>6192</v>
      </c>
      <c r="C2775" t="s">
        <v>2636</v>
      </c>
      <c r="D2775" t="s">
        <v>2307</v>
      </c>
      <c r="E2775">
        <v>98188</v>
      </c>
      <c r="F2775" t="s">
        <v>1591</v>
      </c>
      <c r="G2775" t="s">
        <v>1969</v>
      </c>
      <c r="H2775" t="s">
        <v>4953</v>
      </c>
      <c r="I2775">
        <v>47.434063000000002</v>
      </c>
      <c r="J2775">
        <v>-122.274265</v>
      </c>
      <c r="K2775" t="s">
        <v>3937</v>
      </c>
      <c r="L2775" t="s">
        <v>3946</v>
      </c>
      <c r="M2775" t="s">
        <v>5575</v>
      </c>
      <c r="P2775" t="s">
        <v>2730</v>
      </c>
    </row>
    <row r="2776" spans="1:16" x14ac:dyDescent="0.2">
      <c r="A2776" t="s">
        <v>3954</v>
      </c>
      <c r="B2776" t="s">
        <v>2769</v>
      </c>
      <c r="C2776" t="s">
        <v>2744</v>
      </c>
      <c r="D2776" t="s">
        <v>2307</v>
      </c>
      <c r="E2776">
        <v>98366</v>
      </c>
      <c r="F2776" t="s">
        <v>1600</v>
      </c>
      <c r="G2776" t="s">
        <v>2139</v>
      </c>
      <c r="H2776" t="s">
        <v>5267</v>
      </c>
      <c r="I2776">
        <v>47.531500000000001</v>
      </c>
      <c r="J2776">
        <v>-122.59890900000001</v>
      </c>
      <c r="K2776" t="s">
        <v>3937</v>
      </c>
      <c r="L2776" t="s">
        <v>3946</v>
      </c>
      <c r="M2776" t="s">
        <v>5575</v>
      </c>
      <c r="P2776" t="s">
        <v>2769</v>
      </c>
    </row>
    <row r="2777" spans="1:16" x14ac:dyDescent="0.2">
      <c r="A2777" t="s">
        <v>2015</v>
      </c>
      <c r="B2777" s="5" t="s">
        <v>6200</v>
      </c>
      <c r="C2777" t="s">
        <v>2785</v>
      </c>
      <c r="D2777" t="s">
        <v>2307</v>
      </c>
      <c r="E2777">
        <v>98027</v>
      </c>
      <c r="F2777" t="s">
        <v>1573</v>
      </c>
      <c r="G2777" t="s">
        <v>2071</v>
      </c>
      <c r="H2777" t="s">
        <v>5908</v>
      </c>
      <c r="I2777">
        <v>47.519382</v>
      </c>
      <c r="J2777">
        <v>-122.042096</v>
      </c>
      <c r="K2777" t="s">
        <v>3937</v>
      </c>
      <c r="L2777" t="s">
        <v>3946</v>
      </c>
      <c r="M2777" t="s">
        <v>5575</v>
      </c>
      <c r="P2777" t="s">
        <v>6135</v>
      </c>
    </row>
    <row r="2778" spans="1:16" x14ac:dyDescent="0.2">
      <c r="A2778" t="s">
        <v>2011</v>
      </c>
      <c r="B2778" t="s">
        <v>2826</v>
      </c>
      <c r="C2778" t="s">
        <v>2754</v>
      </c>
      <c r="D2778" t="s">
        <v>2307</v>
      </c>
      <c r="E2778">
        <v>98314</v>
      </c>
      <c r="F2778" t="s">
        <v>1573</v>
      </c>
      <c r="G2778" t="s">
        <v>1986</v>
      </c>
      <c r="H2778" t="s">
        <v>4540</v>
      </c>
      <c r="I2778">
        <v>47.558937</v>
      </c>
      <c r="J2778">
        <v>-122.649689</v>
      </c>
      <c r="K2778" t="s">
        <v>3937</v>
      </c>
      <c r="L2778" t="s">
        <v>3946</v>
      </c>
      <c r="M2778" t="s">
        <v>5575</v>
      </c>
      <c r="P2778" t="s">
        <v>5773</v>
      </c>
    </row>
    <row r="2779" spans="1:16" x14ac:dyDescent="0.2">
      <c r="A2779" t="s">
        <v>2011</v>
      </c>
      <c r="B2779" s="5" t="s">
        <v>6201</v>
      </c>
      <c r="C2779" t="s">
        <v>2754</v>
      </c>
      <c r="D2779" t="s">
        <v>2307</v>
      </c>
      <c r="E2779">
        <v>98312</v>
      </c>
      <c r="F2779" t="s">
        <v>1573</v>
      </c>
      <c r="G2779" t="s">
        <v>1986</v>
      </c>
      <c r="H2779" t="s">
        <v>4570</v>
      </c>
      <c r="I2779">
        <v>47.527394999999999</v>
      </c>
      <c r="J2779">
        <v>-122.730102</v>
      </c>
      <c r="K2779" t="s">
        <v>3937</v>
      </c>
      <c r="L2779" t="s">
        <v>3946</v>
      </c>
      <c r="M2779" t="s">
        <v>5575</v>
      </c>
      <c r="P2779" t="s">
        <v>6012</v>
      </c>
    </row>
    <row r="2780" spans="1:16" x14ac:dyDescent="0.2">
      <c r="A2780" t="s">
        <v>5576</v>
      </c>
      <c r="B2780" s="5" t="s">
        <v>6202</v>
      </c>
      <c r="C2780" t="s">
        <v>2861</v>
      </c>
      <c r="D2780" t="s">
        <v>2307</v>
      </c>
      <c r="E2780">
        <v>98012</v>
      </c>
      <c r="F2780" t="s">
        <v>1573</v>
      </c>
      <c r="G2780" t="s">
        <v>5581</v>
      </c>
      <c r="H2780" t="s">
        <v>5929</v>
      </c>
      <c r="I2780">
        <v>47.84393</v>
      </c>
      <c r="J2780">
        <v>-122.20474900000001</v>
      </c>
      <c r="K2780" t="s">
        <v>3937</v>
      </c>
      <c r="L2780" t="s">
        <v>3946</v>
      </c>
      <c r="M2780" t="s">
        <v>5575</v>
      </c>
      <c r="P2780" t="s">
        <v>6146</v>
      </c>
    </row>
    <row r="2781" spans="1:16" x14ac:dyDescent="0.2">
      <c r="A2781" t="s">
        <v>2081</v>
      </c>
      <c r="B2781" s="5" t="s">
        <v>6197</v>
      </c>
      <c r="C2781" t="s">
        <v>2968</v>
      </c>
      <c r="D2781" t="s">
        <v>2307</v>
      </c>
      <c r="E2781">
        <v>98038</v>
      </c>
      <c r="F2781" t="s">
        <v>1600</v>
      </c>
      <c r="G2781" t="s">
        <v>1968</v>
      </c>
      <c r="H2781" t="s">
        <v>4623</v>
      </c>
      <c r="I2781">
        <v>47.383439000000003</v>
      </c>
      <c r="J2781">
        <v>-122.032235</v>
      </c>
      <c r="K2781" t="s">
        <v>3937</v>
      </c>
      <c r="L2781" t="s">
        <v>3946</v>
      </c>
      <c r="M2781" t="s">
        <v>5575</v>
      </c>
      <c r="P2781" t="s">
        <v>2967</v>
      </c>
    </row>
    <row r="2782" spans="1:16" x14ac:dyDescent="0.2">
      <c r="A2782" t="s">
        <v>2011</v>
      </c>
      <c r="B2782" t="s">
        <v>6376</v>
      </c>
      <c r="C2782" t="s">
        <v>2930</v>
      </c>
      <c r="D2782" t="s">
        <v>2307</v>
      </c>
      <c r="E2782">
        <v>98003</v>
      </c>
      <c r="F2782" t="s">
        <v>1573</v>
      </c>
      <c r="G2782" t="s">
        <v>1986</v>
      </c>
      <c r="H2782" t="s">
        <v>4634</v>
      </c>
      <c r="I2782">
        <v>47.313330999999998</v>
      </c>
      <c r="J2782">
        <v>-122.31357199999999</v>
      </c>
      <c r="K2782" t="s">
        <v>3937</v>
      </c>
      <c r="L2782" t="s">
        <v>3946</v>
      </c>
      <c r="M2782" t="s">
        <v>5575</v>
      </c>
      <c r="P2782" t="s">
        <v>6158</v>
      </c>
    </row>
    <row r="2783" spans="1:16" x14ac:dyDescent="0.2">
      <c r="A2783" t="s">
        <v>2129</v>
      </c>
      <c r="B2783" t="s">
        <v>2984</v>
      </c>
      <c r="C2783" t="s">
        <v>2930</v>
      </c>
      <c r="D2783" t="s">
        <v>2307</v>
      </c>
      <c r="E2783">
        <v>98003</v>
      </c>
      <c r="F2783" t="s">
        <v>1573</v>
      </c>
      <c r="G2783" t="s">
        <v>5580</v>
      </c>
      <c r="H2783" t="s">
        <v>5958</v>
      </c>
      <c r="I2783">
        <v>47.313330999999998</v>
      </c>
      <c r="J2783">
        <v>-122.31357199999999</v>
      </c>
      <c r="K2783" t="s">
        <v>3937</v>
      </c>
      <c r="L2783" t="s">
        <v>3946</v>
      </c>
      <c r="M2783" t="s">
        <v>5575</v>
      </c>
      <c r="P2783" t="s">
        <v>2984</v>
      </c>
    </row>
    <row r="2784" spans="1:16" x14ac:dyDescent="0.2">
      <c r="A2784" t="s">
        <v>2103</v>
      </c>
      <c r="B2784" t="s">
        <v>2998</v>
      </c>
      <c r="C2784" t="s">
        <v>2961</v>
      </c>
      <c r="D2784" t="s">
        <v>2307</v>
      </c>
      <c r="E2784">
        <v>98001</v>
      </c>
      <c r="F2784" t="s">
        <v>1600</v>
      </c>
      <c r="G2784" t="s">
        <v>2107</v>
      </c>
      <c r="H2784" t="s">
        <v>5962</v>
      </c>
      <c r="I2784">
        <v>47.307850000000002</v>
      </c>
      <c r="J2784">
        <v>-122.27065899999999</v>
      </c>
      <c r="K2784" t="s">
        <v>3937</v>
      </c>
      <c r="L2784" t="s">
        <v>3946</v>
      </c>
      <c r="M2784" t="s">
        <v>5575</v>
      </c>
      <c r="P2784" t="s">
        <v>2998</v>
      </c>
    </row>
    <row r="2785" spans="1:16" x14ac:dyDescent="0.2">
      <c r="A2785" t="s">
        <v>2103</v>
      </c>
      <c r="B2785" t="s">
        <v>3029</v>
      </c>
      <c r="C2785" t="s">
        <v>2961</v>
      </c>
      <c r="D2785" t="s">
        <v>2307</v>
      </c>
      <c r="E2785">
        <v>98002</v>
      </c>
      <c r="F2785" t="s">
        <v>1600</v>
      </c>
      <c r="G2785" t="s">
        <v>2107</v>
      </c>
      <c r="H2785" t="s">
        <v>5971</v>
      </c>
      <c r="I2785">
        <v>47.304209999999998</v>
      </c>
      <c r="J2785">
        <v>-122.21616400000001</v>
      </c>
      <c r="K2785" t="s">
        <v>3937</v>
      </c>
      <c r="L2785" t="s">
        <v>3946</v>
      </c>
      <c r="M2785" t="s">
        <v>5575</v>
      </c>
      <c r="P2785" t="s">
        <v>3029</v>
      </c>
    </row>
    <row r="2786" spans="1:16" x14ac:dyDescent="0.2">
      <c r="A2786" t="s">
        <v>3955</v>
      </c>
      <c r="B2786" t="s">
        <v>5286</v>
      </c>
      <c r="C2786" t="s">
        <v>2988</v>
      </c>
      <c r="D2786" t="s">
        <v>2307</v>
      </c>
      <c r="E2786">
        <v>98001</v>
      </c>
      <c r="F2786" t="s">
        <v>1658</v>
      </c>
      <c r="G2786" t="s">
        <v>2128</v>
      </c>
      <c r="H2786" t="s">
        <v>5287</v>
      </c>
      <c r="I2786">
        <v>47.307850000000002</v>
      </c>
      <c r="J2786">
        <v>-122.27065899999999</v>
      </c>
      <c r="K2786" t="s">
        <v>3937</v>
      </c>
      <c r="L2786" t="s">
        <v>3946</v>
      </c>
      <c r="M2786" t="s">
        <v>5575</v>
      </c>
      <c r="P2786" t="s">
        <v>5286</v>
      </c>
    </row>
    <row r="2787" spans="1:16" x14ac:dyDescent="0.2">
      <c r="A2787" t="s">
        <v>2011</v>
      </c>
      <c r="B2787" s="5" t="s">
        <v>6204</v>
      </c>
      <c r="C2787" t="s">
        <v>3014</v>
      </c>
      <c r="D2787" t="s">
        <v>2307</v>
      </c>
      <c r="E2787">
        <v>98065</v>
      </c>
      <c r="F2787" t="s">
        <v>1573</v>
      </c>
      <c r="G2787" t="s">
        <v>1986</v>
      </c>
      <c r="H2787" t="s">
        <v>4680</v>
      </c>
      <c r="I2787">
        <v>47.530369999999998</v>
      </c>
      <c r="J2787">
        <v>-121.846644</v>
      </c>
      <c r="K2787" t="s">
        <v>3937</v>
      </c>
      <c r="L2787" t="s">
        <v>3946</v>
      </c>
      <c r="M2787" t="s">
        <v>5575</v>
      </c>
      <c r="P2787" t="s">
        <v>5782</v>
      </c>
    </row>
    <row r="2788" spans="1:16" x14ac:dyDescent="0.2">
      <c r="A2788" t="s">
        <v>2011</v>
      </c>
      <c r="B2788" t="s">
        <v>3147</v>
      </c>
      <c r="C2788" t="s">
        <v>3067</v>
      </c>
      <c r="D2788" t="s">
        <v>2307</v>
      </c>
      <c r="E2788">
        <v>98403</v>
      </c>
      <c r="F2788" t="s">
        <v>1573</v>
      </c>
      <c r="G2788" t="s">
        <v>1986</v>
      </c>
      <c r="H2788" t="s">
        <v>4711</v>
      </c>
      <c r="I2788">
        <v>47.265515999999998</v>
      </c>
      <c r="J2788">
        <v>-122.459906</v>
      </c>
      <c r="K2788" t="s">
        <v>3937</v>
      </c>
      <c r="L2788" t="s">
        <v>3946</v>
      </c>
      <c r="M2788" t="s">
        <v>5575</v>
      </c>
      <c r="P2788" t="s">
        <v>3147</v>
      </c>
    </row>
    <row r="2789" spans="1:16" x14ac:dyDescent="0.2">
      <c r="A2789" t="s">
        <v>2011</v>
      </c>
      <c r="B2789" t="s">
        <v>6377</v>
      </c>
      <c r="C2789" t="s">
        <v>3255</v>
      </c>
      <c r="D2789" t="s">
        <v>2307</v>
      </c>
      <c r="E2789">
        <v>98271</v>
      </c>
      <c r="F2789" t="s">
        <v>1573</v>
      </c>
      <c r="G2789" t="s">
        <v>1986</v>
      </c>
      <c r="H2789" t="s">
        <v>4780</v>
      </c>
      <c r="I2789">
        <v>48.099176</v>
      </c>
      <c r="J2789">
        <v>-122.210859</v>
      </c>
      <c r="K2789" t="s">
        <v>3937</v>
      </c>
      <c r="L2789" t="s">
        <v>3946</v>
      </c>
      <c r="M2789" t="s">
        <v>5575</v>
      </c>
      <c r="P2789" t="s">
        <v>6173</v>
      </c>
    </row>
    <row r="2790" spans="1:16" x14ac:dyDescent="0.2">
      <c r="A2790" t="s">
        <v>2007</v>
      </c>
      <c r="B2790" t="s">
        <v>3280</v>
      </c>
      <c r="C2790" t="s">
        <v>3281</v>
      </c>
      <c r="D2790" t="s">
        <v>2307</v>
      </c>
      <c r="E2790">
        <v>98433</v>
      </c>
      <c r="F2790" t="s">
        <v>1658</v>
      </c>
      <c r="G2790" t="s">
        <v>2008</v>
      </c>
      <c r="H2790" t="s">
        <v>5622</v>
      </c>
      <c r="I2790">
        <v>47.090809999999998</v>
      </c>
      <c r="J2790">
        <v>-122.58663799999999</v>
      </c>
      <c r="K2790" t="s">
        <v>3937</v>
      </c>
      <c r="L2790" t="s">
        <v>3946</v>
      </c>
      <c r="M2790" t="s">
        <v>5575</v>
      </c>
      <c r="P2790" t="s">
        <v>3280</v>
      </c>
    </row>
    <row r="2791" spans="1:16" x14ac:dyDescent="0.2">
      <c r="A2791" t="s">
        <v>3952</v>
      </c>
      <c r="B2791" t="s">
        <v>3325</v>
      </c>
      <c r="C2791" t="s">
        <v>3326</v>
      </c>
      <c r="D2791" t="s">
        <v>2307</v>
      </c>
      <c r="E2791">
        <v>98498</v>
      </c>
      <c r="F2791" t="s">
        <v>1573</v>
      </c>
      <c r="G2791" t="s">
        <v>2014</v>
      </c>
      <c r="H2791" t="s">
        <v>4817</v>
      </c>
      <c r="I2791">
        <v>47.164776000000003</v>
      </c>
      <c r="J2791">
        <v>-122.557777</v>
      </c>
      <c r="K2791" t="s">
        <v>3937</v>
      </c>
      <c r="L2791" t="s">
        <v>3946</v>
      </c>
      <c r="M2791" t="s">
        <v>5575</v>
      </c>
      <c r="P2791" t="s">
        <v>5742</v>
      </c>
    </row>
    <row r="2792" spans="1:16" x14ac:dyDescent="0.2">
      <c r="A2792" t="s">
        <v>2015</v>
      </c>
      <c r="B2792" t="s">
        <v>3339</v>
      </c>
      <c r="C2792" t="s">
        <v>3338</v>
      </c>
      <c r="D2792" t="s">
        <v>2307</v>
      </c>
      <c r="E2792">
        <v>98360</v>
      </c>
      <c r="F2792" t="s">
        <v>1573</v>
      </c>
      <c r="G2792" t="s">
        <v>2016</v>
      </c>
      <c r="H2792" t="s">
        <v>5640</v>
      </c>
      <c r="I2792">
        <v>47.093044999999996</v>
      </c>
      <c r="J2792">
        <v>-122.19447700000001</v>
      </c>
      <c r="K2792" t="s">
        <v>3937</v>
      </c>
      <c r="L2792" t="s">
        <v>3946</v>
      </c>
      <c r="M2792" t="s">
        <v>5575</v>
      </c>
      <c r="P2792" t="s">
        <v>6179</v>
      </c>
    </row>
    <row r="2793" spans="1:16" x14ac:dyDescent="0.2">
      <c r="A2793" t="s">
        <v>2011</v>
      </c>
      <c r="B2793" t="s">
        <v>3344</v>
      </c>
      <c r="C2793" t="s">
        <v>3345</v>
      </c>
      <c r="D2793" t="s">
        <v>2307</v>
      </c>
      <c r="E2793">
        <v>98387</v>
      </c>
      <c r="F2793" t="s">
        <v>1573</v>
      </c>
      <c r="G2793" t="s">
        <v>1986</v>
      </c>
      <c r="H2793" t="s">
        <v>4827</v>
      </c>
      <c r="I2793">
        <v>47.071730000000002</v>
      </c>
      <c r="J2793">
        <v>-122.390878</v>
      </c>
      <c r="K2793" t="s">
        <v>3937</v>
      </c>
      <c r="L2793" t="s">
        <v>3946</v>
      </c>
      <c r="M2793" t="s">
        <v>5575</v>
      </c>
      <c r="P2793" t="s">
        <v>3344</v>
      </c>
    </row>
    <row r="2794" spans="1:16" x14ac:dyDescent="0.2">
      <c r="A2794" t="s">
        <v>2158</v>
      </c>
      <c r="B2794" t="s">
        <v>6378</v>
      </c>
      <c r="C2794" t="s">
        <v>3067</v>
      </c>
      <c r="D2794" t="s">
        <v>2307</v>
      </c>
      <c r="E2794">
        <v>98433</v>
      </c>
      <c r="F2794" t="s">
        <v>1716</v>
      </c>
      <c r="G2794" t="s">
        <v>2000</v>
      </c>
      <c r="H2794" t="s">
        <v>4829</v>
      </c>
      <c r="I2794">
        <v>47.090809999999998</v>
      </c>
      <c r="J2794">
        <v>-122.58663799999999</v>
      </c>
      <c r="K2794" t="s">
        <v>3937</v>
      </c>
      <c r="L2794" t="s">
        <v>3946</v>
      </c>
      <c r="M2794" t="s">
        <v>5575</v>
      </c>
      <c r="P2794" t="s">
        <v>6047</v>
      </c>
    </row>
    <row r="2795" spans="1:16" x14ac:dyDescent="0.2">
      <c r="A2795" t="s">
        <v>2011</v>
      </c>
      <c r="B2795" t="s">
        <v>3351</v>
      </c>
      <c r="C2795" t="s">
        <v>3281</v>
      </c>
      <c r="D2795" t="s">
        <v>2307</v>
      </c>
      <c r="E2795">
        <v>98433</v>
      </c>
      <c r="F2795" t="s">
        <v>1573</v>
      </c>
      <c r="G2795" t="s">
        <v>1986</v>
      </c>
      <c r="H2795" t="s">
        <v>4831</v>
      </c>
      <c r="I2795">
        <v>47.090859999999999</v>
      </c>
      <c r="J2795">
        <v>-122.586821</v>
      </c>
      <c r="K2795" t="s">
        <v>3937</v>
      </c>
      <c r="L2795" t="s">
        <v>3946</v>
      </c>
      <c r="M2795" t="s">
        <v>5575</v>
      </c>
      <c r="P2795" t="s">
        <v>3351</v>
      </c>
    </row>
    <row r="2796" spans="1:16" x14ac:dyDescent="0.2">
      <c r="A2796" t="s">
        <v>2048</v>
      </c>
      <c r="B2796" s="5" t="s">
        <v>6213</v>
      </c>
      <c r="C2796" t="s">
        <v>3361</v>
      </c>
      <c r="D2796" t="s">
        <v>2307</v>
      </c>
      <c r="E2796">
        <v>98338</v>
      </c>
      <c r="F2796" t="s">
        <v>1573</v>
      </c>
      <c r="G2796" t="s">
        <v>2014</v>
      </c>
      <c r="H2796" t="s">
        <v>4837</v>
      </c>
      <c r="I2796">
        <v>47.052923</v>
      </c>
      <c r="J2796">
        <v>-122.294073</v>
      </c>
      <c r="K2796" t="s">
        <v>3936</v>
      </c>
      <c r="L2796" t="s">
        <v>3946</v>
      </c>
      <c r="M2796" t="s">
        <v>5575</v>
      </c>
      <c r="P2796" t="s">
        <v>3362</v>
      </c>
    </row>
    <row r="2797" spans="1:16" x14ac:dyDescent="0.2">
      <c r="A2797" t="s">
        <v>2011</v>
      </c>
      <c r="B2797" t="s">
        <v>3379</v>
      </c>
      <c r="C2797" t="s">
        <v>3380</v>
      </c>
      <c r="D2797" t="s">
        <v>2307</v>
      </c>
      <c r="E2797">
        <v>98513</v>
      </c>
      <c r="F2797" t="s">
        <v>1573</v>
      </c>
      <c r="G2797" t="s">
        <v>1986</v>
      </c>
      <c r="H2797" t="s">
        <v>4847</v>
      </c>
      <c r="I2797">
        <v>47.002882999999997</v>
      </c>
      <c r="J2797">
        <v>-122.76190200000001</v>
      </c>
      <c r="K2797" t="s">
        <v>3937</v>
      </c>
      <c r="L2797" t="s">
        <v>3946</v>
      </c>
      <c r="M2797" t="s">
        <v>5575</v>
      </c>
      <c r="P2797" t="s">
        <v>3379</v>
      </c>
    </row>
    <row r="2798" spans="1:16" x14ac:dyDescent="0.2">
      <c r="A2798" t="s">
        <v>2011</v>
      </c>
      <c r="B2798" t="s">
        <v>3419</v>
      </c>
      <c r="C2798" t="s">
        <v>3383</v>
      </c>
      <c r="D2798" t="s">
        <v>2307</v>
      </c>
      <c r="E2798">
        <v>98502</v>
      </c>
      <c r="F2798" t="s">
        <v>1573</v>
      </c>
      <c r="G2798" t="s">
        <v>1986</v>
      </c>
      <c r="H2798" t="s">
        <v>4865</v>
      </c>
      <c r="I2798">
        <v>47.067467999999998</v>
      </c>
      <c r="J2798">
        <v>-122.949888</v>
      </c>
      <c r="K2798" t="s">
        <v>3937</v>
      </c>
      <c r="L2798" t="s">
        <v>3946</v>
      </c>
      <c r="M2798" t="s">
        <v>5575</v>
      </c>
      <c r="P2798" t="s">
        <v>3419</v>
      </c>
    </row>
    <row r="2799" spans="1:16" x14ac:dyDescent="0.2">
      <c r="A2799" t="s">
        <v>2011</v>
      </c>
      <c r="B2799" s="5" t="s">
        <v>6193</v>
      </c>
      <c r="C2799" t="s">
        <v>3353</v>
      </c>
      <c r="D2799" t="s">
        <v>2307</v>
      </c>
      <c r="E2799">
        <v>98433</v>
      </c>
      <c r="F2799" t="s">
        <v>1573</v>
      </c>
      <c r="G2799" t="s">
        <v>1986</v>
      </c>
      <c r="H2799" t="s">
        <v>4832</v>
      </c>
      <c r="I2799">
        <v>47.10633</v>
      </c>
      <c r="J2799">
        <v>-122.552003</v>
      </c>
      <c r="K2799" t="s">
        <v>5574</v>
      </c>
      <c r="L2799" t="s">
        <v>3946</v>
      </c>
      <c r="M2799" t="s">
        <v>5575</v>
      </c>
      <c r="P2799" t="s">
        <v>3352</v>
      </c>
    </row>
    <row r="2800" spans="1:16" x14ac:dyDescent="0.2">
      <c r="A2800" t="s">
        <v>1738</v>
      </c>
      <c r="B2800" t="s">
        <v>3765</v>
      </c>
      <c r="C2800" t="s">
        <v>3766</v>
      </c>
      <c r="D2800" t="s">
        <v>2307</v>
      </c>
      <c r="E2800">
        <v>98296</v>
      </c>
      <c r="F2800" t="s">
        <v>1600</v>
      </c>
      <c r="G2800" t="s">
        <v>5526</v>
      </c>
      <c r="H2800" t="s">
        <v>5808</v>
      </c>
      <c r="I2800">
        <v>47.849055999999997</v>
      </c>
      <c r="J2800">
        <v>-122.116816</v>
      </c>
      <c r="K2800" t="s">
        <v>5574</v>
      </c>
      <c r="L2800" t="s">
        <v>3946</v>
      </c>
      <c r="M2800" t="s">
        <v>4906</v>
      </c>
      <c r="P2800" t="s">
        <v>3765</v>
      </c>
    </row>
    <row r="2801" spans="1:16" x14ac:dyDescent="0.2">
      <c r="A2801" t="s">
        <v>1795</v>
      </c>
      <c r="B2801" t="s">
        <v>3840</v>
      </c>
      <c r="C2801" t="s">
        <v>3149</v>
      </c>
      <c r="D2801" t="s">
        <v>2307</v>
      </c>
      <c r="E2801">
        <v>98258</v>
      </c>
      <c r="F2801" t="s">
        <v>1587</v>
      </c>
      <c r="G2801" t="s">
        <v>1973</v>
      </c>
      <c r="H2801" t="s">
        <v>4173</v>
      </c>
      <c r="I2801">
        <v>48.026183000000003</v>
      </c>
      <c r="J2801">
        <v>-122.109741</v>
      </c>
      <c r="K2801" t="s">
        <v>5574</v>
      </c>
      <c r="L2801" t="s">
        <v>3946</v>
      </c>
      <c r="M2801" t="s">
        <v>4907</v>
      </c>
      <c r="P2801" t="s">
        <v>3840</v>
      </c>
    </row>
    <row r="2802" spans="1:16" x14ac:dyDescent="0.2">
      <c r="A2802" t="s">
        <v>1738</v>
      </c>
      <c r="B2802" t="s">
        <v>3765</v>
      </c>
      <c r="C2802" t="s">
        <v>3766</v>
      </c>
      <c r="D2802" t="s">
        <v>2307</v>
      </c>
      <c r="E2802">
        <v>98296</v>
      </c>
      <c r="F2802" t="s">
        <v>1600</v>
      </c>
      <c r="G2802" t="s">
        <v>5526</v>
      </c>
      <c r="H2802" t="s">
        <v>5808</v>
      </c>
      <c r="I2802">
        <v>47.849055999999997</v>
      </c>
      <c r="J2802">
        <v>-122.116816</v>
      </c>
      <c r="K2802" t="s">
        <v>5574</v>
      </c>
      <c r="L2802" t="s">
        <v>3946</v>
      </c>
      <c r="M2802" t="s">
        <v>3948</v>
      </c>
      <c r="P2802" t="s">
        <v>3765</v>
      </c>
    </row>
    <row r="2803" spans="1:16" x14ac:dyDescent="0.2">
      <c r="A2803" t="s">
        <v>1795</v>
      </c>
      <c r="B2803" t="s">
        <v>3840</v>
      </c>
      <c r="C2803" t="s">
        <v>3149</v>
      </c>
      <c r="D2803" t="s">
        <v>2307</v>
      </c>
      <c r="E2803">
        <v>98258</v>
      </c>
      <c r="F2803" t="s">
        <v>1587</v>
      </c>
      <c r="G2803" t="s">
        <v>1973</v>
      </c>
      <c r="H2803" t="s">
        <v>4173</v>
      </c>
      <c r="I2803">
        <v>48.026183000000003</v>
      </c>
      <c r="J2803">
        <v>-122.109741</v>
      </c>
      <c r="K2803" t="s">
        <v>5574</v>
      </c>
      <c r="L2803" t="s">
        <v>3946</v>
      </c>
      <c r="M2803" t="s">
        <v>3948</v>
      </c>
      <c r="P2803" t="s">
        <v>3840</v>
      </c>
    </row>
    <row r="2804" spans="1:16" x14ac:dyDescent="0.2">
      <c r="A2804" t="s">
        <v>2011</v>
      </c>
      <c r="B2804" t="s">
        <v>6379</v>
      </c>
      <c r="C2804" t="s">
        <v>66</v>
      </c>
      <c r="D2804" t="s">
        <v>2307</v>
      </c>
      <c r="E2804">
        <v>98195</v>
      </c>
      <c r="F2804" t="s">
        <v>1573</v>
      </c>
      <c r="G2804" t="s">
        <v>1986</v>
      </c>
      <c r="H2804" t="s">
        <v>4292</v>
      </c>
      <c r="I2804">
        <v>47.657577000000003</v>
      </c>
      <c r="J2804">
        <v>-122.304536</v>
      </c>
      <c r="K2804" t="s">
        <v>5574</v>
      </c>
      <c r="L2804" t="s">
        <v>3946</v>
      </c>
      <c r="M2804" t="s">
        <v>5575</v>
      </c>
      <c r="P2804" t="s">
        <v>6092</v>
      </c>
    </row>
    <row r="2805" spans="1:16" x14ac:dyDescent="0.2">
      <c r="A2805" t="s">
        <v>2218</v>
      </c>
      <c r="B2805" t="s">
        <v>2941</v>
      </c>
      <c r="C2805" t="s">
        <v>2900</v>
      </c>
      <c r="D2805" t="s">
        <v>2307</v>
      </c>
      <c r="E2805">
        <v>98208</v>
      </c>
      <c r="F2805" t="s">
        <v>1600</v>
      </c>
      <c r="G2805" t="s">
        <v>2176</v>
      </c>
      <c r="H2805" t="s">
        <v>5280</v>
      </c>
      <c r="I2805">
        <v>47.911662</v>
      </c>
      <c r="J2805">
        <v>-122.215529</v>
      </c>
      <c r="K2805" t="s">
        <v>5574</v>
      </c>
      <c r="L2805" t="s">
        <v>3946</v>
      </c>
      <c r="M2805" t="s">
        <v>5575</v>
      </c>
      <c r="P2805" t="s">
        <v>2941</v>
      </c>
    </row>
    <row r="2806" spans="1:16" x14ac:dyDescent="0.2">
      <c r="A2806" t="s">
        <v>2011</v>
      </c>
      <c r="B2806" t="s">
        <v>3046</v>
      </c>
      <c r="C2806" t="s">
        <v>2930</v>
      </c>
      <c r="D2806" t="s">
        <v>2307</v>
      </c>
      <c r="E2806">
        <v>98003</v>
      </c>
      <c r="F2806" t="s">
        <v>1573</v>
      </c>
      <c r="G2806" t="s">
        <v>1986</v>
      </c>
      <c r="H2806" t="s">
        <v>4661</v>
      </c>
      <c r="I2806">
        <v>47.274124999999998</v>
      </c>
      <c r="J2806">
        <v>-122.30700899999999</v>
      </c>
      <c r="K2806" t="s">
        <v>5574</v>
      </c>
      <c r="L2806" t="s">
        <v>3946</v>
      </c>
      <c r="M2806" t="s">
        <v>5575</v>
      </c>
      <c r="P2806" t="s">
        <v>3046</v>
      </c>
    </row>
    <row r="2807" spans="1:16" x14ac:dyDescent="0.2">
      <c r="A2807" t="s">
        <v>2007</v>
      </c>
      <c r="B2807" t="s">
        <v>3350</v>
      </c>
      <c r="C2807" t="s">
        <v>3281</v>
      </c>
      <c r="D2807" t="s">
        <v>2307</v>
      </c>
      <c r="E2807">
        <v>98433</v>
      </c>
      <c r="F2807" t="s">
        <v>1658</v>
      </c>
      <c r="G2807" t="s">
        <v>2110</v>
      </c>
      <c r="H2807" t="s">
        <v>5643</v>
      </c>
      <c r="I2807">
        <v>47.093276000000003</v>
      </c>
      <c r="J2807">
        <v>-122.570891</v>
      </c>
      <c r="K2807" t="s">
        <v>5574</v>
      </c>
      <c r="L2807" t="s">
        <v>3946</v>
      </c>
      <c r="M2807" t="s">
        <v>5575</v>
      </c>
      <c r="P2807" t="s">
        <v>3350</v>
      </c>
    </row>
    <row r="2808" spans="1:16" x14ac:dyDescent="0.2">
      <c r="A2808" t="s">
        <v>2218</v>
      </c>
      <c r="B2808" t="s">
        <v>2941</v>
      </c>
      <c r="C2808" t="s">
        <v>2900</v>
      </c>
      <c r="D2808" t="s">
        <v>2307</v>
      </c>
      <c r="E2808">
        <v>98208</v>
      </c>
      <c r="F2808" t="s">
        <v>1600</v>
      </c>
      <c r="G2808" t="s">
        <v>2112</v>
      </c>
      <c r="H2808" t="s">
        <v>5804</v>
      </c>
      <c r="I2808">
        <v>47.911662</v>
      </c>
      <c r="J2808">
        <v>-122.215529</v>
      </c>
      <c r="K2808" t="s">
        <v>5574</v>
      </c>
      <c r="L2808" t="s">
        <v>3946</v>
      </c>
      <c r="M2808" t="s">
        <v>4888</v>
      </c>
      <c r="P2808" t="s">
        <v>2941</v>
      </c>
    </row>
    <row r="2809" spans="1:16" x14ac:dyDescent="0.2">
      <c r="A2809" t="s">
        <v>1913</v>
      </c>
      <c r="B2809" t="s">
        <v>3467</v>
      </c>
      <c r="C2809" t="s">
        <v>66</v>
      </c>
      <c r="D2809" t="s">
        <v>2307</v>
      </c>
      <c r="E2809">
        <v>98104</v>
      </c>
      <c r="F2809" t="s">
        <v>1604</v>
      </c>
      <c r="G2809" t="s">
        <v>1979</v>
      </c>
      <c r="H2809" t="s">
        <v>4015</v>
      </c>
      <c r="I2809">
        <v>47.603560000000002</v>
      </c>
      <c r="J2809">
        <v>-122.32943899999999</v>
      </c>
      <c r="K2809" t="s">
        <v>3938</v>
      </c>
      <c r="L2809" t="s">
        <v>3946</v>
      </c>
      <c r="M2809" t="s">
        <v>3947</v>
      </c>
    </row>
    <row r="2810" spans="1:16" x14ac:dyDescent="0.2">
      <c r="A2810" t="s">
        <v>2006</v>
      </c>
      <c r="B2810" t="s">
        <v>2306</v>
      </c>
      <c r="C2810" t="s">
        <v>66</v>
      </c>
      <c r="D2810" t="s">
        <v>2307</v>
      </c>
      <c r="E2810">
        <v>98109</v>
      </c>
      <c r="F2810" t="s">
        <v>1716</v>
      </c>
      <c r="G2810" t="s">
        <v>1989</v>
      </c>
      <c r="H2810" t="s">
        <v>5797</v>
      </c>
      <c r="I2810">
        <v>47.603560000000002</v>
      </c>
      <c r="J2810">
        <v>-122.32943899999999</v>
      </c>
      <c r="K2810" t="s">
        <v>3938</v>
      </c>
      <c r="L2810" t="s">
        <v>3946</v>
      </c>
      <c r="M2810" t="s">
        <v>5575</v>
      </c>
      <c r="P2810" t="s">
        <v>2306</v>
      </c>
    </row>
    <row r="2811" spans="1:16" x14ac:dyDescent="0.2">
      <c r="A2811" t="s">
        <v>5055</v>
      </c>
      <c r="B2811" t="s">
        <v>2306</v>
      </c>
      <c r="C2811" t="s">
        <v>66</v>
      </c>
      <c r="D2811" t="s">
        <v>2307</v>
      </c>
      <c r="E2811">
        <v>98109</v>
      </c>
      <c r="F2811" t="s">
        <v>1716</v>
      </c>
      <c r="G2811" t="s">
        <v>1981</v>
      </c>
      <c r="H2811" t="s">
        <v>5056</v>
      </c>
      <c r="I2811">
        <v>47.603560000000002</v>
      </c>
      <c r="J2811">
        <v>-122.32943899999999</v>
      </c>
      <c r="K2811" t="s">
        <v>3938</v>
      </c>
      <c r="L2811" t="s">
        <v>3946</v>
      </c>
      <c r="M2811" t="s">
        <v>5575</v>
      </c>
      <c r="P2811" t="s">
        <v>2306</v>
      </c>
    </row>
    <row r="2812" spans="1:16" x14ac:dyDescent="0.2">
      <c r="A2812" t="s">
        <v>2030</v>
      </c>
      <c r="B2812" t="s">
        <v>2378</v>
      </c>
      <c r="C2812" t="s">
        <v>66</v>
      </c>
      <c r="D2812" t="s">
        <v>2307</v>
      </c>
      <c r="E2812">
        <v>98122</v>
      </c>
      <c r="F2812" t="s">
        <v>1583</v>
      </c>
      <c r="G2812" t="s">
        <v>1980</v>
      </c>
      <c r="H2812" t="s">
        <v>5060</v>
      </c>
      <c r="I2812">
        <v>47.608089</v>
      </c>
      <c r="J2812">
        <v>-122.291229</v>
      </c>
      <c r="K2812" t="s">
        <v>3938</v>
      </c>
      <c r="L2812" t="s">
        <v>3946</v>
      </c>
      <c r="M2812" t="s">
        <v>5575</v>
      </c>
      <c r="P2812" t="s">
        <v>2378</v>
      </c>
    </row>
    <row r="2813" spans="1:16" x14ac:dyDescent="0.2">
      <c r="A2813" t="s">
        <v>2011</v>
      </c>
      <c r="B2813" t="s">
        <v>6380</v>
      </c>
      <c r="C2813" t="s">
        <v>3067</v>
      </c>
      <c r="D2813" t="s">
        <v>2307</v>
      </c>
      <c r="E2813" t="s">
        <v>6381</v>
      </c>
      <c r="F2813" t="s">
        <v>1573</v>
      </c>
      <c r="G2813" t="s">
        <v>1986</v>
      </c>
      <c r="H2813" t="s">
        <v>4748</v>
      </c>
      <c r="I2813">
        <v>47.255135000000003</v>
      </c>
      <c r="J2813">
        <v>-122.441654</v>
      </c>
      <c r="K2813" t="s">
        <v>3938</v>
      </c>
      <c r="L2813" t="s">
        <v>3946</v>
      </c>
      <c r="M2813" t="s">
        <v>5575</v>
      </c>
      <c r="P2813" t="s">
        <v>6171</v>
      </c>
    </row>
    <row r="2814" spans="1:16" x14ac:dyDescent="0.2">
      <c r="A2814" t="s">
        <v>2224</v>
      </c>
      <c r="B2814" t="s">
        <v>6351</v>
      </c>
      <c r="C2814" t="s">
        <v>2968</v>
      </c>
      <c r="D2814" t="s">
        <v>2307</v>
      </c>
      <c r="E2814">
        <v>98038</v>
      </c>
      <c r="F2814" t="s">
        <v>1591</v>
      </c>
      <c r="G2814" t="s">
        <v>1969</v>
      </c>
      <c r="H2814" t="s">
        <v>4630</v>
      </c>
      <c r="I2814">
        <v>31.831399999999999</v>
      </c>
      <c r="J2814">
        <v>-81.595298999999997</v>
      </c>
      <c r="K2814" t="s">
        <v>3938</v>
      </c>
      <c r="L2814" t="s">
        <v>3946</v>
      </c>
      <c r="M2814" t="s">
        <v>4888</v>
      </c>
      <c r="P2814" t="s">
        <v>6037</v>
      </c>
    </row>
    <row r="2815" spans="1:16" x14ac:dyDescent="0.2">
      <c r="A2815" t="s">
        <v>2006</v>
      </c>
      <c r="B2815" t="s">
        <v>2306</v>
      </c>
      <c r="C2815" t="s">
        <v>66</v>
      </c>
      <c r="D2815" t="s">
        <v>2307</v>
      </c>
      <c r="E2815">
        <v>98109</v>
      </c>
      <c r="F2815" t="s">
        <v>1716</v>
      </c>
      <c r="G2815" t="s">
        <v>1989</v>
      </c>
      <c r="H2815" t="s">
        <v>5797</v>
      </c>
      <c r="I2815">
        <v>47.603560000000002</v>
      </c>
      <c r="J2815">
        <v>-122.32943899999999</v>
      </c>
      <c r="K2815" t="s">
        <v>3938</v>
      </c>
      <c r="L2815" t="s">
        <v>3946</v>
      </c>
      <c r="M2815" t="s">
        <v>4888</v>
      </c>
      <c r="N2815" t="s">
        <v>4889</v>
      </c>
      <c r="P2815" t="s">
        <v>2306</v>
      </c>
    </row>
    <row r="2816" spans="1:16" x14ac:dyDescent="0.2">
      <c r="A2816" t="s">
        <v>2006</v>
      </c>
      <c r="B2816" t="s">
        <v>2306</v>
      </c>
      <c r="C2816" t="s">
        <v>66</v>
      </c>
      <c r="D2816" t="s">
        <v>2307</v>
      </c>
      <c r="E2816">
        <v>98109</v>
      </c>
      <c r="F2816" t="s">
        <v>1716</v>
      </c>
      <c r="G2816" t="s">
        <v>1989</v>
      </c>
      <c r="H2816" t="s">
        <v>5797</v>
      </c>
      <c r="I2816">
        <v>47.603560000000002</v>
      </c>
      <c r="J2816">
        <v>-122.32943899999999</v>
      </c>
      <c r="K2816" t="s">
        <v>3938</v>
      </c>
      <c r="L2816" t="s">
        <v>3946</v>
      </c>
      <c r="M2816" t="s">
        <v>4888</v>
      </c>
      <c r="P2816" t="s">
        <v>2306</v>
      </c>
    </row>
    <row r="2817" spans="1:16" x14ac:dyDescent="0.2">
      <c r="A2817" t="s">
        <v>5055</v>
      </c>
      <c r="B2817" t="s">
        <v>2306</v>
      </c>
      <c r="C2817" t="s">
        <v>66</v>
      </c>
      <c r="D2817" t="s">
        <v>2307</v>
      </c>
      <c r="E2817">
        <v>98109</v>
      </c>
      <c r="F2817" t="s">
        <v>1716</v>
      </c>
      <c r="G2817" t="s">
        <v>1981</v>
      </c>
      <c r="H2817" t="s">
        <v>5056</v>
      </c>
      <c r="I2817">
        <v>47.603560000000002</v>
      </c>
      <c r="J2817">
        <v>-122.32943899999999</v>
      </c>
      <c r="K2817" t="s">
        <v>3938</v>
      </c>
      <c r="L2817" t="s">
        <v>3946</v>
      </c>
      <c r="M2817" t="s">
        <v>4888</v>
      </c>
      <c r="P2817" t="s">
        <v>2306</v>
      </c>
    </row>
    <row r="2818" spans="1:16" x14ac:dyDescent="0.2">
      <c r="A2818" t="s">
        <v>2030</v>
      </c>
      <c r="B2818" t="s">
        <v>2378</v>
      </c>
      <c r="C2818" t="s">
        <v>66</v>
      </c>
      <c r="D2818" t="s">
        <v>2307</v>
      </c>
      <c r="E2818">
        <v>98122</v>
      </c>
      <c r="F2818" t="s">
        <v>1583</v>
      </c>
      <c r="G2818" t="s">
        <v>1980</v>
      </c>
      <c r="H2818" t="s">
        <v>5060</v>
      </c>
      <c r="I2818">
        <v>47.608089</v>
      </c>
      <c r="J2818">
        <v>-122.291229</v>
      </c>
      <c r="K2818" t="s">
        <v>3938</v>
      </c>
      <c r="L2818" t="s">
        <v>3946</v>
      </c>
      <c r="M2818" t="s">
        <v>4888</v>
      </c>
      <c r="P2818" t="s">
        <v>2378</v>
      </c>
    </row>
  </sheetData>
  <sortState ref="A2:P2818">
    <sortCondition ref="K2:K2818"/>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51"/>
  <sheetViews>
    <sheetView workbookViewId="0"/>
  </sheetViews>
  <sheetFormatPr defaultRowHeight="12.75" x14ac:dyDescent="0.2"/>
  <cols>
    <col min="1" max="1" width="23.140625" customWidth="1"/>
    <col min="2" max="2" width="88" customWidth="1"/>
    <col min="5" max="5" width="16.85546875" customWidth="1"/>
    <col min="6" max="6" width="70.28515625" customWidth="1"/>
  </cols>
  <sheetData>
    <row r="1" spans="1:11" x14ac:dyDescent="0.2">
      <c r="A1" t="s">
        <v>1</v>
      </c>
      <c r="B1" t="s">
        <v>5020</v>
      </c>
      <c r="D1" s="19"/>
      <c r="E1" s="27" t="s">
        <v>228</v>
      </c>
      <c r="F1" s="20" t="s">
        <v>229</v>
      </c>
      <c r="G1" s="20" t="s">
        <v>230</v>
      </c>
      <c r="H1" s="20" t="s">
        <v>298</v>
      </c>
      <c r="I1" s="20" t="s">
        <v>1495</v>
      </c>
      <c r="J1" s="20" t="s">
        <v>1496</v>
      </c>
      <c r="K1" s="25" t="s">
        <v>3941</v>
      </c>
    </row>
    <row r="2" spans="1:11" x14ac:dyDescent="0.2">
      <c r="A2" t="s">
        <v>0</v>
      </c>
      <c r="B2" s="5" t="s">
        <v>3951</v>
      </c>
      <c r="D2" s="19"/>
      <c r="E2" s="26" t="s">
        <v>4886</v>
      </c>
      <c r="F2" s="24" t="s">
        <v>4887</v>
      </c>
      <c r="G2" s="20"/>
      <c r="H2" s="21" t="s">
        <v>1562</v>
      </c>
      <c r="I2" s="21" t="s">
        <v>1561</v>
      </c>
      <c r="J2" s="21" t="s">
        <v>1561</v>
      </c>
      <c r="K2" s="23" t="s">
        <v>44</v>
      </c>
    </row>
    <row r="3" spans="1:11" x14ac:dyDescent="0.2">
      <c r="A3" s="5" t="s">
        <v>3939</v>
      </c>
      <c r="B3" s="5" t="s">
        <v>3940</v>
      </c>
      <c r="D3" s="19"/>
      <c r="E3" s="26" t="s">
        <v>3949</v>
      </c>
      <c r="F3" s="24" t="s">
        <v>3950</v>
      </c>
      <c r="G3" s="20"/>
      <c r="H3" s="21" t="s">
        <v>1562</v>
      </c>
      <c r="I3" s="21" t="s">
        <v>1561</v>
      </c>
      <c r="J3" s="21" t="s">
        <v>1561</v>
      </c>
      <c r="K3" s="23" t="s">
        <v>44</v>
      </c>
    </row>
    <row r="4" spans="1:11" x14ac:dyDescent="0.2">
      <c r="D4" s="19"/>
      <c r="E4" s="29" t="s">
        <v>3956</v>
      </c>
      <c r="F4" s="24" t="s">
        <v>3957</v>
      </c>
      <c r="G4" s="18"/>
      <c r="H4" s="21" t="s">
        <v>1562</v>
      </c>
      <c r="I4" s="21" t="s">
        <v>1561</v>
      </c>
      <c r="J4" s="21" t="s">
        <v>1561</v>
      </c>
      <c r="K4" s="23" t="s">
        <v>44</v>
      </c>
    </row>
    <row r="5" spans="1:11" x14ac:dyDescent="0.2">
      <c r="D5" s="19"/>
      <c r="E5" s="29" t="s">
        <v>3958</v>
      </c>
      <c r="F5" s="24" t="s">
        <v>3961</v>
      </c>
      <c r="G5" s="18"/>
      <c r="H5" s="21" t="s">
        <v>1562</v>
      </c>
      <c r="I5" s="21" t="s">
        <v>1561</v>
      </c>
      <c r="J5" s="21" t="s">
        <v>1561</v>
      </c>
      <c r="K5" s="23" t="s">
        <v>44</v>
      </c>
    </row>
    <row r="6" spans="1:11" x14ac:dyDescent="0.2">
      <c r="D6" s="19"/>
      <c r="E6" s="29" t="s">
        <v>3959</v>
      </c>
      <c r="F6" s="24" t="s">
        <v>3962</v>
      </c>
      <c r="G6" s="18"/>
      <c r="H6" s="21" t="s">
        <v>1562</v>
      </c>
      <c r="I6" s="21" t="s">
        <v>1561</v>
      </c>
      <c r="J6" s="21" t="s">
        <v>1561</v>
      </c>
      <c r="K6" s="23" t="s">
        <v>44</v>
      </c>
    </row>
    <row r="7" spans="1:11" x14ac:dyDescent="0.2">
      <c r="D7" s="19"/>
      <c r="E7" s="29" t="s">
        <v>3960</v>
      </c>
      <c r="F7" s="24" t="s">
        <v>3963</v>
      </c>
      <c r="G7" s="18"/>
      <c r="H7" s="21" t="s">
        <v>1562</v>
      </c>
      <c r="I7" s="21" t="s">
        <v>1561</v>
      </c>
      <c r="J7" s="21" t="s">
        <v>1561</v>
      </c>
      <c r="K7" s="23" t="s">
        <v>44</v>
      </c>
    </row>
    <row r="8" spans="1:11" x14ac:dyDescent="0.2">
      <c r="D8" s="19"/>
      <c r="E8" s="29" t="s">
        <v>4889</v>
      </c>
      <c r="F8" s="24" t="s">
        <v>4913</v>
      </c>
      <c r="G8" s="18"/>
      <c r="H8" s="21" t="s">
        <v>1562</v>
      </c>
      <c r="I8" s="21" t="s">
        <v>1561</v>
      </c>
      <c r="J8" s="21" t="s">
        <v>1561</v>
      </c>
      <c r="K8" s="23" t="s">
        <v>44</v>
      </c>
    </row>
    <row r="9" spans="1:11" x14ac:dyDescent="0.2">
      <c r="D9" s="19"/>
      <c r="E9" s="29" t="s">
        <v>4892</v>
      </c>
      <c r="F9" s="24" t="s">
        <v>4914</v>
      </c>
      <c r="G9" s="18"/>
      <c r="H9" s="21" t="s">
        <v>1562</v>
      </c>
      <c r="I9" s="21" t="s">
        <v>1561</v>
      </c>
      <c r="J9" s="21" t="s">
        <v>1561</v>
      </c>
      <c r="K9" s="23" t="s">
        <v>44</v>
      </c>
    </row>
    <row r="10" spans="1:11" x14ac:dyDescent="0.2">
      <c r="D10" s="19"/>
      <c r="E10" s="29" t="s">
        <v>4893</v>
      </c>
      <c r="F10" s="24" t="s">
        <v>4915</v>
      </c>
      <c r="G10" s="18"/>
      <c r="H10" s="21" t="s">
        <v>1562</v>
      </c>
      <c r="I10" s="21" t="s">
        <v>1561</v>
      </c>
      <c r="J10" s="21" t="s">
        <v>1561</v>
      </c>
      <c r="K10" s="23" t="s">
        <v>44</v>
      </c>
    </row>
    <row r="11" spans="1:11" x14ac:dyDescent="0.2">
      <c r="D11" s="19"/>
      <c r="E11" s="29" t="s">
        <v>4895</v>
      </c>
      <c r="F11" s="24" t="s">
        <v>4917</v>
      </c>
      <c r="G11" s="18"/>
      <c r="H11" s="21" t="s">
        <v>1562</v>
      </c>
      <c r="I11" s="21" t="s">
        <v>1561</v>
      </c>
      <c r="J11" s="21" t="s">
        <v>1561</v>
      </c>
      <c r="K11" s="23" t="s">
        <v>44</v>
      </c>
    </row>
    <row r="12" spans="1:11" x14ac:dyDescent="0.2">
      <c r="D12" s="19"/>
      <c r="E12" s="29" t="s">
        <v>4888</v>
      </c>
      <c r="F12" s="24" t="s">
        <v>4918</v>
      </c>
      <c r="G12" s="18"/>
      <c r="H12" s="21" t="s">
        <v>1562</v>
      </c>
      <c r="I12" s="21" t="s">
        <v>1561</v>
      </c>
      <c r="J12" s="21" t="s">
        <v>1561</v>
      </c>
      <c r="K12" s="23" t="s">
        <v>44</v>
      </c>
    </row>
    <row r="13" spans="1:11" x14ac:dyDescent="0.2">
      <c r="D13" s="19"/>
      <c r="E13" s="29" t="s">
        <v>4896</v>
      </c>
      <c r="F13" s="24" t="s">
        <v>4919</v>
      </c>
      <c r="G13" s="18"/>
      <c r="H13" s="21" t="s">
        <v>1562</v>
      </c>
      <c r="I13" s="21" t="s">
        <v>1561</v>
      </c>
      <c r="J13" s="21" t="s">
        <v>1561</v>
      </c>
      <c r="K13" s="23" t="s">
        <v>44</v>
      </c>
    </row>
    <row r="14" spans="1:11" ht="14.25" x14ac:dyDescent="0.2">
      <c r="B14" s="7"/>
      <c r="D14" s="19"/>
      <c r="E14" s="29" t="s">
        <v>4897</v>
      </c>
      <c r="F14" s="24" t="s">
        <v>4920</v>
      </c>
      <c r="G14" s="18"/>
      <c r="H14" s="21" t="s">
        <v>1562</v>
      </c>
      <c r="I14" s="21" t="s">
        <v>1561</v>
      </c>
      <c r="J14" s="21" t="s">
        <v>1561</v>
      </c>
      <c r="K14" s="23" t="s">
        <v>44</v>
      </c>
    </row>
    <row r="15" spans="1:11" x14ac:dyDescent="0.2">
      <c r="D15" s="19"/>
      <c r="E15" s="29" t="s">
        <v>4898</v>
      </c>
      <c r="F15" s="24" t="s">
        <v>4921</v>
      </c>
      <c r="G15" s="18"/>
      <c r="H15" s="21" t="s">
        <v>1562</v>
      </c>
      <c r="I15" s="21" t="s">
        <v>1561</v>
      </c>
      <c r="J15" s="21" t="s">
        <v>1561</v>
      </c>
      <c r="K15" s="23" t="s">
        <v>44</v>
      </c>
    </row>
    <row r="16" spans="1:11" x14ac:dyDescent="0.2">
      <c r="D16" s="19"/>
      <c r="E16" s="29" t="s">
        <v>4899</v>
      </c>
      <c r="F16" s="24" t="s">
        <v>4922</v>
      </c>
      <c r="G16" s="18"/>
      <c r="H16" s="21" t="s">
        <v>1562</v>
      </c>
      <c r="I16" s="21" t="s">
        <v>1561</v>
      </c>
      <c r="J16" s="21" t="s">
        <v>1561</v>
      </c>
      <c r="K16" s="23" t="s">
        <v>44</v>
      </c>
    </row>
    <row r="17" spans="4:12" x14ac:dyDescent="0.2">
      <c r="D17" s="19"/>
      <c r="E17" s="29" t="s">
        <v>4900</v>
      </c>
      <c r="F17" s="24" t="s">
        <v>4923</v>
      </c>
      <c r="G17" s="18"/>
      <c r="H17" s="21" t="s">
        <v>1562</v>
      </c>
      <c r="I17" s="21" t="s">
        <v>1561</v>
      </c>
      <c r="J17" s="21" t="s">
        <v>1561</v>
      </c>
      <c r="K17" s="23" t="s">
        <v>44</v>
      </c>
    </row>
    <row r="18" spans="4:12" x14ac:dyDescent="0.2">
      <c r="D18" s="19"/>
      <c r="E18" s="29" t="s">
        <v>4901</v>
      </c>
      <c r="F18" s="24" t="s">
        <v>4924</v>
      </c>
      <c r="G18" s="18"/>
      <c r="H18" s="21" t="s">
        <v>1562</v>
      </c>
      <c r="I18" s="21" t="s">
        <v>1561</v>
      </c>
      <c r="J18" s="21" t="s">
        <v>1561</v>
      </c>
      <c r="K18" s="23" t="s">
        <v>44</v>
      </c>
    </row>
    <row r="19" spans="4:12" x14ac:dyDescent="0.2">
      <c r="D19" s="19"/>
      <c r="E19" s="29" t="s">
        <v>4902</v>
      </c>
      <c r="F19" s="24" t="s">
        <v>4925</v>
      </c>
      <c r="G19" s="18"/>
      <c r="H19" s="21" t="s">
        <v>1562</v>
      </c>
      <c r="I19" s="21" t="s">
        <v>1561</v>
      </c>
      <c r="J19" s="21" t="s">
        <v>1561</v>
      </c>
      <c r="K19" s="23" t="s">
        <v>44</v>
      </c>
    </row>
    <row r="20" spans="4:12" x14ac:dyDescent="0.2">
      <c r="D20" s="19"/>
      <c r="E20" s="29" t="s">
        <v>4903</v>
      </c>
      <c r="F20" s="24" t="s">
        <v>4926</v>
      </c>
      <c r="G20" s="18"/>
      <c r="H20" s="21" t="s">
        <v>1562</v>
      </c>
      <c r="I20" s="21" t="s">
        <v>1561</v>
      </c>
      <c r="J20" s="21" t="s">
        <v>1561</v>
      </c>
      <c r="K20" s="23" t="s">
        <v>44</v>
      </c>
    </row>
    <row r="21" spans="4:12" x14ac:dyDescent="0.2">
      <c r="D21" s="19"/>
      <c r="E21" s="29" t="s">
        <v>4904</v>
      </c>
      <c r="F21" s="24" t="s">
        <v>4927</v>
      </c>
      <c r="G21" s="18"/>
      <c r="H21" s="21" t="s">
        <v>1562</v>
      </c>
      <c r="I21" s="21" t="s">
        <v>1561</v>
      </c>
      <c r="J21" s="21" t="s">
        <v>1561</v>
      </c>
      <c r="K21" s="23" t="s">
        <v>44</v>
      </c>
      <c r="L21" s="5"/>
    </row>
    <row r="22" spans="4:12" x14ac:dyDescent="0.2">
      <c r="D22" s="19"/>
      <c r="E22" s="29" t="s">
        <v>4905</v>
      </c>
      <c r="F22" s="24" t="s">
        <v>4928</v>
      </c>
      <c r="G22" s="18"/>
      <c r="H22" s="21" t="s">
        <v>1562</v>
      </c>
      <c r="I22" s="21" t="s">
        <v>1561</v>
      </c>
      <c r="J22" s="21" t="s">
        <v>1561</v>
      </c>
      <c r="K22" s="23" t="s">
        <v>44</v>
      </c>
      <c r="L22" s="5"/>
    </row>
    <row r="23" spans="4:12" x14ac:dyDescent="0.2">
      <c r="D23" s="19"/>
      <c r="E23" s="29" t="s">
        <v>4906</v>
      </c>
      <c r="F23" s="24" t="s">
        <v>4929</v>
      </c>
      <c r="G23" s="18"/>
      <c r="H23" s="21" t="s">
        <v>1562</v>
      </c>
      <c r="I23" s="21" t="s">
        <v>1561</v>
      </c>
      <c r="J23" s="21" t="s">
        <v>1561</v>
      </c>
      <c r="K23" s="23" t="s">
        <v>44</v>
      </c>
      <c r="L23" s="5"/>
    </row>
    <row r="24" spans="4:12" x14ac:dyDescent="0.2">
      <c r="D24" s="19"/>
      <c r="E24" s="29" t="s">
        <v>4907</v>
      </c>
      <c r="F24" s="24" t="s">
        <v>4930</v>
      </c>
      <c r="G24" s="18"/>
      <c r="H24" s="21" t="s">
        <v>1562</v>
      </c>
      <c r="I24" s="21" t="s">
        <v>1561</v>
      </c>
      <c r="J24" s="21" t="s">
        <v>1561</v>
      </c>
      <c r="K24" s="23" t="s">
        <v>44</v>
      </c>
      <c r="L24" s="5"/>
    </row>
    <row r="25" spans="4:12" x14ac:dyDescent="0.2">
      <c r="D25" s="19"/>
      <c r="E25" s="29" t="s">
        <v>4908</v>
      </c>
      <c r="F25" s="24" t="s">
        <v>4931</v>
      </c>
      <c r="G25" s="18"/>
      <c r="H25" s="21" t="s">
        <v>1562</v>
      </c>
      <c r="I25" s="21" t="s">
        <v>1561</v>
      </c>
      <c r="J25" s="21" t="s">
        <v>1561</v>
      </c>
      <c r="K25" s="23" t="s">
        <v>44</v>
      </c>
      <c r="L25" s="5"/>
    </row>
    <row r="26" spans="4:12" x14ac:dyDescent="0.2">
      <c r="D26" s="19"/>
      <c r="E26" s="29" t="s">
        <v>4909</v>
      </c>
      <c r="F26" s="24" t="s">
        <v>4932</v>
      </c>
      <c r="G26" s="18"/>
      <c r="H26" s="21" t="s">
        <v>1562</v>
      </c>
      <c r="I26" s="21" t="s">
        <v>1561</v>
      </c>
      <c r="J26" s="21" t="s">
        <v>1561</v>
      </c>
      <c r="K26" s="23" t="s">
        <v>44</v>
      </c>
      <c r="L26" s="5"/>
    </row>
    <row r="27" spans="4:12" x14ac:dyDescent="0.2">
      <c r="D27" s="19"/>
      <c r="E27" s="29" t="s">
        <v>4910</v>
      </c>
      <c r="F27" s="24" t="s">
        <v>4933</v>
      </c>
      <c r="G27" s="18"/>
      <c r="H27" s="21" t="s">
        <v>1562</v>
      </c>
      <c r="I27" s="21" t="s">
        <v>1561</v>
      </c>
      <c r="J27" s="21" t="s">
        <v>1561</v>
      </c>
      <c r="K27" s="23" t="s">
        <v>44</v>
      </c>
      <c r="L27" s="5"/>
    </row>
    <row r="28" spans="4:12" x14ac:dyDescent="0.2">
      <c r="D28" s="19"/>
      <c r="E28" s="29" t="s">
        <v>4911</v>
      </c>
      <c r="F28" s="24" t="s">
        <v>4934</v>
      </c>
      <c r="G28" s="18"/>
      <c r="H28" s="21" t="s">
        <v>1562</v>
      </c>
      <c r="I28" s="21" t="s">
        <v>1561</v>
      </c>
      <c r="J28" s="21" t="s">
        <v>1561</v>
      </c>
      <c r="K28" s="23" t="s">
        <v>44</v>
      </c>
      <c r="L28" s="5"/>
    </row>
    <row r="29" spans="4:12" ht="14.25" customHeight="1" x14ac:dyDescent="0.2">
      <c r="D29" s="19"/>
      <c r="E29" s="29" t="s">
        <v>4912</v>
      </c>
      <c r="F29" s="24" t="s">
        <v>4935</v>
      </c>
      <c r="G29" s="18"/>
      <c r="H29" s="21" t="s">
        <v>1562</v>
      </c>
      <c r="I29" s="21" t="s">
        <v>1561</v>
      </c>
      <c r="J29" s="21" t="s">
        <v>1561</v>
      </c>
      <c r="K29" s="23" t="s">
        <v>44</v>
      </c>
      <c r="L29" s="5"/>
    </row>
    <row r="30" spans="4:12" x14ac:dyDescent="0.2">
      <c r="D30" s="19"/>
      <c r="E30" s="28" t="s">
        <v>1894</v>
      </c>
      <c r="F30" s="24" t="s">
        <v>1895</v>
      </c>
      <c r="G30" s="18">
        <v>2</v>
      </c>
      <c r="H30" s="21" t="s">
        <v>1562</v>
      </c>
      <c r="I30" s="21" t="s">
        <v>1561</v>
      </c>
      <c r="J30" s="21" t="s">
        <v>1561</v>
      </c>
      <c r="K30" s="23" t="s">
        <v>44</v>
      </c>
      <c r="L30" s="5"/>
    </row>
    <row r="31" spans="4:12" x14ac:dyDescent="0.2">
      <c r="D31" s="19"/>
      <c r="E31" s="28" t="s">
        <v>1565</v>
      </c>
      <c r="F31" s="24" t="s">
        <v>1566</v>
      </c>
      <c r="G31" s="18">
        <v>3</v>
      </c>
      <c r="H31" s="21" t="s">
        <v>1562</v>
      </c>
      <c r="I31" s="21" t="s">
        <v>1561</v>
      </c>
      <c r="J31" s="21" t="s">
        <v>1561</v>
      </c>
      <c r="K31" s="23" t="s">
        <v>44</v>
      </c>
      <c r="L31" s="5"/>
    </row>
    <row r="32" spans="4:12" x14ac:dyDescent="0.2">
      <c r="D32" s="19"/>
      <c r="E32" s="28" t="s">
        <v>1564</v>
      </c>
      <c r="F32" s="24" t="s">
        <v>1563</v>
      </c>
      <c r="G32" s="18">
        <v>1</v>
      </c>
      <c r="H32" s="21" t="s">
        <v>1562</v>
      </c>
      <c r="I32" s="21" t="s">
        <v>1561</v>
      </c>
      <c r="J32" s="21" t="s">
        <v>1561</v>
      </c>
      <c r="K32" s="23" t="s">
        <v>44</v>
      </c>
      <c r="L32" s="5"/>
    </row>
    <row r="33" spans="4:16" x14ac:dyDescent="0.2">
      <c r="D33" s="19"/>
      <c r="E33" s="18"/>
      <c r="F33" s="19"/>
      <c r="G33" s="18"/>
      <c r="H33" s="21"/>
      <c r="I33" s="21"/>
      <c r="J33" s="21"/>
      <c r="K33" s="21"/>
      <c r="L33" s="5"/>
    </row>
    <row r="34" spans="4:16" x14ac:dyDescent="0.2">
      <c r="D34" s="19"/>
      <c r="E34" s="29" t="s">
        <v>4894</v>
      </c>
      <c r="F34" s="24" t="s">
        <v>4916</v>
      </c>
      <c r="G34" s="18"/>
      <c r="H34" s="21" t="s">
        <v>1562</v>
      </c>
      <c r="I34" s="21" t="s">
        <v>1561</v>
      </c>
      <c r="J34" s="21" t="s">
        <v>1561</v>
      </c>
      <c r="K34" s="23" t="s">
        <v>44</v>
      </c>
      <c r="L34" s="5"/>
    </row>
    <row r="35" spans="4:16" x14ac:dyDescent="0.2">
      <c r="D35" s="19"/>
      <c r="E35" s="18"/>
      <c r="F35" s="19"/>
      <c r="G35" s="18"/>
      <c r="H35" s="21"/>
      <c r="I35" s="21"/>
      <c r="J35" s="21"/>
      <c r="K35" s="19"/>
      <c r="L35" s="5"/>
    </row>
    <row r="36" spans="4:16" x14ac:dyDescent="0.2">
      <c r="D36" s="19"/>
      <c r="E36" s="18"/>
      <c r="F36" s="19"/>
      <c r="G36" s="18"/>
      <c r="H36" s="21"/>
      <c r="I36" s="21"/>
      <c r="J36" s="21"/>
      <c r="K36" s="19"/>
      <c r="L36" s="5"/>
      <c r="N36" s="8"/>
      <c r="O36" s="8"/>
      <c r="P36" s="8"/>
    </row>
    <row r="37" spans="4:16" x14ac:dyDescent="0.2">
      <c r="D37" s="19"/>
      <c r="E37" s="18"/>
      <c r="F37" s="19"/>
      <c r="G37" s="18"/>
      <c r="H37" s="21"/>
      <c r="I37" s="21"/>
      <c r="J37" s="21"/>
      <c r="K37" s="22"/>
      <c r="L37" s="5"/>
    </row>
    <row r="38" spans="4:16" x14ac:dyDescent="0.2">
      <c r="D38" s="19"/>
      <c r="E38" s="18"/>
      <c r="F38" s="19"/>
      <c r="G38" s="18"/>
      <c r="H38" s="21"/>
      <c r="I38" s="21"/>
      <c r="J38" s="21"/>
      <c r="K38" s="21"/>
      <c r="L38" s="5"/>
    </row>
    <row r="39" spans="4:16" x14ac:dyDescent="0.2">
      <c r="D39" s="19"/>
      <c r="E39" s="19"/>
      <c r="F39" s="19"/>
      <c r="G39" s="19"/>
      <c r="H39" s="19"/>
      <c r="I39" s="19"/>
      <c r="J39" s="19"/>
      <c r="K39" s="21"/>
      <c r="L39" s="5"/>
    </row>
    <row r="40" spans="4:16" x14ac:dyDescent="0.2">
      <c r="D40" s="19"/>
      <c r="K40" s="21"/>
      <c r="L40" s="5"/>
      <c r="M40" s="8"/>
    </row>
    <row r="41" spans="4:16" x14ac:dyDescent="0.2">
      <c r="D41" s="19"/>
      <c r="K41" s="21"/>
      <c r="L41" s="5"/>
    </row>
    <row r="42" spans="4:16" x14ac:dyDescent="0.2">
      <c r="D42" s="19"/>
      <c r="K42" s="5"/>
      <c r="L42" s="8"/>
    </row>
    <row r="43" spans="4:16" x14ac:dyDescent="0.2">
      <c r="D43" s="19"/>
      <c r="K43" s="5"/>
      <c r="L43" s="5"/>
    </row>
    <row r="44" spans="4:16" x14ac:dyDescent="0.2">
      <c r="D44" s="19"/>
      <c r="K44" s="5"/>
      <c r="L44" s="5"/>
    </row>
    <row r="45" spans="4:16" x14ac:dyDescent="0.2">
      <c r="D45" s="19"/>
      <c r="K45" s="5"/>
    </row>
    <row r="46" spans="4:16" x14ac:dyDescent="0.2">
      <c r="D46" s="19"/>
      <c r="K46" s="5"/>
    </row>
    <row r="47" spans="4:16" x14ac:dyDescent="0.2">
      <c r="D47" s="19"/>
    </row>
    <row r="48" spans="4:16" x14ac:dyDescent="0.2">
      <c r="D48" s="19"/>
      <c r="K48" s="5"/>
    </row>
    <row r="49" spans="11:12" x14ac:dyDescent="0.2">
      <c r="K49" s="5"/>
    </row>
    <row r="50" spans="11:12" x14ac:dyDescent="0.2">
      <c r="K50" s="5"/>
    </row>
    <row r="51" spans="11:12" x14ac:dyDescent="0.2">
      <c r="L51" s="5"/>
    </row>
  </sheetData>
  <phoneticPr fontId="1" type="noConversion"/>
  <hyperlinks>
    <hyperlink ref="F31" r:id="rId1"/>
    <hyperlink ref="F30" r:id="rId2"/>
    <hyperlink ref="F32" r:id="rId3"/>
    <hyperlink ref="F3" r:id="rId4"/>
    <hyperlink ref="F4" r:id="rId5"/>
    <hyperlink ref="F5" r:id="rId6"/>
    <hyperlink ref="F6" r:id="rId7"/>
    <hyperlink ref="F7" r:id="rId8"/>
    <hyperlink ref="F2" r:id="rId9"/>
    <hyperlink ref="F8" r:id="rId10"/>
    <hyperlink ref="F9" r:id="rId11"/>
    <hyperlink ref="F10" r:id="rId12"/>
    <hyperlink ref="F34" r:id="rId13"/>
    <hyperlink ref="F11" r:id="rId14"/>
    <hyperlink ref="F12" r:id="rId15"/>
    <hyperlink ref="F13" r:id="rId16"/>
    <hyperlink ref="F14" r:id="rId17"/>
    <hyperlink ref="F15" r:id="rId18"/>
    <hyperlink ref="F16" r:id="rId19"/>
    <hyperlink ref="F17" r:id="rId20"/>
    <hyperlink ref="F18" r:id="rId21"/>
    <hyperlink ref="F19" r:id="rId22"/>
    <hyperlink ref="F20" r:id="rId23"/>
    <hyperlink ref="F21" r:id="rId24"/>
    <hyperlink ref="F22" r:id="rId25"/>
    <hyperlink ref="F23" r:id="rId26"/>
    <hyperlink ref="F24" r:id="rId27"/>
    <hyperlink ref="F25" r:id="rId28"/>
    <hyperlink ref="F26" r:id="rId29"/>
    <hyperlink ref="F27" r:id="rId30"/>
    <hyperlink ref="F28" r:id="rId31"/>
    <hyperlink ref="F29" r:id="rId32"/>
  </hyperlinks>
  <pageMargins left="0.75" right="0.75" top="1" bottom="1" header="0.5" footer="0.5"/>
  <pageSetup orientation="portrait" horizontalDpi="1200" r:id="rId33"/>
  <headerFooter alignWithMargins="0"/>
  <drawing r:id="rId3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filterMode="1"/>
  <dimension ref="A1:BK548"/>
  <sheetViews>
    <sheetView workbookViewId="0">
      <pane xSplit="5580" ySplit="510" topLeftCell="G1" activePane="bottomRight"/>
      <selection activeCell="I4" sqref="I4"/>
      <selection pane="topRight" activeCell="I4" sqref="I4"/>
      <selection pane="bottomLeft" activeCell="I4" sqref="I4"/>
      <selection pane="bottomRight" activeCell="I4" sqref="I4"/>
    </sheetView>
  </sheetViews>
  <sheetFormatPr defaultRowHeight="12.75" x14ac:dyDescent="0.2"/>
  <cols>
    <col min="2" max="3" width="9.140625" customWidth="1"/>
    <col min="5" max="5" width="12.85546875" customWidth="1"/>
    <col min="6" max="6" width="11.7109375" customWidth="1"/>
    <col min="7" max="54" width="9.140625" customWidth="1"/>
    <col min="55" max="55" width="10.42578125" customWidth="1"/>
    <col min="56" max="56" width="9.140625" customWidth="1"/>
  </cols>
  <sheetData>
    <row r="1" spans="1:63" x14ac:dyDescent="0.2">
      <c r="A1" t="s">
        <v>6</v>
      </c>
      <c r="B1" t="s">
        <v>5</v>
      </c>
      <c r="C1" t="s">
        <v>20</v>
      </c>
      <c r="D1" t="s">
        <v>21</v>
      </c>
      <c r="E1" t="s">
        <v>4</v>
      </c>
      <c r="F1" t="s">
        <v>8</v>
      </c>
      <c r="G1" t="s">
        <v>19</v>
      </c>
      <c r="H1" t="s">
        <v>13</v>
      </c>
      <c r="I1" t="s">
        <v>15</v>
      </c>
      <c r="J1" t="s">
        <v>10</v>
      </c>
      <c r="K1" t="s">
        <v>11</v>
      </c>
      <c r="L1" t="s">
        <v>12</v>
      </c>
      <c r="M1" t="s">
        <v>16</v>
      </c>
      <c r="N1" t="s">
        <v>116</v>
      </c>
      <c r="O1" t="s">
        <v>17</v>
      </c>
      <c r="P1" t="s">
        <v>32</v>
      </c>
      <c r="Q1" t="s">
        <v>26</v>
      </c>
      <c r="R1" t="s">
        <v>27</v>
      </c>
      <c r="S1" t="s">
        <v>31</v>
      </c>
      <c r="T1" t="s">
        <v>33</v>
      </c>
      <c r="U1" t="s">
        <v>2</v>
      </c>
      <c r="V1" t="s">
        <v>25</v>
      </c>
      <c r="W1" t="s">
        <v>24</v>
      </c>
      <c r="X1" t="s">
        <v>28</v>
      </c>
      <c r="Y1" t="s">
        <v>29</v>
      </c>
      <c r="Z1" t="s">
        <v>30</v>
      </c>
      <c r="AA1" t="s">
        <v>34</v>
      </c>
      <c r="AB1" t="s">
        <v>35</v>
      </c>
      <c r="AC1" t="s">
        <v>36</v>
      </c>
      <c r="AD1" t="s">
        <v>37</v>
      </c>
      <c r="AE1" t="s">
        <v>38</v>
      </c>
      <c r="AF1" t="s">
        <v>39</v>
      </c>
      <c r="AG1" t="s">
        <v>117</v>
      </c>
      <c r="AH1" t="s">
        <v>118</v>
      </c>
      <c r="AI1" t="s">
        <v>119</v>
      </c>
      <c r="AJ1" t="s">
        <v>120</v>
      </c>
      <c r="AK1" t="s">
        <v>7</v>
      </c>
      <c r="AL1" t="s">
        <v>121</v>
      </c>
      <c r="AM1" t="s">
        <v>3</v>
      </c>
      <c r="AN1" t="s">
        <v>9</v>
      </c>
      <c r="AO1" t="s">
        <v>14</v>
      </c>
      <c r="AP1" t="s">
        <v>18</v>
      </c>
      <c r="AQ1" t="s">
        <v>22</v>
      </c>
      <c r="AR1" t="s">
        <v>23</v>
      </c>
      <c r="AS1" t="s">
        <v>122</v>
      </c>
      <c r="AT1" t="s">
        <v>238</v>
      </c>
      <c r="AU1" t="s">
        <v>293</v>
      </c>
      <c r="AV1" t="s">
        <v>294</v>
      </c>
      <c r="AW1" t="s">
        <v>295</v>
      </c>
      <c r="AX1" t="s">
        <v>296</v>
      </c>
      <c r="AY1" t="s">
        <v>297</v>
      </c>
      <c r="AZ1" t="s">
        <v>903</v>
      </c>
      <c r="BA1" t="s">
        <v>904</v>
      </c>
      <c r="BB1" t="s">
        <v>901</v>
      </c>
      <c r="BC1" s="5" t="s">
        <v>1241</v>
      </c>
      <c r="BD1" t="s">
        <v>183</v>
      </c>
      <c r="BE1" t="s">
        <v>230</v>
      </c>
      <c r="BF1" t="s">
        <v>231</v>
      </c>
      <c r="BG1" s="5" t="s">
        <v>1242</v>
      </c>
      <c r="BH1" s="5" t="s">
        <v>1281</v>
      </c>
      <c r="BI1" s="5" t="s">
        <v>1413</v>
      </c>
      <c r="BJ1" s="5" t="s">
        <v>1414</v>
      </c>
      <c r="BK1" s="5" t="s">
        <v>1271</v>
      </c>
    </row>
    <row r="2" spans="1:63" hidden="1" x14ac:dyDescent="0.2">
      <c r="A2">
        <v>28016323</v>
      </c>
      <c r="B2" s="2" t="str">
        <f>HYPERLINK("http://www.windermere.com/index.cfm?fuseaction=Listing.ListingDetail&amp;ListingID=19287429","Active")</f>
        <v>Active</v>
      </c>
      <c r="D2" t="s">
        <v>99</v>
      </c>
      <c r="E2" t="s">
        <v>1092</v>
      </c>
      <c r="F2" s="11">
        <v>269950</v>
      </c>
      <c r="G2" t="s">
        <v>146</v>
      </c>
      <c r="H2">
        <v>540</v>
      </c>
      <c r="I2">
        <v>2325</v>
      </c>
      <c r="J2">
        <v>1</v>
      </c>
      <c r="K2">
        <v>1</v>
      </c>
      <c r="M2" s="2" t="str">
        <f>HYPERLINK("http://www.windermere.com/index.cfm?fuseaction=Listing.MapPropertyInteractive&amp;ListingID=19287429&amp;resize=true&amp;windowWidth=800&amp;windowHeight=600","Map")</f>
        <v>Map</v>
      </c>
      <c r="O2" s="2" t="str">
        <f>HYPERLINK("http://www.windermere.com/index.cfm?fuseaction=viewGallery.Home&amp;customTourID=205873&amp;wvt=0","More")</f>
        <v>More</v>
      </c>
      <c r="AI2" t="s">
        <v>66</v>
      </c>
      <c r="AJ2">
        <v>98117</v>
      </c>
      <c r="AS2" t="s">
        <v>1093</v>
      </c>
      <c r="AT2">
        <v>19287429</v>
      </c>
      <c r="AU2" s="10">
        <v>39495</v>
      </c>
      <c r="BB2" t="s">
        <v>902</v>
      </c>
      <c r="BC2" s="6">
        <v>39475</v>
      </c>
      <c r="BD2">
        <v>2</v>
      </c>
      <c r="BE2" s="5" t="s">
        <v>1282</v>
      </c>
      <c r="BG2">
        <v>20</v>
      </c>
      <c r="BH2" s="15">
        <f ca="1">TODAY()-BC2</f>
        <v>1134</v>
      </c>
      <c r="BI2" s="15"/>
      <c r="BJ2" s="15"/>
    </row>
    <row r="3" spans="1:63" hidden="1" x14ac:dyDescent="0.2">
      <c r="A3">
        <v>27216181</v>
      </c>
      <c r="B3" s="2" t="str">
        <f>HYPERLINK("http://www.windermere.com/index.cfm?fuseaction=Listing.ListingDetail&amp;ListingID=19134351","Active")</f>
        <v>Active</v>
      </c>
      <c r="D3" t="s">
        <v>42</v>
      </c>
      <c r="E3" t="s">
        <v>361</v>
      </c>
      <c r="F3" s="9">
        <v>304950</v>
      </c>
      <c r="G3" t="s">
        <v>124</v>
      </c>
      <c r="H3">
        <v>900</v>
      </c>
      <c r="I3">
        <v>4792</v>
      </c>
      <c r="J3">
        <v>2</v>
      </c>
      <c r="K3">
        <v>1</v>
      </c>
      <c r="M3" s="2" t="str">
        <f>HYPERLINK("http://www.windermere.com/index.cfm?fuseaction=Listing.MapPropertyInteractive&amp;ListingID=19134351&amp;resize=true&amp;windowWidth=800&amp;windowHeight=600","Map")</f>
        <v>Map</v>
      </c>
      <c r="O3" s="2" t="str">
        <f>HYPERLINK("http://www.windermere.com/index.cfm?fuseaction=Listing.MultiImageViewer&amp;ListingID=19134351&amp;ln=27216181&amp;pub_mls=1","More")</f>
        <v>More</v>
      </c>
      <c r="AI3" t="s">
        <v>66</v>
      </c>
      <c r="AJ3">
        <v>98133</v>
      </c>
      <c r="AS3" t="s">
        <v>362</v>
      </c>
      <c r="AT3">
        <v>19134351</v>
      </c>
      <c r="AU3" s="10">
        <v>39495</v>
      </c>
      <c r="BB3" t="s">
        <v>902</v>
      </c>
      <c r="BC3" s="6">
        <v>39444</v>
      </c>
      <c r="BG3">
        <v>51</v>
      </c>
      <c r="BH3" s="15">
        <f t="shared" ref="BH3:BH66" ca="1" si="0">TODAY()-BC3</f>
        <v>1165</v>
      </c>
      <c r="BI3" s="15"/>
      <c r="BJ3" s="15"/>
    </row>
    <row r="4" spans="1:63" hidden="1" x14ac:dyDescent="0.2">
      <c r="A4">
        <v>28014336</v>
      </c>
      <c r="B4" s="2" t="str">
        <f>HYPERLINK("http://www.windermere.com/index.cfm?fuseaction=Listing.ListingDetail&amp;ListingID=19267034","Active")</f>
        <v>Active</v>
      </c>
      <c r="D4" t="s">
        <v>956</v>
      </c>
      <c r="E4" t="s">
        <v>1012</v>
      </c>
      <c r="F4" s="9">
        <v>307500</v>
      </c>
      <c r="G4" t="s">
        <v>147</v>
      </c>
      <c r="H4" s="1">
        <v>1375</v>
      </c>
      <c r="J4">
        <v>3</v>
      </c>
      <c r="K4">
        <v>2.5</v>
      </c>
      <c r="M4" s="2" t="str">
        <f>HYPERLINK("http://www.windermere.com/index.cfm?fuseaction=Listing.MapPropertyInteractive&amp;ListingID=19267034&amp;resize=true&amp;windowWidth=800&amp;windowHeight=600","Map")</f>
        <v>Map</v>
      </c>
      <c r="O4" s="2" t="str">
        <f>HYPERLINK("http://www.windermere.com/index.cfm?fuseaction=Listing.MultiImageViewer&amp;ListingID=19267034&amp;ln=28014336&amp;pub_mls=1","More")</f>
        <v>More</v>
      </c>
      <c r="AI4" t="s">
        <v>66</v>
      </c>
      <c r="AJ4">
        <v>98125</v>
      </c>
      <c r="AS4" t="s">
        <v>1013</v>
      </c>
      <c r="AT4">
        <v>19267034</v>
      </c>
      <c r="AU4" s="10">
        <v>39495</v>
      </c>
      <c r="BB4" t="s">
        <v>902</v>
      </c>
      <c r="BC4" s="6">
        <v>39470</v>
      </c>
      <c r="BG4">
        <v>25</v>
      </c>
      <c r="BH4" s="15">
        <f t="shared" ca="1" si="0"/>
        <v>1139</v>
      </c>
      <c r="BI4" s="15"/>
      <c r="BJ4" s="15"/>
    </row>
    <row r="5" spans="1:63" hidden="1" x14ac:dyDescent="0.2">
      <c r="A5">
        <v>28000620</v>
      </c>
      <c r="B5" s="2" t="str">
        <f>HYPERLINK("http://www.windermere.com/index.cfm?fuseaction=Listing.ListingDetail&amp;ListingID=19161972","Active")</f>
        <v>Active</v>
      </c>
      <c r="D5" t="s">
        <v>194</v>
      </c>
      <c r="E5" t="s">
        <v>363</v>
      </c>
      <c r="F5" s="9">
        <v>308000</v>
      </c>
      <c r="G5" t="s">
        <v>364</v>
      </c>
      <c r="H5">
        <v>750</v>
      </c>
      <c r="J5">
        <v>2</v>
      </c>
      <c r="K5">
        <v>1.5</v>
      </c>
      <c r="M5" s="2" t="str">
        <f>HYPERLINK("http://www.windermere.com/index.cfm?fuseaction=Listing.MapPropertyInteractive&amp;ListingID=19161972&amp;resize=true&amp;windowWidth=800&amp;windowHeight=600","Map")</f>
        <v>Map</v>
      </c>
      <c r="O5" s="2" t="str">
        <f>HYPERLINK("http://www.windermere.com/index.cfm?fuseaction=Listing.MultiImageViewer&amp;ListingID=19161972&amp;ln=28000620&amp;pub_mls=1","More")</f>
        <v>More</v>
      </c>
      <c r="P5" t="s">
        <v>44</v>
      </c>
      <c r="AI5" t="s">
        <v>66</v>
      </c>
      <c r="AJ5">
        <v>98115</v>
      </c>
      <c r="AS5" t="s">
        <v>365</v>
      </c>
      <c r="AT5">
        <v>19161972</v>
      </c>
      <c r="AU5" s="10">
        <v>39495</v>
      </c>
      <c r="BB5" t="s">
        <v>902</v>
      </c>
      <c r="BC5" s="6">
        <v>39451</v>
      </c>
      <c r="BG5">
        <v>44</v>
      </c>
      <c r="BH5" s="15">
        <f t="shared" ca="1" si="0"/>
        <v>1158</v>
      </c>
      <c r="BI5" s="15"/>
      <c r="BJ5" s="15"/>
    </row>
    <row r="6" spans="1:63" hidden="1" x14ac:dyDescent="0.2">
      <c r="A6">
        <v>28026998</v>
      </c>
      <c r="B6" s="13" t="str">
        <f>HYPERLINK("http://www.windermere.com/index.cfm?fuseaction=Listing.ListingDetail&amp;ListingID=19370194","Subject To Inspection")</f>
        <v>Subject To Inspection</v>
      </c>
      <c r="D6" t="s">
        <v>70</v>
      </c>
      <c r="E6" t="s">
        <v>366</v>
      </c>
      <c r="F6" s="9">
        <v>309000</v>
      </c>
      <c r="G6" t="s">
        <v>137</v>
      </c>
      <c r="H6">
        <v>880</v>
      </c>
      <c r="I6">
        <v>6561</v>
      </c>
      <c r="J6">
        <v>2</v>
      </c>
      <c r="K6">
        <v>1</v>
      </c>
      <c r="M6" s="2" t="str">
        <f>HYPERLINK("http://www.windermere.com/index.cfm?fuseaction=Listing.MapPropertyInteractive&amp;ListingID=19370194&amp;resize=true&amp;windowWidth=800&amp;windowHeight=600","Map")</f>
        <v>Map</v>
      </c>
      <c r="O6" s="2" t="str">
        <f>HYPERLINK("http://www.windermere.com/index.cfm?fuseaction=Listing.MultiImageViewer&amp;ListingID=19370194&amp;ln=28026998&amp;pub_mls=1","More")</f>
        <v>More</v>
      </c>
      <c r="AI6" t="s">
        <v>66</v>
      </c>
      <c r="AJ6">
        <v>98133</v>
      </c>
      <c r="AS6" t="s">
        <v>367</v>
      </c>
      <c r="AT6">
        <v>19370194</v>
      </c>
      <c r="AU6" s="10">
        <v>39495</v>
      </c>
      <c r="BB6" t="s">
        <v>902</v>
      </c>
      <c r="BC6" s="6">
        <v>39492</v>
      </c>
      <c r="BG6">
        <v>3</v>
      </c>
      <c r="BH6" s="15">
        <f t="shared" ca="1" si="0"/>
        <v>1117</v>
      </c>
      <c r="BI6" s="15"/>
      <c r="BJ6" s="15"/>
    </row>
    <row r="7" spans="1:63" hidden="1" x14ac:dyDescent="0.2">
      <c r="A7">
        <v>27172819</v>
      </c>
      <c r="B7" s="13" t="str">
        <f>HYPERLINK("http://www.windermere.com/index.cfm?fuseaction=Listing.ListingDetail&amp;ListingID=18673522","Subject To Inspection")</f>
        <v>Subject To Inspection</v>
      </c>
      <c r="D7" t="s">
        <v>66</v>
      </c>
      <c r="E7" t="s">
        <v>393</v>
      </c>
      <c r="F7" s="9">
        <v>309950</v>
      </c>
      <c r="G7" t="s">
        <v>394</v>
      </c>
      <c r="I7">
        <v>1200</v>
      </c>
      <c r="J7">
        <v>3</v>
      </c>
      <c r="K7">
        <v>2.5</v>
      </c>
      <c r="M7" s="2" t="str">
        <f>HYPERLINK("http://www.windermere.com/index.cfm?fuseaction=Listing.MapPropertyInteractive&amp;ListingID=18673522&amp;resize=true&amp;windowWidth=800&amp;windowHeight=600","Map")</f>
        <v>Map</v>
      </c>
      <c r="O7" s="2" t="str">
        <f>HYPERLINK("http://www.windermere.com/index.cfm?fuseaction=Listing.MultiImageViewer&amp;ListingID=18673522&amp;ln=27172819&amp;pub_mls=1","More")</f>
        <v>More</v>
      </c>
      <c r="AI7" t="s">
        <v>66</v>
      </c>
      <c r="AJ7">
        <v>98133</v>
      </c>
      <c r="AS7" t="s">
        <v>395</v>
      </c>
      <c r="AT7">
        <v>18673522</v>
      </c>
      <c r="AU7" s="10">
        <v>39495</v>
      </c>
      <c r="BB7" t="s">
        <v>902</v>
      </c>
      <c r="BC7" s="6">
        <v>39346</v>
      </c>
      <c r="BG7">
        <v>149</v>
      </c>
      <c r="BH7" s="15">
        <f t="shared" ca="1" si="0"/>
        <v>1263</v>
      </c>
      <c r="BI7" s="15"/>
      <c r="BJ7" s="15"/>
    </row>
    <row r="8" spans="1:63" hidden="1" x14ac:dyDescent="0.2">
      <c r="A8">
        <v>27193955</v>
      </c>
      <c r="B8" s="2" t="str">
        <f>HYPERLINK("http://www.windermere.com/index.cfm?fuseaction=Listing.ListingDetail&amp;ListingID=18883912","Active")</f>
        <v>Active</v>
      </c>
      <c r="D8" t="s">
        <v>66</v>
      </c>
      <c r="E8" t="s">
        <v>368</v>
      </c>
      <c r="F8" s="9">
        <v>309950</v>
      </c>
      <c r="G8" t="s">
        <v>369</v>
      </c>
      <c r="H8">
        <v>760</v>
      </c>
      <c r="I8">
        <v>5163</v>
      </c>
      <c r="J8">
        <v>2</v>
      </c>
      <c r="K8">
        <v>1</v>
      </c>
      <c r="M8" s="2" t="str">
        <f>HYPERLINK("http://www.windermere.com/index.cfm?fuseaction=Listing.MapPropertyInteractive&amp;ListingID=18883912&amp;resize=true&amp;windowWidth=800&amp;windowHeight=600","Map")</f>
        <v>Map</v>
      </c>
      <c r="O8" s="2" t="str">
        <f>HYPERLINK("http://www.windermere.com/index.cfm?fuseaction=Listing.MultiImageViewer&amp;ListingID=18883912&amp;ln=27193955&amp;pub_mls=1","More")</f>
        <v>More</v>
      </c>
      <c r="P8" t="s">
        <v>44</v>
      </c>
      <c r="AI8" t="s">
        <v>66</v>
      </c>
      <c r="AJ8">
        <v>98133</v>
      </c>
      <c r="AS8" t="s">
        <v>370</v>
      </c>
      <c r="AT8">
        <v>18883912</v>
      </c>
      <c r="AU8" s="10">
        <v>39495</v>
      </c>
      <c r="BB8" t="s">
        <v>902</v>
      </c>
      <c r="BC8" s="6">
        <v>39385</v>
      </c>
      <c r="BG8">
        <v>110</v>
      </c>
      <c r="BH8" s="15">
        <f t="shared" ca="1" si="0"/>
        <v>1224</v>
      </c>
      <c r="BI8" s="15"/>
      <c r="BJ8" s="15"/>
    </row>
    <row r="9" spans="1:63" hidden="1" x14ac:dyDescent="0.2">
      <c r="A9">
        <v>27196449</v>
      </c>
      <c r="B9" s="13" t="str">
        <f>HYPERLINK("http://www.windermere.com/index.cfm?fuseaction=Listing.ListingDetail&amp;ListingID=18906882","Subject To Inspection")</f>
        <v>Subject To Inspection</v>
      </c>
      <c r="D9" t="s">
        <v>99</v>
      </c>
      <c r="E9" t="s">
        <v>304</v>
      </c>
      <c r="F9" s="9">
        <v>309950</v>
      </c>
      <c r="G9" t="s">
        <v>147</v>
      </c>
      <c r="J9">
        <v>3</v>
      </c>
      <c r="K9">
        <v>1.5</v>
      </c>
      <c r="M9" s="2" t="str">
        <f>HYPERLINK("http://www.windermere.com/index.cfm?fuseaction=Listing.MapPropertyInteractive&amp;ListingID=18906882&amp;resize=true&amp;windowWidth=800&amp;windowHeight=600","Map")</f>
        <v>Map</v>
      </c>
      <c r="O9" s="2" t="str">
        <f>HYPERLINK("http://www.windermere.com/index.cfm?fuseaction=Listing.MultiImageViewer&amp;ListingID=18906882&amp;ln=27196449&amp;pub_mls=1","More")</f>
        <v>More</v>
      </c>
      <c r="P9" t="s">
        <v>44</v>
      </c>
      <c r="AI9" t="s">
        <v>66</v>
      </c>
      <c r="AJ9">
        <v>98117</v>
      </c>
      <c r="AS9" t="s">
        <v>305</v>
      </c>
      <c r="AT9">
        <v>18906882</v>
      </c>
      <c r="AU9" s="10">
        <v>39495</v>
      </c>
      <c r="BB9" t="s">
        <v>902</v>
      </c>
      <c r="BC9" s="6">
        <v>39388</v>
      </c>
      <c r="BG9">
        <v>107</v>
      </c>
      <c r="BH9" s="15">
        <f t="shared" ca="1" si="0"/>
        <v>1221</v>
      </c>
      <c r="BI9" s="15"/>
      <c r="BJ9" s="15"/>
    </row>
    <row r="10" spans="1:63" hidden="1" x14ac:dyDescent="0.2">
      <c r="A10">
        <v>28020736</v>
      </c>
      <c r="B10" s="4" t="str">
        <f>HYPERLINK("http://www.windermere.com/index.cfm?fuseaction=Listing.ListingDetail&amp;ListingID=19320510","Subject To Inspection")</f>
        <v>Subject To Inspection</v>
      </c>
      <c r="D10" t="s">
        <v>956</v>
      </c>
      <c r="E10" t="s">
        <v>1014</v>
      </c>
      <c r="F10" s="9">
        <v>309950</v>
      </c>
      <c r="G10" t="s">
        <v>147</v>
      </c>
      <c r="H10" s="1">
        <v>1220</v>
      </c>
      <c r="J10">
        <v>3</v>
      </c>
      <c r="K10">
        <v>2.5</v>
      </c>
      <c r="M10" s="2" t="str">
        <f>HYPERLINK("http://www.windermere.com/index.cfm?fuseaction=Listing.MapPropertyInteractive&amp;ListingID=19320510&amp;resize=true&amp;windowWidth=800&amp;windowHeight=600","Map")</f>
        <v>Map</v>
      </c>
      <c r="O10" s="2" t="str">
        <f>HYPERLINK("http://www.windermere.com/index.cfm?fuseaction=Listing.MultiImageViewer&amp;ListingID=19320510&amp;ln=28020736&amp;pub_mls=1","More")</f>
        <v>More</v>
      </c>
      <c r="P10" t="s">
        <v>44</v>
      </c>
      <c r="AI10" t="s">
        <v>66</v>
      </c>
      <c r="AJ10">
        <v>98125</v>
      </c>
      <c r="AS10" t="s">
        <v>1015</v>
      </c>
      <c r="AT10">
        <v>19320510</v>
      </c>
      <c r="AU10" s="10">
        <v>39495</v>
      </c>
      <c r="BB10" t="s">
        <v>902</v>
      </c>
      <c r="BC10" s="6">
        <v>39482</v>
      </c>
      <c r="BG10">
        <v>13</v>
      </c>
      <c r="BH10" s="15">
        <f t="shared" ca="1" si="0"/>
        <v>1127</v>
      </c>
      <c r="BI10" s="15"/>
      <c r="BJ10" s="15"/>
    </row>
    <row r="11" spans="1:63" hidden="1" x14ac:dyDescent="0.2">
      <c r="A11">
        <v>28022589</v>
      </c>
      <c r="B11" s="2" t="str">
        <f>HYPERLINK("http://www.windermere.com/index.cfm?fuseaction=Listing.ListingDetail&amp;ListingID=19341859","Active")</f>
        <v>Active</v>
      </c>
      <c r="D11" t="s">
        <v>956</v>
      </c>
      <c r="E11" t="s">
        <v>1016</v>
      </c>
      <c r="F11" s="9">
        <v>309950</v>
      </c>
      <c r="G11" t="s">
        <v>248</v>
      </c>
      <c r="H11" s="12">
        <v>1420</v>
      </c>
      <c r="I11">
        <v>1716</v>
      </c>
      <c r="J11">
        <v>3</v>
      </c>
      <c r="K11">
        <v>2</v>
      </c>
      <c r="M11" s="2" t="str">
        <f>HYPERLINK("http://www.windermere.com/index.cfm?fuseaction=Listing.MapPropertyInteractive&amp;ListingID=19341859&amp;resize=true&amp;windowWidth=800&amp;windowHeight=600","Map")</f>
        <v>Map</v>
      </c>
      <c r="O11" s="2" t="str">
        <f>HYPERLINK("http://www.windermere.com/index.cfm?fuseaction=viewGallery.Home&amp;customTourID=206948&amp;wvt=0","More")</f>
        <v>More</v>
      </c>
      <c r="AI11" t="s">
        <v>386</v>
      </c>
      <c r="AJ11">
        <v>98155</v>
      </c>
      <c r="AS11" t="s">
        <v>1017</v>
      </c>
      <c r="AT11">
        <v>19341859</v>
      </c>
      <c r="AU11" s="10">
        <v>39495</v>
      </c>
      <c r="BB11" t="s">
        <v>902</v>
      </c>
      <c r="BC11" s="6">
        <v>39486</v>
      </c>
      <c r="BG11">
        <v>9</v>
      </c>
      <c r="BH11" s="15">
        <f t="shared" ca="1" si="0"/>
        <v>1123</v>
      </c>
      <c r="BI11" s="15"/>
      <c r="BJ11" s="15"/>
    </row>
    <row r="12" spans="1:63" hidden="1" x14ac:dyDescent="0.2">
      <c r="A12">
        <v>28015944</v>
      </c>
      <c r="B12" s="2" t="str">
        <f>HYPERLINK("http://www.windermere.com/index.cfm?fuseaction=Listing.ListingDetail&amp;ListingID=19281164","Subject To Inspection")</f>
        <v>Subject To Inspection</v>
      </c>
      <c r="D12" t="s">
        <v>1018</v>
      </c>
      <c r="E12" t="s">
        <v>371</v>
      </c>
      <c r="F12" s="9">
        <v>309999</v>
      </c>
      <c r="G12" t="s">
        <v>157</v>
      </c>
      <c r="H12">
        <v>770</v>
      </c>
      <c r="I12">
        <v>14469</v>
      </c>
      <c r="J12">
        <v>2</v>
      </c>
      <c r="K12">
        <v>1</v>
      </c>
      <c r="M12" s="2" t="str">
        <f>HYPERLINK("http://www.windermere.com/index.cfm?fuseaction=Listing.MapPropertyInteractive&amp;ListingID=19281164&amp;resize=true&amp;windowWidth=800&amp;windowHeight=600","Map")</f>
        <v>Map</v>
      </c>
      <c r="O12" s="2" t="str">
        <f>HYPERLINK("http://www.windermere.com/index.cfm?fuseaction=Listing.MultiImageViewer&amp;ListingID=19281164&amp;ln=28015944&amp;pub_mls=1","More")</f>
        <v>More</v>
      </c>
      <c r="AI12" t="s">
        <v>66</v>
      </c>
      <c r="AJ12">
        <v>98133</v>
      </c>
      <c r="AS12" t="s">
        <v>372</v>
      </c>
      <c r="AT12">
        <v>19281164</v>
      </c>
      <c r="AU12" s="10">
        <v>39495</v>
      </c>
      <c r="BB12" t="s">
        <v>902</v>
      </c>
      <c r="BC12" s="6">
        <v>39472</v>
      </c>
      <c r="BG12">
        <v>23</v>
      </c>
      <c r="BH12" s="15">
        <f t="shared" ca="1" si="0"/>
        <v>1137</v>
      </c>
      <c r="BI12" s="15"/>
      <c r="BJ12" s="15"/>
      <c r="BK12" t="str">
        <f>B12</f>
        <v>Subject To Inspection</v>
      </c>
    </row>
    <row r="13" spans="1:63" hidden="1" x14ac:dyDescent="0.2">
      <c r="A13">
        <v>28016237</v>
      </c>
      <c r="B13" s="13" t="str">
        <f>HYPERLINK("http://www.windermere.com/index.cfm?fuseaction=Listing.ListingDetail&amp;ListingID=19291014","Subject To Inspection")</f>
        <v>Subject To Inspection</v>
      </c>
      <c r="D13" t="s">
        <v>42</v>
      </c>
      <c r="E13" t="s">
        <v>373</v>
      </c>
      <c r="F13" s="9">
        <v>314000</v>
      </c>
      <c r="G13" t="s">
        <v>147</v>
      </c>
      <c r="H13" s="1">
        <v>1432</v>
      </c>
      <c r="J13">
        <v>3</v>
      </c>
      <c r="K13">
        <v>2.5</v>
      </c>
      <c r="M13" s="2" t="str">
        <f>HYPERLINK("http://www.windermere.com/index.cfm?fuseaction=Listing.MapPropertyInteractive&amp;ListingID=19291014&amp;resize=true&amp;windowWidth=800&amp;windowHeight=600","Map")</f>
        <v>Map</v>
      </c>
      <c r="O13" s="2" t="str">
        <f>HYPERLINK("http://www.windermere.com/index.cfm?fuseaction=Listing.MultiImageViewer&amp;ListingID=19291014&amp;ln=28016237&amp;pub_mls=1","More")</f>
        <v>More</v>
      </c>
      <c r="AI13" t="s">
        <v>66</v>
      </c>
      <c r="AJ13">
        <v>98133</v>
      </c>
      <c r="AS13" t="s">
        <v>374</v>
      </c>
      <c r="AT13">
        <v>19291014</v>
      </c>
      <c r="AU13" s="10">
        <v>39495</v>
      </c>
      <c r="BB13" t="s">
        <v>902</v>
      </c>
      <c r="BC13" s="6">
        <v>39475</v>
      </c>
      <c r="BG13">
        <v>20</v>
      </c>
      <c r="BH13" s="15">
        <f t="shared" ca="1" si="0"/>
        <v>1134</v>
      </c>
      <c r="BI13" s="15"/>
      <c r="BJ13" s="15"/>
    </row>
    <row r="14" spans="1:63" hidden="1" x14ac:dyDescent="0.2">
      <c r="A14">
        <v>28011739</v>
      </c>
      <c r="B14" s="2" t="str">
        <f>HYPERLINK("http://www.windermere.com/index.cfm?fuseaction=Listing.ListingDetail&amp;ListingID=19249638","Active")</f>
        <v>Active</v>
      </c>
      <c r="D14" t="s">
        <v>956</v>
      </c>
      <c r="E14" t="s">
        <v>1019</v>
      </c>
      <c r="F14" s="9">
        <v>314900</v>
      </c>
      <c r="G14" t="s">
        <v>128</v>
      </c>
      <c r="H14" s="1">
        <v>1275</v>
      </c>
      <c r="J14">
        <v>3</v>
      </c>
      <c r="K14">
        <v>1.75</v>
      </c>
      <c r="M14" s="2" t="str">
        <f>HYPERLINK("http://www.windermere.com/index.cfm?fuseaction=Listing.MapPropertyInteractive&amp;ListingID=19249638&amp;resize=true&amp;windowWidth=800&amp;windowHeight=600","Map")</f>
        <v>Map</v>
      </c>
      <c r="O14" s="2" t="str">
        <f>HYPERLINK("http://www.windermere.com/index.cfm?fuseaction=Listing.MultiImageViewer&amp;ListingID=19249638&amp;ln=28011739&amp;pub_mls=1","More")</f>
        <v>More</v>
      </c>
      <c r="P14" t="s">
        <v>44</v>
      </c>
      <c r="AI14" t="s">
        <v>66</v>
      </c>
      <c r="AJ14">
        <v>98125</v>
      </c>
      <c r="AS14" t="s">
        <v>1020</v>
      </c>
      <c r="AT14">
        <v>19249638</v>
      </c>
      <c r="AU14" s="10">
        <v>39495</v>
      </c>
      <c r="BB14" t="s">
        <v>902</v>
      </c>
      <c r="BC14" s="6">
        <v>39466</v>
      </c>
      <c r="BG14">
        <v>29</v>
      </c>
      <c r="BH14" s="15">
        <f t="shared" ca="1" si="0"/>
        <v>1143</v>
      </c>
      <c r="BI14" s="15"/>
      <c r="BJ14" s="15"/>
    </row>
    <row r="15" spans="1:63" hidden="1" x14ac:dyDescent="0.2">
      <c r="A15">
        <v>28014342</v>
      </c>
      <c r="B15" s="2" t="str">
        <f>HYPERLINK("http://www.windermere.com/index.cfm?fuseaction=Listing.ListingDetail&amp;ListingID=19267024","Subject To Inspection")</f>
        <v>Subject To Inspection</v>
      </c>
      <c r="D15" t="s">
        <v>956</v>
      </c>
      <c r="E15" t="s">
        <v>1021</v>
      </c>
      <c r="F15" s="9">
        <v>315000</v>
      </c>
      <c r="G15" t="s">
        <v>147</v>
      </c>
      <c r="H15" s="1">
        <v>1499</v>
      </c>
      <c r="J15">
        <v>3</v>
      </c>
      <c r="K15">
        <v>2</v>
      </c>
      <c r="M15" s="2" t="str">
        <f>HYPERLINK("http://www.windermere.com/index.cfm?fuseaction=Listing.MapPropertyInteractive&amp;ListingID=19267024&amp;resize=true&amp;windowWidth=800&amp;windowHeight=600","Map")</f>
        <v>Map</v>
      </c>
      <c r="O15" s="2" t="str">
        <f>HYPERLINK("http://www.windermere.com/index.cfm?fuseaction=Listing.MultiImageViewer&amp;ListingID=19267024&amp;ln=28014342&amp;pub_mls=1","More")</f>
        <v>More</v>
      </c>
      <c r="AI15" t="s">
        <v>66</v>
      </c>
      <c r="AJ15">
        <v>98125</v>
      </c>
      <c r="AS15" t="s">
        <v>1022</v>
      </c>
      <c r="AT15">
        <v>19267024</v>
      </c>
      <c r="AU15" s="10">
        <v>39495</v>
      </c>
      <c r="BB15" t="s">
        <v>902</v>
      </c>
      <c r="BC15" s="6">
        <v>39470</v>
      </c>
      <c r="BG15">
        <v>25</v>
      </c>
      <c r="BH15" s="15">
        <f t="shared" ca="1" si="0"/>
        <v>1139</v>
      </c>
      <c r="BI15" s="15"/>
      <c r="BJ15" s="15"/>
      <c r="BK15" t="str">
        <f>B15</f>
        <v>Subject To Inspection</v>
      </c>
    </row>
    <row r="16" spans="1:63" hidden="1" x14ac:dyDescent="0.2">
      <c r="A16">
        <v>28027761</v>
      </c>
      <c r="B16" s="2" t="str">
        <f>HYPERLINK("http://www.windermere.com/index.cfm?fuseaction=Listing.ListingDetail&amp;ListingID=19381850","Active")</f>
        <v>Active</v>
      </c>
      <c r="D16" t="s">
        <v>60</v>
      </c>
      <c r="E16" t="s">
        <v>375</v>
      </c>
      <c r="F16" s="9">
        <v>315000</v>
      </c>
      <c r="G16" t="s">
        <v>248</v>
      </c>
      <c r="H16">
        <v>800</v>
      </c>
      <c r="I16">
        <v>1196</v>
      </c>
      <c r="J16">
        <v>2</v>
      </c>
      <c r="K16">
        <v>1.5</v>
      </c>
      <c r="M16" s="2" t="str">
        <f>HYPERLINK("http://www.windermere.com/index.cfm?fuseaction=Listing.MapPropertyInteractive&amp;ListingID=19381850&amp;resize=true&amp;windowWidth=800&amp;windowHeight=600","Map")</f>
        <v>Map</v>
      </c>
      <c r="O16" s="2" t="str">
        <f>HYPERLINK("http://www.windermere.com/index.cfm?fuseaction=Listing.MultiImageViewer&amp;ListingID=19381850&amp;ln=28027761&amp;pub_mls=1","More")</f>
        <v>More</v>
      </c>
      <c r="AI16" t="s">
        <v>66</v>
      </c>
      <c r="AJ16">
        <v>98103</v>
      </c>
      <c r="AS16" t="s">
        <v>376</v>
      </c>
      <c r="AT16">
        <v>19381850</v>
      </c>
      <c r="AU16" s="10">
        <v>39495</v>
      </c>
      <c r="BB16" t="s">
        <v>902</v>
      </c>
      <c r="BC16" s="6">
        <v>39494</v>
      </c>
      <c r="BG16">
        <v>1</v>
      </c>
      <c r="BH16" s="15">
        <f t="shared" ca="1" si="0"/>
        <v>1115</v>
      </c>
      <c r="BI16" s="15"/>
      <c r="BJ16" s="15"/>
    </row>
    <row r="17" spans="1:63" hidden="1" x14ac:dyDescent="0.2">
      <c r="A17">
        <v>28000911</v>
      </c>
      <c r="B17" s="13" t="str">
        <f>HYPERLINK("http://www.windermere.com/index.cfm?fuseaction=Listing.ListingDetail&amp;ListingID=19148568","Active")</f>
        <v>Active</v>
      </c>
      <c r="D17" t="s">
        <v>956</v>
      </c>
      <c r="E17" t="s">
        <v>1025</v>
      </c>
      <c r="F17" s="11">
        <v>309888</v>
      </c>
      <c r="G17" t="s">
        <v>147</v>
      </c>
      <c r="H17" s="1">
        <v>1482</v>
      </c>
      <c r="J17">
        <v>3</v>
      </c>
      <c r="K17">
        <v>2.5</v>
      </c>
      <c r="M17" s="2" t="str">
        <f>HYPERLINK("http://www.windermere.com/index.cfm?fuseaction=Listing.MapPropertyInteractive&amp;ListingID=19148568&amp;resize=true&amp;windowWidth=800&amp;windowHeight=600","Map")</f>
        <v>Map</v>
      </c>
      <c r="O17" s="2" t="str">
        <f>HYPERLINK("http://www.windermere.com/index.cfm?fuseaction=Listing.MultiImageViewer&amp;ListingID=19148568&amp;ln=28000911&amp;pub_mls=1","More")</f>
        <v>More</v>
      </c>
      <c r="AI17" t="s">
        <v>66</v>
      </c>
      <c r="AJ17">
        <v>98125</v>
      </c>
      <c r="AS17" t="s">
        <v>1026</v>
      </c>
      <c r="AT17">
        <v>19148568</v>
      </c>
      <c r="AU17" s="10">
        <v>39495</v>
      </c>
      <c r="BB17" t="s">
        <v>902</v>
      </c>
      <c r="BC17" s="6">
        <v>39449</v>
      </c>
      <c r="BG17">
        <v>46</v>
      </c>
      <c r="BH17" s="15">
        <f t="shared" ca="1" si="0"/>
        <v>1160</v>
      </c>
      <c r="BI17" s="15"/>
      <c r="BJ17" s="15"/>
      <c r="BK17" t="str">
        <f>B17</f>
        <v>Active</v>
      </c>
    </row>
    <row r="18" spans="1:63" hidden="1" x14ac:dyDescent="0.2">
      <c r="A18">
        <v>28000982</v>
      </c>
      <c r="B18" s="2" t="str">
        <f>HYPERLINK("http://www.windermere.com/index.cfm?fuseaction=Listing.ListingDetail&amp;ListingID=19148569","Active")</f>
        <v>Active</v>
      </c>
      <c r="D18" t="s">
        <v>956</v>
      </c>
      <c r="E18" t="s">
        <v>1023</v>
      </c>
      <c r="F18" s="11">
        <v>309888</v>
      </c>
      <c r="G18" t="s">
        <v>147</v>
      </c>
      <c r="H18" s="1">
        <v>1380</v>
      </c>
      <c r="J18">
        <v>3</v>
      </c>
      <c r="K18">
        <v>2.25</v>
      </c>
      <c r="M18" s="2" t="str">
        <f>HYPERLINK("http://www.windermere.com/index.cfm?fuseaction=Listing.MapPropertyInteractive&amp;ListingID=19148569&amp;resize=true&amp;windowWidth=800&amp;windowHeight=600","Map")</f>
        <v>Map</v>
      </c>
      <c r="O18" s="2" t="str">
        <f>HYPERLINK("http://www.windermere.com/index.cfm?fuseaction=Listing.MultiImageViewer&amp;ListingID=19148569&amp;ln=28000982&amp;pub_mls=1","More")</f>
        <v>More</v>
      </c>
      <c r="AI18" t="s">
        <v>66</v>
      </c>
      <c r="AJ18">
        <v>98125</v>
      </c>
      <c r="AS18" t="s">
        <v>1024</v>
      </c>
      <c r="AT18">
        <v>19148569</v>
      </c>
      <c r="AU18" s="10">
        <v>39495</v>
      </c>
      <c r="BB18" t="s">
        <v>902</v>
      </c>
      <c r="BC18" s="6">
        <v>39494</v>
      </c>
      <c r="BG18">
        <v>1</v>
      </c>
      <c r="BH18" s="15">
        <f t="shared" ca="1" si="0"/>
        <v>1115</v>
      </c>
      <c r="BI18" s="15"/>
      <c r="BJ18" s="15"/>
    </row>
    <row r="19" spans="1:63" hidden="1" x14ac:dyDescent="0.2">
      <c r="A19">
        <v>27186400</v>
      </c>
      <c r="B19" s="2" t="str">
        <f>HYPERLINK("http://www.windermere.com/index.cfm?fuseaction=Listing.ListingDetail&amp;ListingID=18812719","Active")</f>
        <v>Active</v>
      </c>
      <c r="D19" t="s">
        <v>99</v>
      </c>
      <c r="E19" t="s">
        <v>312</v>
      </c>
      <c r="F19" s="9">
        <v>319950</v>
      </c>
      <c r="G19" t="s">
        <v>147</v>
      </c>
      <c r="J19">
        <v>3</v>
      </c>
      <c r="K19">
        <v>1.5</v>
      </c>
      <c r="M19" s="2" t="str">
        <f>HYPERLINK("http://www.windermere.com/index.cfm?fuseaction=Listing.MapPropertyInteractive&amp;ListingID=18812719&amp;resize=true&amp;windowWidth=800&amp;windowHeight=600","Map")</f>
        <v>Map</v>
      </c>
      <c r="O19" s="2" t="str">
        <f>HYPERLINK("http://www.windermere.com/index.cfm?fuseaction=Listing.MultiImageViewer&amp;ListingID=18812719&amp;ln=27186400&amp;pub_mls=1","More")</f>
        <v>More</v>
      </c>
      <c r="P19" t="s">
        <v>44</v>
      </c>
      <c r="AI19" t="s">
        <v>66</v>
      </c>
      <c r="AJ19">
        <v>98117</v>
      </c>
      <c r="AS19" t="s">
        <v>313</v>
      </c>
      <c r="AT19">
        <v>18812719</v>
      </c>
      <c r="AU19" s="10">
        <v>39495</v>
      </c>
      <c r="BB19" t="s">
        <v>902</v>
      </c>
      <c r="BC19" s="6">
        <v>39370</v>
      </c>
      <c r="BG19">
        <v>125</v>
      </c>
      <c r="BH19" s="15">
        <f t="shared" ca="1" si="0"/>
        <v>1239</v>
      </c>
      <c r="BI19" s="15"/>
      <c r="BJ19" s="15"/>
    </row>
    <row r="20" spans="1:63" hidden="1" x14ac:dyDescent="0.2">
      <c r="A20">
        <v>27189098</v>
      </c>
      <c r="B20" s="2" t="str">
        <f>HYPERLINK("http://www.windermere.com/index.cfm?fuseaction=Listing.ListingDetail&amp;ListingID=18838362","Subject To Inspection")</f>
        <v>Subject To Inspection</v>
      </c>
      <c r="D20" t="s">
        <v>99</v>
      </c>
      <c r="E20" t="s">
        <v>308</v>
      </c>
      <c r="F20" s="9">
        <v>319950</v>
      </c>
      <c r="G20" t="s">
        <v>147</v>
      </c>
      <c r="J20">
        <v>3</v>
      </c>
      <c r="K20">
        <v>1.5</v>
      </c>
      <c r="M20" s="2" t="str">
        <f>HYPERLINK("http://www.windermere.com/index.cfm?fuseaction=Listing.MapPropertyInteractive&amp;ListingID=18838362&amp;resize=true&amp;windowWidth=800&amp;windowHeight=600","Map")</f>
        <v>Map</v>
      </c>
      <c r="O20" s="2" t="str">
        <f>HYPERLINK("http://www.windermere.com/index.cfm?fuseaction=Listing.MultiImageViewer&amp;ListingID=18838362&amp;ln=27189098&amp;pub_mls=1","More")</f>
        <v>More</v>
      </c>
      <c r="P20" t="s">
        <v>44</v>
      </c>
      <c r="AI20" t="s">
        <v>66</v>
      </c>
      <c r="AJ20">
        <v>98117</v>
      </c>
      <c r="AS20" t="s">
        <v>309</v>
      </c>
      <c r="AT20">
        <v>18838362</v>
      </c>
      <c r="AU20" s="10">
        <v>39495</v>
      </c>
      <c r="BB20" t="s">
        <v>902</v>
      </c>
      <c r="BC20" s="6">
        <v>39374</v>
      </c>
      <c r="BG20">
        <v>121</v>
      </c>
      <c r="BH20" s="15">
        <f t="shared" ca="1" si="0"/>
        <v>1235</v>
      </c>
      <c r="BI20" s="15"/>
      <c r="BJ20" s="15"/>
      <c r="BK20" t="str">
        <f>B20</f>
        <v>Subject To Inspection</v>
      </c>
    </row>
    <row r="21" spans="1:63" hidden="1" x14ac:dyDescent="0.2">
      <c r="A21">
        <v>27192612</v>
      </c>
      <c r="B21" s="2" t="str">
        <f>HYPERLINK("http://www.windermere.com/index.cfm?fuseaction=Listing.ListingDetail&amp;ListingID=18870272","Subject To Inspection")</f>
        <v>Subject To Inspection</v>
      </c>
      <c r="D21" t="s">
        <v>99</v>
      </c>
      <c r="E21" t="s">
        <v>310</v>
      </c>
      <c r="F21" s="9">
        <v>319950</v>
      </c>
      <c r="G21" t="s">
        <v>147</v>
      </c>
      <c r="J21">
        <v>3</v>
      </c>
      <c r="K21">
        <v>1.5</v>
      </c>
      <c r="M21" s="2" t="str">
        <f>HYPERLINK("http://www.windermere.com/index.cfm?fuseaction=Listing.MapPropertyInteractive&amp;ListingID=18870272&amp;resize=true&amp;windowWidth=800&amp;windowHeight=600","Map")</f>
        <v>Map</v>
      </c>
      <c r="O21" s="2" t="str">
        <f>HYPERLINK("http://www.windermere.com/index.cfm?fuseaction=Listing.MultiImageViewer&amp;ListingID=18870272&amp;ln=27192612&amp;pub_mls=1","More")</f>
        <v>More</v>
      </c>
      <c r="P21" t="s">
        <v>44</v>
      </c>
      <c r="AI21" t="s">
        <v>66</v>
      </c>
      <c r="AJ21">
        <v>98117</v>
      </c>
      <c r="AS21" t="s">
        <v>311</v>
      </c>
      <c r="AT21">
        <v>18870272</v>
      </c>
      <c r="AU21" s="10">
        <v>39495</v>
      </c>
      <c r="BB21" t="s">
        <v>902</v>
      </c>
      <c r="BC21" s="6">
        <v>39381</v>
      </c>
      <c r="BG21">
        <v>114</v>
      </c>
      <c r="BH21" s="15">
        <f t="shared" ca="1" si="0"/>
        <v>1228</v>
      </c>
      <c r="BI21" s="15"/>
      <c r="BJ21" s="15"/>
      <c r="BK21" t="str">
        <f>B21</f>
        <v>Subject To Inspection</v>
      </c>
    </row>
    <row r="22" spans="1:63" hidden="1" x14ac:dyDescent="0.2">
      <c r="A22">
        <v>27199386</v>
      </c>
      <c r="B22" s="2" t="str">
        <f>HYPERLINK("http://www.windermere.com/index.cfm?fuseaction=Listing.ListingDetail&amp;ListingID=18936713","Active")</f>
        <v>Active</v>
      </c>
      <c r="D22" t="s">
        <v>99</v>
      </c>
      <c r="E22" t="s">
        <v>314</v>
      </c>
      <c r="F22" s="9">
        <v>319950</v>
      </c>
      <c r="G22" t="s">
        <v>147</v>
      </c>
      <c r="J22">
        <v>3</v>
      </c>
      <c r="K22">
        <v>1.5</v>
      </c>
      <c r="M22" s="2" t="str">
        <f>HYPERLINK("http://www.windermere.com/index.cfm?fuseaction=Listing.MapPropertyInteractive&amp;ListingID=18936713&amp;resize=true&amp;windowWidth=800&amp;windowHeight=600","Map")</f>
        <v>Map</v>
      </c>
      <c r="O22" s="2" t="str">
        <f>HYPERLINK("http://www.windermere.com/index.cfm?fuseaction=Listing.MultiImageViewer&amp;ListingID=18936713&amp;ln=27199386&amp;pub_mls=1","More")</f>
        <v>More</v>
      </c>
      <c r="P22" t="s">
        <v>44</v>
      </c>
      <c r="AI22" t="s">
        <v>66</v>
      </c>
      <c r="AJ22">
        <v>98117</v>
      </c>
      <c r="AS22" t="s">
        <v>315</v>
      </c>
      <c r="AT22">
        <v>18936713</v>
      </c>
      <c r="AU22" s="10">
        <v>39495</v>
      </c>
      <c r="BB22" t="s">
        <v>902</v>
      </c>
      <c r="BC22" s="6">
        <v>39394</v>
      </c>
      <c r="BG22">
        <v>101</v>
      </c>
      <c r="BH22" s="15">
        <f t="shared" ca="1" si="0"/>
        <v>1215</v>
      </c>
      <c r="BI22" s="15"/>
      <c r="BJ22" s="15"/>
    </row>
    <row r="23" spans="1:63" hidden="1" x14ac:dyDescent="0.2">
      <c r="A23">
        <v>27206338</v>
      </c>
      <c r="B23" s="2" t="str">
        <f>HYPERLINK("http://www.windermere.com/index.cfm?fuseaction=Listing.ListingDetail&amp;ListingID=19018885","Active")</f>
        <v>Active</v>
      </c>
      <c r="D23" t="s">
        <v>99</v>
      </c>
      <c r="E23" t="s">
        <v>306</v>
      </c>
      <c r="F23" s="9">
        <v>319950</v>
      </c>
      <c r="G23" t="s">
        <v>147</v>
      </c>
      <c r="J23">
        <v>3</v>
      </c>
      <c r="K23">
        <v>1.5</v>
      </c>
      <c r="M23" s="2" t="str">
        <f>HYPERLINK("http://www.windermere.com/index.cfm?fuseaction=Listing.MapPropertyInteractive&amp;ListingID=19018885&amp;resize=true&amp;windowWidth=800&amp;windowHeight=600","Map")</f>
        <v>Map</v>
      </c>
      <c r="O23" s="2" t="str">
        <f>HYPERLINK("http://www.windermere.com/index.cfm?fuseaction=Listing.MultiImageViewer&amp;ListingID=19018885&amp;ln=27206338&amp;pub_mls=1","More")</f>
        <v>More</v>
      </c>
      <c r="P23" t="s">
        <v>44</v>
      </c>
      <c r="AI23" t="s">
        <v>66</v>
      </c>
      <c r="AJ23">
        <v>98117</v>
      </c>
      <c r="AS23" t="s">
        <v>307</v>
      </c>
      <c r="AT23">
        <v>19018885</v>
      </c>
      <c r="AU23" s="10">
        <v>39495</v>
      </c>
      <c r="BB23" t="s">
        <v>902</v>
      </c>
      <c r="BC23" s="6">
        <v>39413</v>
      </c>
      <c r="BG23">
        <v>82</v>
      </c>
      <c r="BH23" s="15">
        <f t="shared" ca="1" si="0"/>
        <v>1196</v>
      </c>
      <c r="BI23" s="15"/>
      <c r="BJ23" s="15"/>
    </row>
    <row r="24" spans="1:63" hidden="1" x14ac:dyDescent="0.2">
      <c r="A24">
        <v>27215594</v>
      </c>
      <c r="B24" s="13" t="str">
        <f>HYPERLINK("http://www.windermere.com/index.cfm?fuseaction=Listing.ListingDetail&amp;ListingID=19127481","Subject To Inspection")</f>
        <v>Subject To Inspection</v>
      </c>
      <c r="D24" t="s">
        <v>60</v>
      </c>
      <c r="E24" t="s">
        <v>379</v>
      </c>
      <c r="F24" s="9">
        <v>319950</v>
      </c>
      <c r="G24" t="s">
        <v>147</v>
      </c>
      <c r="H24" s="1">
        <v>1088</v>
      </c>
      <c r="J24">
        <v>2</v>
      </c>
      <c r="K24">
        <v>2.5</v>
      </c>
      <c r="M24" s="2" t="str">
        <f>HYPERLINK("http://www.windermere.com/index.cfm?fuseaction=Listing.MapPropertyInteractive&amp;ListingID=19127481&amp;resize=true&amp;windowWidth=800&amp;windowHeight=600","Map")</f>
        <v>Map</v>
      </c>
      <c r="O24" s="2" t="str">
        <f>HYPERLINK("http://www.windermere.com/index.cfm?fuseaction=viewGallery.Home&amp;customTourID=203089&amp;wvt=0","More")</f>
        <v>More</v>
      </c>
      <c r="AI24" t="s">
        <v>66</v>
      </c>
      <c r="AJ24">
        <v>98103</v>
      </c>
      <c r="AS24" t="s">
        <v>380</v>
      </c>
      <c r="AT24">
        <v>19127481</v>
      </c>
      <c r="AU24" s="10">
        <v>39495</v>
      </c>
      <c r="BB24" t="s">
        <v>902</v>
      </c>
      <c r="BC24" s="6">
        <v>39442</v>
      </c>
      <c r="BG24">
        <v>53</v>
      </c>
      <c r="BH24" s="15">
        <f t="shared" ca="1" si="0"/>
        <v>1167</v>
      </c>
      <c r="BI24" s="15"/>
      <c r="BJ24" s="15"/>
    </row>
    <row r="25" spans="1:63" hidden="1" x14ac:dyDescent="0.2">
      <c r="A25">
        <v>28024017</v>
      </c>
      <c r="B25" s="2" t="str">
        <f>HYPERLINK("http://www.windermere.com/index.cfm?fuseaction=Listing.ListingDetail&amp;ListingID=19343180","Active")</f>
        <v>Active</v>
      </c>
      <c r="D25" t="s">
        <v>99</v>
      </c>
      <c r="E25" t="s">
        <v>377</v>
      </c>
      <c r="F25" s="9">
        <v>319950</v>
      </c>
      <c r="G25" t="s">
        <v>156</v>
      </c>
      <c r="H25">
        <v>840</v>
      </c>
      <c r="I25">
        <v>8407</v>
      </c>
      <c r="J25">
        <v>2</v>
      </c>
      <c r="K25">
        <v>1</v>
      </c>
      <c r="M25" s="2" t="str">
        <f>HYPERLINK("http://www.windermere.com/index.cfm?fuseaction=Listing.MapPropertyInteractive&amp;ListingID=19343180&amp;resize=true&amp;windowWidth=800&amp;windowHeight=600","Map")</f>
        <v>Map</v>
      </c>
      <c r="O25" s="2" t="str">
        <f>HYPERLINK("http://www.windermere.com/index.cfm?fuseaction=Listing.MultiImageViewer&amp;ListingID=19343180&amp;ln=28024017&amp;pub_mls=1","More")</f>
        <v>More</v>
      </c>
      <c r="AI25" t="s">
        <v>66</v>
      </c>
      <c r="AJ25">
        <v>98177</v>
      </c>
      <c r="AS25" t="s">
        <v>378</v>
      </c>
      <c r="AT25">
        <v>19343180</v>
      </c>
      <c r="AU25" s="10">
        <v>39495</v>
      </c>
      <c r="BB25" t="s">
        <v>902</v>
      </c>
      <c r="BC25" s="6">
        <v>39486</v>
      </c>
      <c r="BG25">
        <v>9</v>
      </c>
      <c r="BH25" s="15">
        <f t="shared" ca="1" si="0"/>
        <v>1123</v>
      </c>
      <c r="BI25" s="15"/>
      <c r="BJ25" s="15"/>
    </row>
    <row r="26" spans="1:63" hidden="1" x14ac:dyDescent="0.2">
      <c r="A26">
        <v>28027404</v>
      </c>
      <c r="B26" s="2" t="str">
        <f>HYPERLINK("http://www.windermere.com/index.cfm?fuseaction=Listing.ListingDetail&amp;ListingID=19372503","Subject To Inspection")</f>
        <v>Subject To Inspection</v>
      </c>
      <c r="D26" t="s">
        <v>60</v>
      </c>
      <c r="E26" t="s">
        <v>381</v>
      </c>
      <c r="F26" s="9">
        <v>319950</v>
      </c>
      <c r="G26" t="s">
        <v>147</v>
      </c>
      <c r="H26" s="1">
        <v>1088</v>
      </c>
      <c r="J26">
        <v>2</v>
      </c>
      <c r="K26">
        <v>2.5</v>
      </c>
      <c r="M26" s="2" t="str">
        <f>HYPERLINK("http://www.windermere.com/index.cfm?fuseaction=Listing.MapPropertyInteractive&amp;ListingID=19372503&amp;resize=true&amp;windowWidth=800&amp;windowHeight=600","Map")</f>
        <v>Map</v>
      </c>
      <c r="AI26" t="s">
        <v>66</v>
      </c>
      <c r="AJ26">
        <v>98103</v>
      </c>
      <c r="AS26" t="s">
        <v>382</v>
      </c>
      <c r="AT26">
        <v>19372503</v>
      </c>
      <c r="AU26" s="10">
        <v>39495</v>
      </c>
      <c r="BB26" t="s">
        <v>902</v>
      </c>
      <c r="BC26" s="6">
        <v>39492</v>
      </c>
      <c r="BG26">
        <v>3</v>
      </c>
      <c r="BH26" s="15">
        <f t="shared" ca="1" si="0"/>
        <v>1117</v>
      </c>
      <c r="BI26" s="15"/>
      <c r="BJ26" s="15"/>
      <c r="BK26" t="str">
        <f>B26</f>
        <v>Subject To Inspection</v>
      </c>
    </row>
    <row r="27" spans="1:63" hidden="1" x14ac:dyDescent="0.2">
      <c r="A27">
        <v>27213367</v>
      </c>
      <c r="B27" s="2" t="str">
        <f>HYPERLINK("http://www.windermere.com/index.cfm?fuseaction=Listing.ListingDetail&amp;ListingID=19100576","Active")</f>
        <v>Active</v>
      </c>
      <c r="D27" t="s">
        <v>956</v>
      </c>
      <c r="E27" t="s">
        <v>1027</v>
      </c>
      <c r="F27" s="9">
        <v>320000</v>
      </c>
      <c r="G27" t="s">
        <v>146</v>
      </c>
      <c r="H27">
        <v>700</v>
      </c>
      <c r="I27">
        <v>5753</v>
      </c>
      <c r="J27">
        <v>2</v>
      </c>
      <c r="K27">
        <v>1</v>
      </c>
      <c r="M27" s="2" t="str">
        <f>HYPERLINK("http://www.windermere.com/index.cfm?fuseaction=Listing.MapPropertyInteractive&amp;ListingID=19100576&amp;resize=true&amp;windowWidth=800&amp;windowHeight=600","Map")</f>
        <v>Map</v>
      </c>
      <c r="O27" s="2" t="str">
        <f>HYPERLINK("http://www.windermere.com/index.cfm?fuseaction=Listing.MultiImageViewer&amp;ListingID=19100576&amp;ln=27213367&amp;pub_mls=1","More")</f>
        <v>More</v>
      </c>
      <c r="P27" t="s">
        <v>44</v>
      </c>
      <c r="AI27" t="s">
        <v>66</v>
      </c>
      <c r="AJ27">
        <v>98125</v>
      </c>
      <c r="AS27" t="s">
        <v>1028</v>
      </c>
      <c r="AT27">
        <v>19100576</v>
      </c>
      <c r="AU27" s="10">
        <v>39495</v>
      </c>
      <c r="BB27" t="s">
        <v>902</v>
      </c>
      <c r="BC27" s="6">
        <v>39431</v>
      </c>
      <c r="BG27">
        <v>64</v>
      </c>
      <c r="BH27" s="15">
        <f t="shared" ca="1" si="0"/>
        <v>1178</v>
      </c>
      <c r="BI27" s="15"/>
      <c r="BJ27" s="15"/>
    </row>
    <row r="28" spans="1:63" hidden="1" x14ac:dyDescent="0.2">
      <c r="A28">
        <v>28000989</v>
      </c>
      <c r="B28" s="2" t="str">
        <f>HYPERLINK("http://www.windermere.com/index.cfm?fuseaction=Listing.ListingDetail&amp;ListingID=19148570","Active")</f>
        <v>Active</v>
      </c>
      <c r="D28" t="s">
        <v>956</v>
      </c>
      <c r="E28" t="s">
        <v>1029</v>
      </c>
      <c r="F28" s="11">
        <v>315888</v>
      </c>
      <c r="G28" t="s">
        <v>147</v>
      </c>
      <c r="H28" s="1">
        <v>1335</v>
      </c>
      <c r="J28">
        <v>3</v>
      </c>
      <c r="K28">
        <v>3</v>
      </c>
      <c r="M28" s="2" t="str">
        <f>HYPERLINK("http://www.windermere.com/index.cfm?fuseaction=Listing.MapPropertyInteractive&amp;ListingID=19148570&amp;resize=true&amp;windowWidth=800&amp;windowHeight=600","Map")</f>
        <v>Map</v>
      </c>
      <c r="O28" s="2" t="str">
        <f>HYPERLINK("http://www.windermere.com/index.cfm?fuseaction=Listing.MultiImageViewer&amp;ListingID=19148570&amp;ln=28000989&amp;pub_mls=1","More")</f>
        <v>More</v>
      </c>
      <c r="AI28" t="s">
        <v>66</v>
      </c>
      <c r="AJ28">
        <v>98125</v>
      </c>
      <c r="AS28" t="s">
        <v>1030</v>
      </c>
      <c r="AT28">
        <v>19148570</v>
      </c>
      <c r="AU28" s="10">
        <v>39495</v>
      </c>
      <c r="BB28" t="s">
        <v>902</v>
      </c>
      <c r="BC28" s="6">
        <v>39449</v>
      </c>
      <c r="BG28">
        <v>46</v>
      </c>
      <c r="BH28" s="15">
        <f t="shared" ca="1" si="0"/>
        <v>1160</v>
      </c>
      <c r="BI28" s="15"/>
      <c r="BJ28" s="15"/>
    </row>
    <row r="29" spans="1:63" hidden="1" x14ac:dyDescent="0.2">
      <c r="A29">
        <v>27186819</v>
      </c>
      <c r="B29" s="2" t="str">
        <f>HYPERLINK("http://www.windermere.com/index.cfm?fuseaction=Listing.ListingDetail&amp;ListingID=18814919","Active")</f>
        <v>Active</v>
      </c>
      <c r="D29" t="s">
        <v>55</v>
      </c>
      <c r="E29" t="s">
        <v>383</v>
      </c>
      <c r="F29" s="9">
        <v>324950</v>
      </c>
      <c r="G29" t="s">
        <v>384</v>
      </c>
      <c r="H29">
        <v>840</v>
      </c>
      <c r="I29">
        <v>3844</v>
      </c>
      <c r="J29">
        <v>2</v>
      </c>
      <c r="K29">
        <v>1</v>
      </c>
      <c r="M29" s="2" t="str">
        <f>HYPERLINK("http://www.windermere.com/index.cfm?fuseaction=Listing.MapPropertyInteractive&amp;ListingID=18814919&amp;resize=true&amp;windowWidth=800&amp;windowHeight=600","Map")</f>
        <v>Map</v>
      </c>
      <c r="O29" s="2" t="str">
        <f>HYPERLINK("http://www.windermere.com/index.cfm?fuseaction=Listing.MultiImageViewer&amp;ListingID=18814919&amp;ln=27186819&amp;pub_mls=1","More")</f>
        <v>More</v>
      </c>
      <c r="AI29" t="s">
        <v>66</v>
      </c>
      <c r="AJ29">
        <v>98133</v>
      </c>
      <c r="AS29" t="s">
        <v>385</v>
      </c>
      <c r="AT29">
        <v>18814919</v>
      </c>
      <c r="AU29" s="10">
        <v>39495</v>
      </c>
      <c r="BB29" t="s">
        <v>902</v>
      </c>
      <c r="BC29" s="6">
        <v>39371</v>
      </c>
      <c r="BG29">
        <v>124</v>
      </c>
      <c r="BH29" s="15">
        <f t="shared" ca="1" si="0"/>
        <v>1238</v>
      </c>
      <c r="BI29" s="15"/>
      <c r="BJ29" s="15"/>
    </row>
    <row r="30" spans="1:63" hidden="1" x14ac:dyDescent="0.2">
      <c r="A30">
        <v>28007094</v>
      </c>
      <c r="B30" s="2" t="str">
        <f>HYPERLINK("http://www.windermere.com/index.cfm?fuseaction=Listing.ListingDetail&amp;ListingID=19216145","Active")</f>
        <v>Active</v>
      </c>
      <c r="D30" t="s">
        <v>199</v>
      </c>
      <c r="E30" t="s">
        <v>387</v>
      </c>
      <c r="F30" s="9">
        <v>325000</v>
      </c>
      <c r="G30" t="s">
        <v>132</v>
      </c>
      <c r="H30">
        <v>890</v>
      </c>
      <c r="I30">
        <v>5000</v>
      </c>
      <c r="J30">
        <v>2</v>
      </c>
      <c r="K30">
        <v>1</v>
      </c>
      <c r="M30" s="2" t="str">
        <f>HYPERLINK("http://www.windermere.com/index.cfm?fuseaction=Listing.MapPropertyInteractive&amp;ListingID=19216145&amp;resize=true&amp;windowWidth=800&amp;windowHeight=600","Map")</f>
        <v>Map</v>
      </c>
      <c r="O30" s="2" t="str">
        <f>HYPERLINK("http://www.windermere.com/index.cfm?fuseaction=Listing.MultiImageViewer&amp;ListingID=19216145&amp;ln=28007094&amp;pub_mls=1","More")</f>
        <v>More</v>
      </c>
      <c r="AI30" t="s">
        <v>66</v>
      </c>
      <c r="AJ30">
        <v>98125</v>
      </c>
      <c r="AS30" t="s">
        <v>388</v>
      </c>
      <c r="AT30">
        <v>19216145</v>
      </c>
      <c r="AU30" s="10">
        <v>39495</v>
      </c>
      <c r="BB30" t="s">
        <v>902</v>
      </c>
      <c r="BC30" s="6">
        <v>39459</v>
      </c>
      <c r="BG30">
        <v>36</v>
      </c>
      <c r="BH30" s="15">
        <f t="shared" ca="1" si="0"/>
        <v>1150</v>
      </c>
      <c r="BI30" s="15"/>
      <c r="BJ30" s="15"/>
    </row>
    <row r="31" spans="1:63" hidden="1" x14ac:dyDescent="0.2">
      <c r="A31">
        <v>28007357</v>
      </c>
      <c r="B31" s="2" t="str">
        <f>HYPERLINK("http://www.windermere.com/index.cfm?fuseaction=Listing.ListingDetail&amp;ListingID=19206462","Active")</f>
        <v>Active</v>
      </c>
      <c r="D31" t="s">
        <v>42</v>
      </c>
      <c r="E31" t="s">
        <v>389</v>
      </c>
      <c r="F31" s="11">
        <v>300000</v>
      </c>
      <c r="G31" t="s">
        <v>156</v>
      </c>
      <c r="H31">
        <v>850</v>
      </c>
      <c r="I31">
        <v>6800</v>
      </c>
      <c r="J31">
        <v>2</v>
      </c>
      <c r="K31">
        <v>1</v>
      </c>
      <c r="M31" s="2" t="str">
        <f>HYPERLINK("http://www.windermere.com/index.cfm?fuseaction=Listing.MapPropertyInteractive&amp;ListingID=19206462&amp;resize=true&amp;windowWidth=800&amp;windowHeight=600","Map")</f>
        <v>Map</v>
      </c>
      <c r="O31" s="2" t="str">
        <f>HYPERLINK("http://www.windermere.com/index.cfm?fuseaction=Listing.MultiImageViewer&amp;ListingID=19206462&amp;ln=28007357&amp;pub_mls=1","More")</f>
        <v>More</v>
      </c>
      <c r="AI31" t="s">
        <v>66</v>
      </c>
      <c r="AJ31">
        <v>98133</v>
      </c>
      <c r="AS31" t="s">
        <v>390</v>
      </c>
      <c r="AT31">
        <v>19206462</v>
      </c>
      <c r="AU31" s="10">
        <v>39495</v>
      </c>
      <c r="BB31" t="s">
        <v>902</v>
      </c>
      <c r="BC31" s="6">
        <v>39458</v>
      </c>
      <c r="BG31">
        <v>37</v>
      </c>
      <c r="BH31" s="15">
        <f t="shared" ca="1" si="0"/>
        <v>1151</v>
      </c>
      <c r="BI31" s="15"/>
      <c r="BJ31" s="15"/>
    </row>
    <row r="32" spans="1:63" hidden="1" x14ac:dyDescent="0.2">
      <c r="A32">
        <v>28025036</v>
      </c>
      <c r="B32" s="13" t="str">
        <f>HYPERLINK("http://www.windermere.com/index.cfm?fuseaction=Listing.ListingDetail&amp;ListingID=19356881","Subject To Inspection")</f>
        <v>Subject To Inspection</v>
      </c>
      <c r="D32" t="s">
        <v>55</v>
      </c>
      <c r="E32" t="s">
        <v>391</v>
      </c>
      <c r="F32" s="9">
        <v>325000</v>
      </c>
      <c r="G32" t="s">
        <v>369</v>
      </c>
      <c r="H32" s="1">
        <v>1150</v>
      </c>
      <c r="I32">
        <v>7650</v>
      </c>
      <c r="J32">
        <v>2</v>
      </c>
      <c r="K32">
        <v>1</v>
      </c>
      <c r="M32" s="2" t="str">
        <f>HYPERLINK("http://www.windermere.com/index.cfm?fuseaction=Listing.MapPropertyInteractive&amp;ListingID=19356881&amp;resize=true&amp;windowWidth=800&amp;windowHeight=600","Map")</f>
        <v>Map</v>
      </c>
      <c r="O32" s="2" t="str">
        <f>HYPERLINK("http://www.windermere.com/index.cfm?fuseaction=viewGallery.Home&amp;customTourID=207418&amp;wvt=0","More")</f>
        <v>More</v>
      </c>
      <c r="AI32" t="s">
        <v>66</v>
      </c>
      <c r="AJ32">
        <v>98133</v>
      </c>
      <c r="AS32" t="s">
        <v>392</v>
      </c>
      <c r="AT32">
        <v>19356881</v>
      </c>
      <c r="AU32" s="10">
        <v>39495</v>
      </c>
      <c r="BB32" t="s">
        <v>902</v>
      </c>
      <c r="BC32" s="6">
        <v>39490</v>
      </c>
      <c r="BG32">
        <v>5</v>
      </c>
      <c r="BH32" s="15">
        <f t="shared" ca="1" si="0"/>
        <v>1119</v>
      </c>
      <c r="BI32" s="15"/>
      <c r="BJ32" s="15"/>
    </row>
    <row r="33" spans="1:63" hidden="1" x14ac:dyDescent="0.2">
      <c r="A33">
        <v>27154939</v>
      </c>
      <c r="B33" s="2" t="str">
        <f>HYPERLINK("http://www.windermere.com/index.cfm?fuseaction=Listing.ListingDetail&amp;ListingID=18521282","Active")</f>
        <v>Active</v>
      </c>
      <c r="D33" t="s">
        <v>60</v>
      </c>
      <c r="E33" t="s">
        <v>402</v>
      </c>
      <c r="F33" s="9">
        <v>329000</v>
      </c>
      <c r="G33" t="s">
        <v>147</v>
      </c>
      <c r="J33">
        <v>2</v>
      </c>
      <c r="K33">
        <v>1.5</v>
      </c>
      <c r="M33" s="2" t="str">
        <f>HYPERLINK("http://www.windermere.com/index.cfm?fuseaction=Listing.MapPropertyInteractive&amp;ListingID=18521282&amp;resize=true&amp;windowWidth=800&amp;windowHeight=600","Map")</f>
        <v>Map</v>
      </c>
      <c r="O33" s="2" t="str">
        <f>HYPERLINK("http://www.windermere.com/index.cfm?fuseaction=Listing.MultiImageViewer&amp;ListingID=18521282&amp;ln=27154939&amp;pub_mls=1","More")</f>
        <v>More</v>
      </c>
      <c r="AI33" t="s">
        <v>66</v>
      </c>
      <c r="AJ33">
        <v>98103</v>
      </c>
      <c r="AS33" t="s">
        <v>403</v>
      </c>
      <c r="AT33">
        <v>18521282</v>
      </c>
      <c r="AU33" s="10">
        <v>39495</v>
      </c>
      <c r="BB33" t="s">
        <v>902</v>
      </c>
      <c r="BC33" s="6">
        <v>39319</v>
      </c>
      <c r="BD33">
        <v>3</v>
      </c>
      <c r="BE33" s="5" t="s">
        <v>1254</v>
      </c>
      <c r="BG33">
        <v>176</v>
      </c>
      <c r="BH33" s="15">
        <f t="shared" ca="1" si="0"/>
        <v>1290</v>
      </c>
      <c r="BI33" s="15"/>
      <c r="BJ33" s="15"/>
    </row>
    <row r="34" spans="1:63" hidden="1" x14ac:dyDescent="0.2">
      <c r="A34">
        <v>27169639</v>
      </c>
      <c r="B34" s="2" t="str">
        <f>HYPERLINK("http://www.windermere.com/index.cfm?fuseaction=Listing.ListingDetail&amp;ListingID=18645969","Active")</f>
        <v>Active</v>
      </c>
      <c r="D34" t="s">
        <v>60</v>
      </c>
      <c r="E34" t="s">
        <v>398</v>
      </c>
      <c r="F34" s="9">
        <v>329000</v>
      </c>
      <c r="G34" t="s">
        <v>147</v>
      </c>
      <c r="J34">
        <v>2</v>
      </c>
      <c r="K34">
        <v>1.5</v>
      </c>
      <c r="M34" s="2" t="str">
        <f>HYPERLINK("http://www.windermere.com/index.cfm?fuseaction=Listing.MapPropertyInteractive&amp;ListingID=18645969&amp;resize=true&amp;windowWidth=800&amp;windowHeight=600","Map")</f>
        <v>Map</v>
      </c>
      <c r="O34" s="2" t="str">
        <f>HYPERLINK("http://www.windermere.com/index.cfm?fuseaction=Listing.MultiImageViewer&amp;ListingID=18645969&amp;ln=27169639&amp;pub_mls=1","More")</f>
        <v>More</v>
      </c>
      <c r="AI34" t="s">
        <v>66</v>
      </c>
      <c r="AJ34">
        <v>98103</v>
      </c>
      <c r="AS34" t="s">
        <v>399</v>
      </c>
      <c r="AT34">
        <v>18645969</v>
      </c>
      <c r="AU34" s="10">
        <v>39495</v>
      </c>
      <c r="BB34" t="s">
        <v>902</v>
      </c>
      <c r="BC34" s="6">
        <v>39340</v>
      </c>
      <c r="BG34">
        <v>155</v>
      </c>
      <c r="BH34" s="15">
        <f t="shared" ca="1" si="0"/>
        <v>1269</v>
      </c>
      <c r="BI34" s="15"/>
      <c r="BJ34" s="15"/>
    </row>
    <row r="35" spans="1:63" hidden="1" x14ac:dyDescent="0.2">
      <c r="A35">
        <v>27169642</v>
      </c>
      <c r="B35" s="2" t="str">
        <f>HYPERLINK("http://www.windermere.com/index.cfm?fuseaction=Listing.ListingDetail&amp;ListingID=18645976","Active")</f>
        <v>Active</v>
      </c>
      <c r="D35" t="s">
        <v>60</v>
      </c>
      <c r="E35" t="s">
        <v>396</v>
      </c>
      <c r="F35" s="9">
        <v>329000</v>
      </c>
      <c r="G35" t="s">
        <v>147</v>
      </c>
      <c r="J35">
        <v>2</v>
      </c>
      <c r="K35">
        <v>1.5</v>
      </c>
      <c r="M35" s="2" t="str">
        <f>HYPERLINK("http://www.windermere.com/index.cfm?fuseaction=Listing.MapPropertyInteractive&amp;ListingID=18645976&amp;resize=true&amp;windowWidth=800&amp;windowHeight=600","Map")</f>
        <v>Map</v>
      </c>
      <c r="O35" s="2" t="str">
        <f>HYPERLINK("http://www.windermere.com/index.cfm?fuseaction=Listing.MultiImageViewer&amp;ListingID=18645976&amp;ln=27169642&amp;pub_mls=1","More")</f>
        <v>More</v>
      </c>
      <c r="AI35" t="s">
        <v>66</v>
      </c>
      <c r="AJ35">
        <v>98103</v>
      </c>
      <c r="AS35" t="s">
        <v>397</v>
      </c>
      <c r="AT35">
        <v>18645976</v>
      </c>
      <c r="AU35" s="10">
        <v>39495</v>
      </c>
      <c r="BB35" t="s">
        <v>902</v>
      </c>
      <c r="BC35" s="6">
        <v>39340</v>
      </c>
      <c r="BG35">
        <v>155</v>
      </c>
      <c r="BH35" s="15">
        <f t="shared" ca="1" si="0"/>
        <v>1269</v>
      </c>
      <c r="BI35" s="15"/>
      <c r="BJ35" s="15"/>
    </row>
    <row r="36" spans="1:63" hidden="1" x14ac:dyDescent="0.2">
      <c r="A36">
        <v>27190986</v>
      </c>
      <c r="B36" s="2" t="str">
        <f>HYPERLINK("http://www.windermere.com/index.cfm?fuseaction=Listing.ListingDetail&amp;ListingID=18854105","Active")</f>
        <v>Active</v>
      </c>
      <c r="D36" t="s">
        <v>60</v>
      </c>
      <c r="E36" t="s">
        <v>400</v>
      </c>
      <c r="F36" s="9">
        <v>329000</v>
      </c>
      <c r="G36" t="s">
        <v>147</v>
      </c>
      <c r="J36">
        <v>2</v>
      </c>
      <c r="K36">
        <v>1.5</v>
      </c>
      <c r="M36" s="2" t="str">
        <f>HYPERLINK("http://www.windermere.com/index.cfm?fuseaction=Listing.MapPropertyInteractive&amp;ListingID=18854105&amp;resize=true&amp;windowWidth=800&amp;windowHeight=600","Map")</f>
        <v>Map</v>
      </c>
      <c r="O36" s="2" t="str">
        <f>HYPERLINK("http://www.windermere.com/index.cfm?fuseaction=Listing.MultiImageViewer&amp;ListingID=18854105&amp;ln=27190986&amp;pub_mls=1","More")</f>
        <v>More</v>
      </c>
      <c r="AI36" t="s">
        <v>66</v>
      </c>
      <c r="AJ36">
        <v>98103</v>
      </c>
      <c r="AS36" t="s">
        <v>401</v>
      </c>
      <c r="AT36">
        <v>18854105</v>
      </c>
      <c r="AU36" s="10">
        <v>39495</v>
      </c>
      <c r="BB36" t="s">
        <v>902</v>
      </c>
      <c r="BC36" s="6">
        <v>39378</v>
      </c>
      <c r="BG36">
        <v>117</v>
      </c>
      <c r="BH36" s="15">
        <f t="shared" ca="1" si="0"/>
        <v>1231</v>
      </c>
      <c r="BI36" s="15"/>
      <c r="BJ36" s="15"/>
    </row>
    <row r="37" spans="1:63" hidden="1" x14ac:dyDescent="0.2">
      <c r="A37">
        <v>28014016</v>
      </c>
      <c r="B37" s="2" t="str">
        <f>HYPERLINK("http://www.windermere.com/index.cfm?fuseaction=Listing.ListingDetail&amp;ListingID=19265907","Active")</f>
        <v>Active</v>
      </c>
      <c r="D37" t="s">
        <v>63</v>
      </c>
      <c r="E37" t="s">
        <v>316</v>
      </c>
      <c r="F37" s="9">
        <v>329000</v>
      </c>
      <c r="G37" t="s">
        <v>147</v>
      </c>
      <c r="H37" s="1">
        <v>1200</v>
      </c>
      <c r="J37">
        <v>2</v>
      </c>
      <c r="K37">
        <v>2.5</v>
      </c>
      <c r="M37" s="2" t="str">
        <f>HYPERLINK("http://www.windermere.com/index.cfm?fuseaction=Listing.MapPropertyInteractive&amp;ListingID=19265907&amp;resize=true&amp;windowWidth=800&amp;windowHeight=600","Map")</f>
        <v>Map</v>
      </c>
      <c r="O37" s="2" t="str">
        <f>HYPERLINK("http://www.windermere.com/index.cfm?fuseaction=Listing.MultiImageViewer&amp;ListingID=19265907&amp;ln=28014016&amp;pub_mls=1","More")</f>
        <v>More</v>
      </c>
      <c r="P37" t="s">
        <v>44</v>
      </c>
      <c r="AI37" t="s">
        <v>66</v>
      </c>
      <c r="AJ37">
        <v>98117</v>
      </c>
      <c r="AS37" t="s">
        <v>317</v>
      </c>
      <c r="AT37">
        <v>19265907</v>
      </c>
      <c r="AU37" s="10">
        <v>39495</v>
      </c>
      <c r="BB37" t="s">
        <v>902</v>
      </c>
      <c r="BC37" s="6">
        <v>39470</v>
      </c>
      <c r="BG37">
        <v>25</v>
      </c>
      <c r="BH37" s="15">
        <f t="shared" ca="1" si="0"/>
        <v>1139</v>
      </c>
      <c r="BI37" s="15"/>
      <c r="BJ37" s="15"/>
    </row>
    <row r="38" spans="1:63" hidden="1" x14ac:dyDescent="0.2">
      <c r="A38">
        <v>28006018</v>
      </c>
      <c r="B38" s="2" t="str">
        <f>HYPERLINK("http://www.windermere.com/index.cfm?fuseaction=Listing.ListingDetail&amp;ListingID=19192648","Active")</f>
        <v>Active</v>
      </c>
      <c r="D38" t="s">
        <v>184</v>
      </c>
      <c r="E38" t="s">
        <v>404</v>
      </c>
      <c r="F38" s="11">
        <v>309950</v>
      </c>
      <c r="G38" t="s">
        <v>168</v>
      </c>
      <c r="I38">
        <v>6604</v>
      </c>
      <c r="J38">
        <v>3</v>
      </c>
      <c r="K38">
        <v>1.5</v>
      </c>
      <c r="M38" s="2" t="str">
        <f>HYPERLINK("http://www.windermere.com/index.cfm?fuseaction=Listing.MapPropertyInteractive&amp;ListingID=19192648&amp;resize=true&amp;windowWidth=800&amp;windowHeight=600","Map")</f>
        <v>Map</v>
      </c>
      <c r="O38" s="2" t="str">
        <f>HYPERLINK("http://www.windermere.com/index.cfm?fuseaction=viewGallery.Home&amp;customTourID=193819&amp;wvt=0","More")</f>
        <v>More</v>
      </c>
      <c r="AI38" t="s">
        <v>66</v>
      </c>
      <c r="AJ38">
        <v>98125</v>
      </c>
      <c r="AS38" t="s">
        <v>405</v>
      </c>
      <c r="AT38">
        <v>19192648</v>
      </c>
      <c r="AU38" s="10">
        <v>39495</v>
      </c>
      <c r="BB38" t="s">
        <v>902</v>
      </c>
      <c r="BC38" s="6">
        <v>39457</v>
      </c>
      <c r="BG38">
        <v>38</v>
      </c>
      <c r="BH38" s="15">
        <f t="shared" ca="1" si="0"/>
        <v>1152</v>
      </c>
      <c r="BI38" s="15"/>
      <c r="BJ38" s="15"/>
    </row>
    <row r="39" spans="1:63" hidden="1" x14ac:dyDescent="0.2">
      <c r="A39">
        <v>28016250</v>
      </c>
      <c r="B39" s="2" t="str">
        <f>HYPERLINK("http://www.windermere.com/index.cfm?fuseaction=Listing.ListingDetail&amp;ListingID=19291015","Active")</f>
        <v>Active</v>
      </c>
      <c r="D39" t="s">
        <v>42</v>
      </c>
      <c r="E39" t="s">
        <v>406</v>
      </c>
      <c r="F39" s="9">
        <v>332000</v>
      </c>
      <c r="G39" t="s">
        <v>147</v>
      </c>
      <c r="H39" s="1">
        <v>1471</v>
      </c>
      <c r="J39">
        <v>3</v>
      </c>
      <c r="K39">
        <v>2.5</v>
      </c>
      <c r="M39" s="2" t="str">
        <f>HYPERLINK("http://www.windermere.com/index.cfm?fuseaction=Listing.MapPropertyInteractive&amp;ListingID=19291015&amp;resize=true&amp;windowWidth=800&amp;windowHeight=600","Map")</f>
        <v>Map</v>
      </c>
      <c r="O39" s="2" t="str">
        <f>HYPERLINK("http://www.windermere.com/index.cfm?fuseaction=Listing.MultiImageViewer&amp;ListingID=19291015&amp;ln=28016250&amp;pub_mls=1","More")</f>
        <v>More</v>
      </c>
      <c r="AI39" t="s">
        <v>66</v>
      </c>
      <c r="AJ39">
        <v>98296</v>
      </c>
      <c r="AS39" t="s">
        <v>407</v>
      </c>
      <c r="AT39">
        <v>19291015</v>
      </c>
      <c r="AU39" s="10">
        <v>39495</v>
      </c>
      <c r="BB39" t="s">
        <v>902</v>
      </c>
      <c r="BC39" s="6">
        <v>39475</v>
      </c>
      <c r="BG39">
        <v>20</v>
      </c>
      <c r="BH39" s="15">
        <f t="shared" ca="1" si="0"/>
        <v>1134</v>
      </c>
      <c r="BI39" s="15"/>
      <c r="BJ39" s="15"/>
    </row>
    <row r="40" spans="1:63" hidden="1" x14ac:dyDescent="0.2">
      <c r="A40">
        <v>28024275</v>
      </c>
      <c r="B40" s="2" t="str">
        <f>HYPERLINK("http://www.windermere.com/index.cfm?fuseaction=Listing.ListingDetail&amp;ListingID=19349709","Active")</f>
        <v>Active</v>
      </c>
      <c r="D40" t="s">
        <v>66</v>
      </c>
      <c r="E40" t="s">
        <v>408</v>
      </c>
      <c r="F40" s="11">
        <v>324900</v>
      </c>
      <c r="G40" t="s">
        <v>409</v>
      </c>
      <c r="H40">
        <v>960</v>
      </c>
      <c r="J40">
        <v>3</v>
      </c>
      <c r="K40">
        <v>1</v>
      </c>
      <c r="M40" s="2" t="str">
        <f>HYPERLINK("http://www.windermere.com/index.cfm?fuseaction=Listing.MapPropertyInteractive&amp;ListingID=19349709&amp;resize=true&amp;windowWidth=800&amp;windowHeight=600","Map")</f>
        <v>Map</v>
      </c>
      <c r="O40" s="2" t="str">
        <f>HYPERLINK("http://www.windermere.com/index.cfm?fuseaction=Listing.MultiImageViewer&amp;ListingID=19349709&amp;ln=28024275&amp;pub_mls=1","More")</f>
        <v>More</v>
      </c>
      <c r="AI40" t="s">
        <v>386</v>
      </c>
      <c r="AJ40">
        <v>98133</v>
      </c>
      <c r="AS40" t="s">
        <v>410</v>
      </c>
      <c r="AT40">
        <v>19349709</v>
      </c>
      <c r="AU40" s="10">
        <v>39495</v>
      </c>
      <c r="BB40" t="s">
        <v>902</v>
      </c>
      <c r="BC40" s="6">
        <v>39488</v>
      </c>
      <c r="BD40">
        <v>4</v>
      </c>
      <c r="BE40" t="s">
        <v>1367</v>
      </c>
      <c r="BF40" t="s">
        <v>1276</v>
      </c>
      <c r="BG40">
        <v>7</v>
      </c>
      <c r="BH40" s="15">
        <f t="shared" ca="1" si="0"/>
        <v>1121</v>
      </c>
      <c r="BI40" s="15"/>
      <c r="BJ40" s="15"/>
    </row>
    <row r="41" spans="1:63" hidden="1" x14ac:dyDescent="0.2">
      <c r="A41">
        <v>27202509</v>
      </c>
      <c r="B41" s="2" t="str">
        <f>HYPERLINK("http://www.windermere.com/index.cfm?fuseaction=Listing.ListingDetail&amp;ListingID=18979832","Active")</f>
        <v>Active</v>
      </c>
      <c r="D41" t="s">
        <v>60</v>
      </c>
      <c r="E41" t="s">
        <v>413</v>
      </c>
      <c r="F41" s="9">
        <v>335000</v>
      </c>
      <c r="G41" t="s">
        <v>414</v>
      </c>
      <c r="H41" s="1">
        <v>1260</v>
      </c>
      <c r="J41">
        <v>2</v>
      </c>
      <c r="K41">
        <v>1.5</v>
      </c>
      <c r="M41" s="2" t="str">
        <f>HYPERLINK("http://www.windermere.com/index.cfm?fuseaction=Listing.MapPropertyInteractive&amp;ListingID=18979832&amp;resize=true&amp;windowWidth=800&amp;windowHeight=600","Map")</f>
        <v>Map</v>
      </c>
      <c r="O41" s="2" t="str">
        <f>HYPERLINK("http://www.windermere.com/index.cfm?fuseaction=Listing.MultiImageViewer&amp;ListingID=18979832&amp;ln=27202509&amp;pub_mls=1","More")</f>
        <v>More</v>
      </c>
      <c r="P41" t="s">
        <v>44</v>
      </c>
      <c r="AI41" t="s">
        <v>66</v>
      </c>
      <c r="AJ41">
        <v>98103</v>
      </c>
      <c r="AS41" t="s">
        <v>415</v>
      </c>
      <c r="AT41">
        <v>18979832</v>
      </c>
      <c r="AU41" s="10">
        <v>39495</v>
      </c>
      <c r="BB41" t="s">
        <v>902</v>
      </c>
      <c r="BC41" s="6">
        <v>39401</v>
      </c>
      <c r="BG41">
        <v>94</v>
      </c>
      <c r="BH41" s="15">
        <f t="shared" ca="1" si="0"/>
        <v>1208</v>
      </c>
      <c r="BI41" s="15"/>
      <c r="BJ41" s="15"/>
    </row>
    <row r="42" spans="1:63" hidden="1" x14ac:dyDescent="0.2">
      <c r="A42">
        <v>28010709</v>
      </c>
      <c r="B42" s="13" t="str">
        <f>HYPERLINK("http://www.windermere.com/index.cfm?fuseaction=Listing.ListingDetail&amp;ListingID=19246527","Active")</f>
        <v>Active</v>
      </c>
      <c r="D42" t="s">
        <v>42</v>
      </c>
      <c r="E42" t="s">
        <v>411</v>
      </c>
      <c r="F42" s="11">
        <v>330000</v>
      </c>
      <c r="G42" t="s">
        <v>161</v>
      </c>
      <c r="H42" s="1">
        <v>1020</v>
      </c>
      <c r="I42">
        <v>7863</v>
      </c>
      <c r="J42">
        <v>2</v>
      </c>
      <c r="K42">
        <v>1</v>
      </c>
      <c r="M42" s="2" t="str">
        <f>HYPERLINK("http://www.windermere.com/index.cfm?fuseaction=Listing.MapPropertyInteractive&amp;ListingID=19246527&amp;resize=true&amp;windowWidth=800&amp;windowHeight=600","Map")</f>
        <v>Map</v>
      </c>
      <c r="O42" s="2" t="str">
        <f>HYPERLINK("http://www.windermere.com/index.cfm?fuseaction=Listing.MultiImageViewer&amp;ListingID=19246527&amp;ln=28010709&amp;pub_mls=1","More")</f>
        <v>More</v>
      </c>
      <c r="P42" t="s">
        <v>44</v>
      </c>
      <c r="AI42" t="s">
        <v>66</v>
      </c>
      <c r="AJ42">
        <v>98133</v>
      </c>
      <c r="AS42" t="s">
        <v>412</v>
      </c>
      <c r="AT42">
        <v>19246527</v>
      </c>
      <c r="AU42" s="10">
        <v>39495</v>
      </c>
      <c r="BB42" t="s">
        <v>902</v>
      </c>
      <c r="BC42" s="6">
        <v>39465</v>
      </c>
      <c r="BG42">
        <v>30</v>
      </c>
      <c r="BH42" s="15">
        <f t="shared" ca="1" si="0"/>
        <v>1144</v>
      </c>
      <c r="BI42" s="15"/>
      <c r="BJ42" s="15"/>
      <c r="BK42" t="str">
        <f>B42</f>
        <v>Active</v>
      </c>
    </row>
    <row r="43" spans="1:63" hidden="1" x14ac:dyDescent="0.2">
      <c r="A43">
        <v>28005412</v>
      </c>
      <c r="B43" s="13" t="str">
        <f>HYPERLINK("http://www.windermere.com/index.cfm?fuseaction=Listing.ListingDetail&amp;ListingID=19183393","Subject To Inspection")</f>
        <v>Subject To Inspection</v>
      </c>
      <c r="D43" t="s">
        <v>202</v>
      </c>
      <c r="E43" t="s">
        <v>416</v>
      </c>
      <c r="F43" s="9">
        <v>336000</v>
      </c>
      <c r="G43" t="s">
        <v>162</v>
      </c>
      <c r="I43">
        <v>6525</v>
      </c>
      <c r="J43">
        <v>2</v>
      </c>
      <c r="K43">
        <v>1</v>
      </c>
      <c r="M43" s="2" t="str">
        <f>HYPERLINK("http://www.windermere.com/index.cfm?fuseaction=Listing.MapPropertyInteractive&amp;ListingID=19183393&amp;resize=true&amp;windowWidth=800&amp;windowHeight=600","Map")</f>
        <v>Map</v>
      </c>
      <c r="O43" s="2" t="str">
        <f>HYPERLINK("http://www.windermere.com/index.cfm?fuseaction=viewGallery.Home&amp;customTourID=203879&amp;wvt=0","More")</f>
        <v>More</v>
      </c>
      <c r="AI43" t="s">
        <v>66</v>
      </c>
      <c r="AJ43">
        <v>98125</v>
      </c>
      <c r="AS43" t="s">
        <v>417</v>
      </c>
      <c r="AT43">
        <v>19183393</v>
      </c>
      <c r="AU43" s="10">
        <v>39495</v>
      </c>
      <c r="BB43" t="s">
        <v>902</v>
      </c>
      <c r="BC43" s="6">
        <v>39456</v>
      </c>
      <c r="BE43" t="s">
        <v>1280</v>
      </c>
      <c r="BG43">
        <v>39</v>
      </c>
      <c r="BH43" s="15">
        <f t="shared" ca="1" si="0"/>
        <v>1153</v>
      </c>
      <c r="BI43" s="15"/>
      <c r="BJ43" s="15"/>
      <c r="BK43" s="14" t="str">
        <f>B43</f>
        <v>Subject To Inspection</v>
      </c>
    </row>
    <row r="44" spans="1:63" hidden="1" x14ac:dyDescent="0.2">
      <c r="A44">
        <v>27205518</v>
      </c>
      <c r="B44" s="2" t="str">
        <f>HYPERLINK("http://www.windermere.com/index.cfm?fuseaction=Listing.ListingDetail&amp;ListingID=19408389","Active")</f>
        <v>Active</v>
      </c>
      <c r="D44" t="s">
        <v>60</v>
      </c>
      <c r="E44" t="s">
        <v>418</v>
      </c>
      <c r="F44" s="9">
        <v>338900</v>
      </c>
      <c r="G44" t="s">
        <v>128</v>
      </c>
      <c r="H44" s="1">
        <v>1200</v>
      </c>
      <c r="J44">
        <v>2</v>
      </c>
      <c r="K44">
        <v>1.5</v>
      </c>
      <c r="M44" s="2" t="str">
        <f>HYPERLINK("http://www.windermere.com/index.cfm?fuseaction=Listing.MapPropertyInteractive&amp;ListingID=19408389&amp;resize=true&amp;windowWidth=800&amp;windowHeight=600","Map")</f>
        <v>Map</v>
      </c>
      <c r="O44" s="2" t="str">
        <f>HYPERLINK("http://www.windermere.com/index.cfm?fuseaction=Listing.MultiImageViewer&amp;ListingID=19408389&amp;ln=27205518&amp;pub_mls=1","More")</f>
        <v>More</v>
      </c>
      <c r="AI44" t="s">
        <v>66</v>
      </c>
      <c r="AJ44">
        <v>98103</v>
      </c>
      <c r="AS44" s="17" t="s">
        <v>1387</v>
      </c>
      <c r="AT44" s="17">
        <v>19408389</v>
      </c>
      <c r="AU44" s="10">
        <v>39495</v>
      </c>
      <c r="BB44" t="s">
        <v>902</v>
      </c>
      <c r="BC44" s="6">
        <v>39410</v>
      </c>
      <c r="BG44">
        <v>85</v>
      </c>
      <c r="BH44" s="15">
        <f t="shared" ca="1" si="0"/>
        <v>1199</v>
      </c>
      <c r="BI44" s="15"/>
      <c r="BJ44" s="15"/>
    </row>
    <row r="45" spans="1:63" hidden="1" x14ac:dyDescent="0.2">
      <c r="A45">
        <v>27154929</v>
      </c>
      <c r="B45" s="2" t="str">
        <f>HYPERLINK("http://www.windermere.com/index.cfm?fuseaction=Listing.ListingDetail&amp;ListingID=18521283","Subject To Inspection")</f>
        <v>Subject To Inspection</v>
      </c>
      <c r="D45" t="s">
        <v>60</v>
      </c>
      <c r="E45" t="s">
        <v>421</v>
      </c>
      <c r="F45" s="9">
        <v>339000</v>
      </c>
      <c r="G45" t="s">
        <v>147</v>
      </c>
      <c r="J45">
        <v>2</v>
      </c>
      <c r="K45">
        <v>1.5</v>
      </c>
      <c r="M45" s="2" t="str">
        <f>HYPERLINK("http://www.windermere.com/index.cfm?fuseaction=Listing.MapPropertyInteractive&amp;ListingID=18521283&amp;resize=true&amp;windowWidth=800&amp;windowHeight=600","Map")</f>
        <v>Map</v>
      </c>
      <c r="O45" s="2" t="str">
        <f>HYPERLINK("http://www.windermere.com/index.cfm?fuseaction=Listing.MultiImageViewer&amp;ListingID=18521283&amp;ln=27154929&amp;pub_mls=1","More")</f>
        <v>More</v>
      </c>
      <c r="AI45" t="s">
        <v>66</v>
      </c>
      <c r="AJ45">
        <v>98103</v>
      </c>
      <c r="AS45" t="s">
        <v>422</v>
      </c>
      <c r="AT45">
        <v>18521283</v>
      </c>
      <c r="AU45" s="10">
        <v>39495</v>
      </c>
      <c r="BB45" t="s">
        <v>902</v>
      </c>
      <c r="BC45" s="6">
        <v>39319</v>
      </c>
      <c r="BD45">
        <v>3</v>
      </c>
      <c r="BE45" s="5" t="s">
        <v>1254</v>
      </c>
      <c r="BG45">
        <v>176</v>
      </c>
      <c r="BH45" s="15">
        <f t="shared" ca="1" si="0"/>
        <v>1290</v>
      </c>
      <c r="BI45" s="15"/>
      <c r="BJ45" s="15"/>
      <c r="BK45" t="str">
        <f>B45</f>
        <v>Subject To Inspection</v>
      </c>
    </row>
    <row r="46" spans="1:63" hidden="1" x14ac:dyDescent="0.2">
      <c r="A46">
        <v>27184903</v>
      </c>
      <c r="B46" s="2" t="str">
        <f>HYPERLINK("http://www.windermere.com/index.cfm?fuseaction=Listing.ListingDetail&amp;ListingID=18799513","Active")</f>
        <v>Active</v>
      </c>
      <c r="D46" t="s">
        <v>55</v>
      </c>
      <c r="E46" t="s">
        <v>419</v>
      </c>
      <c r="F46" s="9">
        <v>339000</v>
      </c>
      <c r="G46" t="s">
        <v>147</v>
      </c>
      <c r="J46">
        <v>3</v>
      </c>
      <c r="K46">
        <v>1.5</v>
      </c>
      <c r="M46" s="2" t="str">
        <f>HYPERLINK("http://www.windermere.com/index.cfm?fuseaction=Listing.MapPropertyInteractive&amp;ListingID=18799513&amp;resize=true&amp;windowWidth=800&amp;windowHeight=600","Map")</f>
        <v>Map</v>
      </c>
      <c r="O46" s="2" t="str">
        <f>HYPERLINK("http://www.windermere.com/index.cfm?fuseaction=Listing.MultiImageViewer&amp;ListingID=18799513&amp;ln=27184903&amp;pub_mls=1","More")</f>
        <v>More</v>
      </c>
      <c r="AI46" t="s">
        <v>66</v>
      </c>
      <c r="AJ46">
        <v>98133</v>
      </c>
      <c r="AS46" t="s">
        <v>420</v>
      </c>
      <c r="AT46">
        <v>18799513</v>
      </c>
      <c r="AU46" s="10">
        <v>39495</v>
      </c>
      <c r="BB46" t="s">
        <v>902</v>
      </c>
      <c r="BC46" s="6">
        <v>39367</v>
      </c>
      <c r="BG46">
        <v>128</v>
      </c>
      <c r="BH46" s="15">
        <f t="shared" ca="1" si="0"/>
        <v>1242</v>
      </c>
      <c r="BI46" s="15"/>
      <c r="BJ46" s="15"/>
    </row>
    <row r="47" spans="1:63" hidden="1" x14ac:dyDescent="0.2">
      <c r="A47">
        <v>28012906</v>
      </c>
      <c r="B47" s="2" t="str">
        <f>HYPERLINK("http://www.windermere.com/index.cfm?fuseaction=Listing.ListingDetail&amp;ListingID=19261837","Active")</f>
        <v>Active</v>
      </c>
      <c r="D47" t="s">
        <v>55</v>
      </c>
      <c r="E47" t="s">
        <v>423</v>
      </c>
      <c r="F47" s="9">
        <v>339000</v>
      </c>
      <c r="G47" t="s">
        <v>147</v>
      </c>
      <c r="J47">
        <v>3</v>
      </c>
      <c r="K47">
        <v>1.5</v>
      </c>
      <c r="M47" s="2" t="str">
        <f>HYPERLINK("http://www.windermere.com/index.cfm?fuseaction=Listing.MapPropertyInteractive&amp;ListingID=19261837&amp;resize=true&amp;windowWidth=800&amp;windowHeight=600","Map")</f>
        <v>Map</v>
      </c>
      <c r="O47" s="2" t="str">
        <f>HYPERLINK("http://www.windermere.com/index.cfm?fuseaction=Listing.MultiImageViewer&amp;ListingID=19261837&amp;ln=28012906&amp;pub_mls=1","More")</f>
        <v>More</v>
      </c>
      <c r="P47" t="s">
        <v>44</v>
      </c>
      <c r="AI47" t="s">
        <v>66</v>
      </c>
      <c r="AJ47">
        <v>98103</v>
      </c>
      <c r="AS47" t="s">
        <v>424</v>
      </c>
      <c r="AT47">
        <v>19261837</v>
      </c>
      <c r="AU47" s="10">
        <v>39495</v>
      </c>
      <c r="BB47" t="s">
        <v>902</v>
      </c>
      <c r="BC47" s="6">
        <v>39469</v>
      </c>
      <c r="BG47">
        <v>26</v>
      </c>
      <c r="BH47" s="15">
        <f t="shared" ca="1" si="0"/>
        <v>1140</v>
      </c>
      <c r="BI47" s="15"/>
      <c r="BJ47" s="15"/>
    </row>
    <row r="48" spans="1:63" hidden="1" x14ac:dyDescent="0.2">
      <c r="A48">
        <v>28016234</v>
      </c>
      <c r="B48" s="2" t="str">
        <f>HYPERLINK("http://www.windermere.com/index.cfm?fuseaction=Listing.ListingDetail&amp;ListingID=19293598","Active")</f>
        <v>Active</v>
      </c>
      <c r="D48" t="s">
        <v>42</v>
      </c>
      <c r="E48" t="s">
        <v>425</v>
      </c>
      <c r="F48" s="9">
        <v>339000</v>
      </c>
      <c r="G48" t="s">
        <v>147</v>
      </c>
      <c r="H48" s="1">
        <v>1471</v>
      </c>
      <c r="J48">
        <v>3</v>
      </c>
      <c r="K48">
        <v>2.5</v>
      </c>
      <c r="M48" s="2" t="str">
        <f>HYPERLINK("http://www.windermere.com/index.cfm?fuseaction=Listing.MapPropertyInteractive&amp;ListingID=19293598&amp;resize=true&amp;windowWidth=800&amp;windowHeight=600","Map")</f>
        <v>Map</v>
      </c>
      <c r="O48" s="2" t="str">
        <f>HYPERLINK("http://www.windermere.com/index.cfm?fuseaction=Listing.MultiImageViewer&amp;ListingID=19293598&amp;ln=28016234&amp;pub_mls=1","More")</f>
        <v>More</v>
      </c>
      <c r="AI48" t="s">
        <v>66</v>
      </c>
      <c r="AJ48">
        <v>98133</v>
      </c>
      <c r="AS48" t="s">
        <v>426</v>
      </c>
      <c r="AT48">
        <v>19293598</v>
      </c>
      <c r="AU48" s="10">
        <v>39495</v>
      </c>
      <c r="BB48" t="s">
        <v>902</v>
      </c>
      <c r="BC48" s="6">
        <v>39476</v>
      </c>
      <c r="BG48">
        <v>19</v>
      </c>
      <c r="BH48" s="15">
        <f t="shared" ca="1" si="0"/>
        <v>1133</v>
      </c>
      <c r="BI48" s="15"/>
      <c r="BJ48" s="15"/>
    </row>
    <row r="49" spans="1:63" hidden="1" x14ac:dyDescent="0.2">
      <c r="A49">
        <v>27202070</v>
      </c>
      <c r="B49" s="2" t="str">
        <f>HYPERLINK("http://www.windermere.com/index.cfm?fuseaction=Listing.ListingDetail&amp;ListingID=18978903","Active")</f>
        <v>Active</v>
      </c>
      <c r="D49" t="s">
        <v>908</v>
      </c>
      <c r="E49" t="s">
        <v>435</v>
      </c>
      <c r="F49" s="9">
        <v>339950</v>
      </c>
      <c r="G49" t="s">
        <v>137</v>
      </c>
      <c r="H49">
        <v>880</v>
      </c>
      <c r="I49">
        <v>6024</v>
      </c>
      <c r="J49">
        <v>2</v>
      </c>
      <c r="K49">
        <v>1</v>
      </c>
      <c r="M49" s="2" t="str">
        <f>HYPERLINK("http://www.windermere.com/index.cfm?fuseaction=Listing.MapPropertyInteractive&amp;ListingID=18978903&amp;resize=true&amp;windowWidth=800&amp;windowHeight=600","Map")</f>
        <v>Map</v>
      </c>
      <c r="O49" s="2" t="str">
        <f>HYPERLINK("http://www.windermere.com/index.cfm?fuseaction=viewGallery.Home&amp;customTourID=199286&amp;wvt=0","More")</f>
        <v>More</v>
      </c>
      <c r="P49" t="s">
        <v>44</v>
      </c>
      <c r="AI49" t="s">
        <v>66</v>
      </c>
      <c r="AJ49">
        <v>98133</v>
      </c>
      <c r="AS49" t="s">
        <v>436</v>
      </c>
      <c r="AT49">
        <v>18978903</v>
      </c>
      <c r="AU49" s="10">
        <v>39495</v>
      </c>
      <c r="BB49" t="s">
        <v>902</v>
      </c>
      <c r="BC49" s="6">
        <v>39401</v>
      </c>
      <c r="BG49">
        <v>94</v>
      </c>
      <c r="BH49" s="15">
        <f t="shared" ca="1" si="0"/>
        <v>1208</v>
      </c>
      <c r="BI49" s="15"/>
      <c r="BJ49" s="15"/>
    </row>
    <row r="50" spans="1:63" hidden="1" x14ac:dyDescent="0.2">
      <c r="A50">
        <v>27204669</v>
      </c>
      <c r="B50" s="2" t="str">
        <f>HYPERLINK("http://www.windermere.com/index.cfm?fuseaction=Listing.ListingDetail&amp;ListingID=19000289","Active")</f>
        <v>Active</v>
      </c>
      <c r="D50" t="s">
        <v>100</v>
      </c>
      <c r="E50" t="s">
        <v>429</v>
      </c>
      <c r="F50" s="11">
        <v>319950</v>
      </c>
      <c r="G50" t="s">
        <v>430</v>
      </c>
      <c r="H50">
        <v>820</v>
      </c>
      <c r="I50">
        <v>2500</v>
      </c>
      <c r="J50">
        <v>2</v>
      </c>
      <c r="K50">
        <v>1</v>
      </c>
      <c r="M50" s="2" t="str">
        <f>HYPERLINK("http://www.windermere.com/index.cfm?fuseaction=Listing.MapPropertyInteractive&amp;ListingID=19000289&amp;resize=true&amp;windowWidth=800&amp;windowHeight=600","Map")</f>
        <v>Map</v>
      </c>
      <c r="P50" t="s">
        <v>44</v>
      </c>
      <c r="AI50" t="s">
        <v>66</v>
      </c>
      <c r="AJ50">
        <v>98103</v>
      </c>
      <c r="AS50" t="s">
        <v>431</v>
      </c>
      <c r="AT50">
        <v>19000289</v>
      </c>
      <c r="AU50" s="10">
        <v>39495</v>
      </c>
      <c r="BB50" t="s">
        <v>902</v>
      </c>
      <c r="BC50" s="6">
        <v>39406</v>
      </c>
      <c r="BG50">
        <v>89</v>
      </c>
      <c r="BH50" s="15">
        <f t="shared" ca="1" si="0"/>
        <v>1203</v>
      </c>
      <c r="BI50" s="15"/>
      <c r="BJ50" s="15"/>
    </row>
    <row r="51" spans="1:63" hidden="1" x14ac:dyDescent="0.2">
      <c r="A51">
        <v>28011583</v>
      </c>
      <c r="B51" s="2" t="str">
        <f>HYPERLINK("http://www.windermere.com/index.cfm?fuseaction=Listing.ListingDetail&amp;ListingID=19246531","Active")</f>
        <v>Active</v>
      </c>
      <c r="D51" t="s">
        <v>100</v>
      </c>
      <c r="E51" t="s">
        <v>432</v>
      </c>
      <c r="F51" s="9">
        <v>339950</v>
      </c>
      <c r="G51" t="s">
        <v>433</v>
      </c>
      <c r="J51">
        <v>2</v>
      </c>
      <c r="K51">
        <v>1</v>
      </c>
      <c r="M51" s="2" t="str">
        <f>HYPERLINK("http://www.windermere.com/index.cfm?fuseaction=Listing.MapPropertyInteractive&amp;ListingID=19246531&amp;resize=true&amp;windowWidth=800&amp;windowHeight=600","Map")</f>
        <v>Map</v>
      </c>
      <c r="O51" s="2" t="str">
        <f>HYPERLINK("http://www.windermere.com/index.cfm?fuseaction=Listing.MultiImageViewer&amp;ListingID=19246531&amp;ln=28011583&amp;pub_mls=1","More")</f>
        <v>More</v>
      </c>
      <c r="P51" t="s">
        <v>44</v>
      </c>
      <c r="AI51" t="s">
        <v>66</v>
      </c>
      <c r="AJ51">
        <v>98103</v>
      </c>
      <c r="AS51" t="s">
        <v>434</v>
      </c>
      <c r="AT51">
        <v>19246531</v>
      </c>
      <c r="AU51" s="10">
        <v>39495</v>
      </c>
      <c r="BB51" t="s">
        <v>902</v>
      </c>
      <c r="BC51" s="6">
        <v>39465</v>
      </c>
      <c r="BG51">
        <v>30</v>
      </c>
      <c r="BH51" s="15">
        <f t="shared" ca="1" si="0"/>
        <v>1144</v>
      </c>
      <c r="BI51" s="15"/>
      <c r="BJ51" s="15"/>
    </row>
    <row r="52" spans="1:63" hidden="1" x14ac:dyDescent="0.2">
      <c r="A52">
        <v>28022372</v>
      </c>
      <c r="B52" s="2" t="str">
        <f>HYPERLINK("http://www.windermere.com/index.cfm?fuseaction=Listing.ListingDetail&amp;ListingID=19345068","Active")</f>
        <v>Active</v>
      </c>
      <c r="D52" t="s">
        <v>42</v>
      </c>
      <c r="E52" t="s">
        <v>427</v>
      </c>
      <c r="F52" s="9">
        <v>339950</v>
      </c>
      <c r="G52" t="s">
        <v>239</v>
      </c>
      <c r="H52" s="1">
        <v>1621</v>
      </c>
      <c r="J52">
        <v>3</v>
      </c>
      <c r="K52">
        <v>3.5</v>
      </c>
      <c r="M52" s="2" t="str">
        <f>HYPERLINK("http://www.windermere.com/index.cfm?fuseaction=Listing.MapPropertyInteractive&amp;ListingID=19345068&amp;resize=true&amp;windowWidth=800&amp;windowHeight=600","Map")</f>
        <v>Map</v>
      </c>
      <c r="O52" s="2" t="str">
        <f>HYPERLINK("http://www.windermere.com/index.cfm?fuseaction=Listing.MultiImageViewer&amp;ListingID=19345068&amp;ln=28022372&amp;pub_mls=1","More")</f>
        <v>More</v>
      </c>
      <c r="AI52" t="s">
        <v>66</v>
      </c>
      <c r="AJ52">
        <v>98133</v>
      </c>
      <c r="AS52" t="s">
        <v>428</v>
      </c>
      <c r="AT52">
        <v>19345068</v>
      </c>
      <c r="AU52" s="10">
        <v>39495</v>
      </c>
      <c r="BB52" t="s">
        <v>902</v>
      </c>
      <c r="BC52" s="6">
        <v>39486</v>
      </c>
      <c r="BG52">
        <v>9</v>
      </c>
      <c r="BH52" s="15">
        <f t="shared" ca="1" si="0"/>
        <v>1123</v>
      </c>
      <c r="BI52" s="15"/>
      <c r="BJ52" s="15"/>
    </row>
    <row r="53" spans="1:63" hidden="1" x14ac:dyDescent="0.2">
      <c r="A53">
        <v>28006035</v>
      </c>
      <c r="B53" s="2" t="str">
        <f>HYPERLINK("http://www.windermere.com/index.cfm?fuseaction=Listing.ListingDetail&amp;ListingID=19386011","Active")</f>
        <v>Active</v>
      </c>
      <c r="D53" t="s">
        <v>908</v>
      </c>
      <c r="E53" t="s">
        <v>1265</v>
      </c>
      <c r="F53" s="9">
        <v>340000</v>
      </c>
      <c r="G53" t="s">
        <v>156</v>
      </c>
      <c r="H53">
        <v>810</v>
      </c>
      <c r="I53">
        <v>6272</v>
      </c>
      <c r="J53">
        <v>2</v>
      </c>
      <c r="K53">
        <v>1</v>
      </c>
      <c r="M53" s="2" t="str">
        <f>HYPERLINK("http://www.windermere.com/index.cfm?fuseaction=Listing.MapPropertyInteractive&amp;ListingID=19386011&amp;resize=true&amp;windowWidth=800&amp;windowHeight=600","Map")</f>
        <v>Map</v>
      </c>
      <c r="O53" s="2" t="str">
        <f>HYPERLINK("http://www.windermere.com/index.cfm?fuseaction=Listing.MultiImageViewer&amp;ListingID=19386011&amp;ln=28006035&amp;pub_mls=1","More")</f>
        <v>More</v>
      </c>
      <c r="AI53" t="s">
        <v>66</v>
      </c>
      <c r="AJ53">
        <v>98125</v>
      </c>
      <c r="AS53" t="s">
        <v>1266</v>
      </c>
      <c r="AT53">
        <v>19386011</v>
      </c>
      <c r="AU53" s="6">
        <v>39496</v>
      </c>
      <c r="BB53" t="s">
        <v>902</v>
      </c>
      <c r="BC53" s="6">
        <v>39457</v>
      </c>
      <c r="BD53">
        <v>2</v>
      </c>
      <c r="BE53" t="s">
        <v>1279</v>
      </c>
      <c r="BG53">
        <v>39</v>
      </c>
      <c r="BH53" s="15">
        <f t="shared" ca="1" si="0"/>
        <v>1152</v>
      </c>
      <c r="BI53" s="15"/>
      <c r="BJ53" s="15"/>
    </row>
    <row r="54" spans="1:63" hidden="1" x14ac:dyDescent="0.2">
      <c r="A54">
        <v>28018855</v>
      </c>
      <c r="B54" s="2" t="str">
        <f>HYPERLINK("http://www.windermere.com/index.cfm?fuseaction=Listing.ListingDetail&amp;ListingID=19305143","Active")</f>
        <v>Active</v>
      </c>
      <c r="D54" t="s">
        <v>55</v>
      </c>
      <c r="E54" t="s">
        <v>437</v>
      </c>
      <c r="F54" s="9">
        <v>344000</v>
      </c>
      <c r="G54" t="s">
        <v>239</v>
      </c>
      <c r="H54" s="1">
        <v>1320</v>
      </c>
      <c r="J54">
        <v>2</v>
      </c>
      <c r="K54" s="17">
        <v>2.5</v>
      </c>
      <c r="M54" s="2" t="str">
        <f>HYPERLINK("http://www.windermere.com/index.cfm?fuseaction=Listing.MapPropertyInteractive&amp;ListingID=19305143&amp;resize=true&amp;windowWidth=800&amp;windowHeight=600","Map")</f>
        <v>Map</v>
      </c>
      <c r="O54" s="2" t="str">
        <f>HYPERLINK("http://www.windermere.com/index.cfm?fuseaction=Listing.MultiImageViewer&amp;ListingID=19305143&amp;ln=28018855&amp;pub_mls=1","More")</f>
        <v>More</v>
      </c>
      <c r="AI54" t="s">
        <v>66</v>
      </c>
      <c r="AJ54">
        <v>98133</v>
      </c>
      <c r="AS54" t="s">
        <v>438</v>
      </c>
      <c r="AT54">
        <v>19305143</v>
      </c>
      <c r="AU54" s="10">
        <v>39495</v>
      </c>
      <c r="BB54" t="s">
        <v>902</v>
      </c>
      <c r="BC54" s="6">
        <v>39478</v>
      </c>
      <c r="BG54">
        <v>17</v>
      </c>
      <c r="BH54" s="15">
        <f t="shared" ca="1" si="0"/>
        <v>1131</v>
      </c>
      <c r="BI54" s="15"/>
      <c r="BJ54" s="15"/>
    </row>
    <row r="55" spans="1:63" hidden="1" x14ac:dyDescent="0.2">
      <c r="A55">
        <v>27186885</v>
      </c>
      <c r="B55" s="13" t="str">
        <f>HYPERLINK("http://www.windermere.com/index.cfm?fuseaction=Listing.ListingDetail&amp;ListingID=18817082","Subject To Inspection")</f>
        <v>Subject To Inspection</v>
      </c>
      <c r="D55" t="s">
        <v>70</v>
      </c>
      <c r="E55" t="s">
        <v>439</v>
      </c>
      <c r="F55" s="9">
        <v>344888</v>
      </c>
      <c r="G55" t="s">
        <v>147</v>
      </c>
      <c r="H55" s="1">
        <v>1515</v>
      </c>
      <c r="J55">
        <v>3</v>
      </c>
      <c r="K55">
        <v>2.25</v>
      </c>
      <c r="M55" s="2" t="str">
        <f>HYPERLINK("http://www.windermere.com/index.cfm?fuseaction=Listing.MapPropertyInteractive&amp;ListingID=18817082&amp;resize=true&amp;windowWidth=800&amp;windowHeight=600","Map")</f>
        <v>Map</v>
      </c>
      <c r="O55" s="2" t="str">
        <f>HYPERLINK("http://www.windermere.com/index.cfm?fuseaction=Listing.MultiImageViewer&amp;ListingID=18817082&amp;ln=27186885&amp;pub_mls=1","More")</f>
        <v>More</v>
      </c>
      <c r="AI55" t="s">
        <v>66</v>
      </c>
      <c r="AJ55">
        <v>98133</v>
      </c>
      <c r="AS55" t="s">
        <v>440</v>
      </c>
      <c r="AT55">
        <v>18817082</v>
      </c>
      <c r="AU55" s="10">
        <v>39495</v>
      </c>
      <c r="BB55" t="s">
        <v>902</v>
      </c>
      <c r="BC55" s="6">
        <v>39371</v>
      </c>
      <c r="BE55" t="s">
        <v>1368</v>
      </c>
      <c r="BG55">
        <v>124</v>
      </c>
      <c r="BH55" s="15">
        <f t="shared" ca="1" si="0"/>
        <v>1238</v>
      </c>
      <c r="BI55" s="15"/>
      <c r="BJ55" s="15"/>
    </row>
    <row r="56" spans="1:63" hidden="1" x14ac:dyDescent="0.2">
      <c r="A56">
        <v>27187691</v>
      </c>
      <c r="B56" s="2" t="str">
        <f>HYPERLINK("http://www.windermere.com/index.cfm?fuseaction=Listing.ListingDetail&amp;ListingID=18826288","Active")</f>
        <v>Active</v>
      </c>
      <c r="D56" t="s">
        <v>70</v>
      </c>
      <c r="E56" t="s">
        <v>447</v>
      </c>
      <c r="F56" s="9">
        <v>344888</v>
      </c>
      <c r="G56" t="s">
        <v>147</v>
      </c>
      <c r="H56" s="1">
        <v>1413</v>
      </c>
      <c r="J56">
        <v>3</v>
      </c>
      <c r="K56">
        <v>2.25</v>
      </c>
      <c r="M56" s="2" t="str">
        <f>HYPERLINK("http://www.windermere.com/index.cfm?fuseaction=Listing.MapPropertyInteractive&amp;ListingID=18826288&amp;resize=true&amp;windowWidth=800&amp;windowHeight=600","Map")</f>
        <v>Map</v>
      </c>
      <c r="O56" s="2" t="str">
        <f>HYPERLINK("http://www.windermere.com/index.cfm?fuseaction=Listing.MultiImageViewer&amp;ListingID=18826288&amp;ln=27187691&amp;pub_mls=1","More")</f>
        <v>More</v>
      </c>
      <c r="AI56" t="s">
        <v>66</v>
      </c>
      <c r="AJ56">
        <v>98133</v>
      </c>
      <c r="AS56" t="s">
        <v>448</v>
      </c>
      <c r="AT56">
        <v>18826288</v>
      </c>
      <c r="AU56" s="10">
        <v>39495</v>
      </c>
      <c r="BB56" t="s">
        <v>902</v>
      </c>
      <c r="BC56" s="6">
        <v>39372</v>
      </c>
      <c r="BG56">
        <v>123</v>
      </c>
      <c r="BH56" s="15">
        <f t="shared" ca="1" si="0"/>
        <v>1237</v>
      </c>
      <c r="BI56" s="15"/>
      <c r="BJ56" s="15"/>
    </row>
    <row r="57" spans="1:63" hidden="1" x14ac:dyDescent="0.2">
      <c r="A57">
        <v>27193940</v>
      </c>
      <c r="B57" s="2" t="str">
        <f>HYPERLINK("http://www.windermere.com/index.cfm?fuseaction=Listing.ListingDetail&amp;ListingID=18883849","Active")</f>
        <v>Active</v>
      </c>
      <c r="D57" t="s">
        <v>70</v>
      </c>
      <c r="E57" t="s">
        <v>445</v>
      </c>
      <c r="F57" s="9">
        <v>344888</v>
      </c>
      <c r="G57" t="s">
        <v>147</v>
      </c>
      <c r="H57" s="1">
        <v>1413</v>
      </c>
      <c r="J57">
        <v>3</v>
      </c>
      <c r="K57">
        <v>2.25</v>
      </c>
      <c r="M57" s="2" t="str">
        <f>HYPERLINK("http://www.windermere.com/index.cfm?fuseaction=Listing.MapPropertyInteractive&amp;ListingID=18883849&amp;resize=true&amp;windowWidth=800&amp;windowHeight=600","Map")</f>
        <v>Map</v>
      </c>
      <c r="O57" s="2" t="str">
        <f>HYPERLINK("http://www.windermere.com/index.cfm?fuseaction=Listing.MultiImageViewer&amp;ListingID=18883849&amp;ln=27193940&amp;pub_mls=1","More")</f>
        <v>More</v>
      </c>
      <c r="AI57" t="s">
        <v>66</v>
      </c>
      <c r="AJ57">
        <v>98133</v>
      </c>
      <c r="AS57" t="s">
        <v>446</v>
      </c>
      <c r="AT57">
        <v>18883849</v>
      </c>
      <c r="AU57" s="10">
        <v>39495</v>
      </c>
      <c r="BB57" t="s">
        <v>902</v>
      </c>
      <c r="BC57" s="6">
        <v>39384</v>
      </c>
      <c r="BG57">
        <v>111</v>
      </c>
      <c r="BH57" s="15">
        <f t="shared" ca="1" si="0"/>
        <v>1225</v>
      </c>
      <c r="BI57" s="15"/>
      <c r="BJ57" s="15"/>
    </row>
    <row r="58" spans="1:63" hidden="1" x14ac:dyDescent="0.2">
      <c r="A58">
        <v>27193941</v>
      </c>
      <c r="B58" s="2" t="str">
        <f>HYPERLINK("http://www.windermere.com/index.cfm?fuseaction=Listing.ListingDetail&amp;ListingID=18883850","Active")</f>
        <v>Active</v>
      </c>
      <c r="D58" t="s">
        <v>70</v>
      </c>
      <c r="E58" t="s">
        <v>443</v>
      </c>
      <c r="F58" s="9">
        <v>344888</v>
      </c>
      <c r="G58" t="s">
        <v>147</v>
      </c>
      <c r="H58" s="1">
        <v>1450</v>
      </c>
      <c r="J58">
        <v>3</v>
      </c>
      <c r="K58">
        <v>2.25</v>
      </c>
      <c r="M58" s="2" t="str">
        <f>HYPERLINK("http://www.windermere.com/index.cfm?fuseaction=Listing.MapPropertyInteractive&amp;ListingID=18883850&amp;resize=true&amp;windowWidth=800&amp;windowHeight=600","Map")</f>
        <v>Map</v>
      </c>
      <c r="O58" s="2" t="str">
        <f>HYPERLINK("http://www.windermere.com/index.cfm?fuseaction=Listing.MultiImageViewer&amp;ListingID=18883850&amp;ln=27193941&amp;pub_mls=1","More")</f>
        <v>More</v>
      </c>
      <c r="AI58" t="s">
        <v>66</v>
      </c>
      <c r="AJ58">
        <v>98133</v>
      </c>
      <c r="AS58" t="s">
        <v>444</v>
      </c>
      <c r="AT58">
        <v>18883850</v>
      </c>
      <c r="AU58" s="10">
        <v>39495</v>
      </c>
      <c r="BB58" t="s">
        <v>902</v>
      </c>
      <c r="BC58" s="6">
        <v>39384</v>
      </c>
      <c r="BG58">
        <v>111</v>
      </c>
      <c r="BH58" s="15">
        <f t="shared" ca="1" si="0"/>
        <v>1225</v>
      </c>
      <c r="BI58" s="15"/>
      <c r="BJ58" s="15"/>
    </row>
    <row r="59" spans="1:63" hidden="1" x14ac:dyDescent="0.2">
      <c r="A59">
        <v>27193943</v>
      </c>
      <c r="B59" s="2" t="str">
        <f>HYPERLINK("http://www.windermere.com/index.cfm?fuseaction=Listing.ListingDetail&amp;ListingID=18883851","Subject To Inspection")</f>
        <v>Subject To Inspection</v>
      </c>
      <c r="D59" t="s">
        <v>70</v>
      </c>
      <c r="E59" t="s">
        <v>441</v>
      </c>
      <c r="F59" s="9">
        <v>344888</v>
      </c>
      <c r="G59" t="s">
        <v>147</v>
      </c>
      <c r="H59" s="1">
        <v>1479</v>
      </c>
      <c r="J59">
        <v>3</v>
      </c>
      <c r="K59">
        <v>2.25</v>
      </c>
      <c r="M59" s="2" t="str">
        <f>HYPERLINK("http://www.windermere.com/index.cfm?fuseaction=Listing.MapPropertyInteractive&amp;ListingID=18883851&amp;resize=true&amp;windowWidth=800&amp;windowHeight=600","Map")</f>
        <v>Map</v>
      </c>
      <c r="O59" s="2" t="str">
        <f>HYPERLINK("http://www.windermere.com/index.cfm?fuseaction=Listing.MultiImageViewer&amp;ListingID=18883851&amp;ln=27193943&amp;pub_mls=1","More")</f>
        <v>More</v>
      </c>
      <c r="AI59" t="s">
        <v>66</v>
      </c>
      <c r="AJ59">
        <v>98133</v>
      </c>
      <c r="AS59" t="s">
        <v>442</v>
      </c>
      <c r="AT59">
        <v>18883851</v>
      </c>
      <c r="AU59" s="10">
        <v>39495</v>
      </c>
      <c r="BB59" t="s">
        <v>902</v>
      </c>
      <c r="BC59" s="6">
        <v>39385</v>
      </c>
      <c r="BG59">
        <v>110</v>
      </c>
      <c r="BH59" s="15">
        <f t="shared" ca="1" si="0"/>
        <v>1224</v>
      </c>
      <c r="BI59" s="15"/>
      <c r="BJ59" s="15"/>
      <c r="BK59" t="str">
        <f>B59</f>
        <v>Subject To Inspection</v>
      </c>
    </row>
    <row r="60" spans="1:63" hidden="1" x14ac:dyDescent="0.2">
      <c r="A60">
        <v>28023714</v>
      </c>
      <c r="B60" s="2" t="str">
        <f>HYPERLINK("http://www.windermere.com/index.cfm?fuseaction=Listing.ListingDetail&amp;ListingID=19344609","Active")</f>
        <v>Active</v>
      </c>
      <c r="D60" t="s">
        <v>184</v>
      </c>
      <c r="E60" t="s">
        <v>449</v>
      </c>
      <c r="F60" s="9">
        <v>344888</v>
      </c>
      <c r="G60" t="s">
        <v>239</v>
      </c>
      <c r="H60" s="1">
        <v>1400</v>
      </c>
      <c r="J60">
        <v>3</v>
      </c>
      <c r="K60">
        <v>2</v>
      </c>
      <c r="M60" s="2" t="str">
        <f>HYPERLINK("http://www.windermere.com/index.cfm?fuseaction=Listing.MapPropertyInteractive&amp;ListingID=19344609&amp;resize=true&amp;windowWidth=800&amp;windowHeight=600","Map")</f>
        <v>Map</v>
      </c>
      <c r="O60" s="2" t="str">
        <f>HYPERLINK("http://www.windermere.com/index.cfm?fuseaction=Listing.MultiImageViewer&amp;ListingID=19344609&amp;ln=28023714&amp;pub_mls=1","More")</f>
        <v>More</v>
      </c>
      <c r="P60" t="s">
        <v>44</v>
      </c>
      <c r="AI60" t="s">
        <v>66</v>
      </c>
      <c r="AJ60">
        <v>98125</v>
      </c>
      <c r="AS60" t="s">
        <v>450</v>
      </c>
      <c r="AT60">
        <v>19344609</v>
      </c>
      <c r="AU60" s="10">
        <v>39495</v>
      </c>
      <c r="BB60" t="s">
        <v>902</v>
      </c>
      <c r="BC60" s="6">
        <v>39486</v>
      </c>
      <c r="BG60">
        <v>9</v>
      </c>
      <c r="BH60" s="15">
        <f t="shared" ca="1" si="0"/>
        <v>1123</v>
      </c>
      <c r="BI60" s="15"/>
      <c r="BJ60" s="15"/>
    </row>
    <row r="61" spans="1:63" hidden="1" x14ac:dyDescent="0.2">
      <c r="A61">
        <v>28006840</v>
      </c>
      <c r="B61" s="2" t="str">
        <f>HYPERLINK("http://www.windermere.com/index.cfm?fuseaction=Listing.ListingDetail&amp;ListingID=19200062","Active")</f>
        <v>Active</v>
      </c>
      <c r="D61" t="s">
        <v>60</v>
      </c>
      <c r="E61" t="s">
        <v>453</v>
      </c>
      <c r="F61" s="9">
        <v>345000</v>
      </c>
      <c r="G61" t="s">
        <v>128</v>
      </c>
      <c r="J61">
        <v>2</v>
      </c>
      <c r="K61">
        <v>1.5</v>
      </c>
      <c r="M61" s="2" t="str">
        <f>HYPERLINK("http://www.windermere.com/index.cfm?fuseaction=Listing.MapPropertyInteractive&amp;ListingID=19200062&amp;resize=true&amp;windowWidth=800&amp;windowHeight=600","Map")</f>
        <v>Map</v>
      </c>
      <c r="O61" s="2" t="str">
        <f>HYPERLINK("http://www.windermere.com/index.cfm?fuseaction=viewGallery.Home&amp;customTourID=204019&amp;wvt=0","More")</f>
        <v>More</v>
      </c>
      <c r="P61" t="s">
        <v>44</v>
      </c>
      <c r="AI61" t="s">
        <v>66</v>
      </c>
      <c r="AJ61">
        <v>98103</v>
      </c>
      <c r="AS61" t="s">
        <v>454</v>
      </c>
      <c r="AT61">
        <v>19200062</v>
      </c>
      <c r="AU61" s="10">
        <v>39495</v>
      </c>
      <c r="BB61" t="s">
        <v>902</v>
      </c>
      <c r="BC61" s="6">
        <v>39458</v>
      </c>
      <c r="BG61">
        <v>37</v>
      </c>
      <c r="BH61" s="15">
        <f t="shared" ca="1" si="0"/>
        <v>1151</v>
      </c>
      <c r="BI61" s="15"/>
      <c r="BJ61" s="15"/>
    </row>
    <row r="62" spans="1:63" hidden="1" x14ac:dyDescent="0.2">
      <c r="A62">
        <v>28018719</v>
      </c>
      <c r="B62" s="13" t="str">
        <f>HYPERLINK("http://www.windermere.com/index.cfm?fuseaction=Listing.ListingDetail&amp;ListingID=19304377","Subject To Inspection")</f>
        <v>Subject To Inspection</v>
      </c>
      <c r="D62" t="s">
        <v>66</v>
      </c>
      <c r="E62" t="s">
        <v>451</v>
      </c>
      <c r="F62" s="9">
        <v>345000</v>
      </c>
      <c r="G62" t="s">
        <v>130</v>
      </c>
      <c r="H62" s="1">
        <v>2060</v>
      </c>
      <c r="I62">
        <v>7200</v>
      </c>
      <c r="J62">
        <v>3</v>
      </c>
      <c r="K62">
        <v>1.5</v>
      </c>
      <c r="M62" s="2" t="str">
        <f>HYPERLINK("http://www.windermere.com/index.cfm?fuseaction=Listing.MapPropertyInteractive&amp;ListingID=19304377&amp;resize=true&amp;windowWidth=800&amp;windowHeight=600","Map")</f>
        <v>Map</v>
      </c>
      <c r="O62" s="2" t="str">
        <f>HYPERLINK("http://www.windermere.com/index.cfm?fuseaction=Listing.MultiImageViewer&amp;ListingID=19304377&amp;ln=28018719&amp;pub_mls=1","More")</f>
        <v>More</v>
      </c>
      <c r="AI62" t="s">
        <v>66</v>
      </c>
      <c r="AJ62">
        <v>98133</v>
      </c>
      <c r="AS62" t="s">
        <v>452</v>
      </c>
      <c r="AT62">
        <v>19304377</v>
      </c>
      <c r="AU62" s="10">
        <v>39495</v>
      </c>
      <c r="BB62" t="s">
        <v>902</v>
      </c>
      <c r="BC62" s="6">
        <v>39478</v>
      </c>
      <c r="BD62">
        <v>3</v>
      </c>
      <c r="BE62" t="s">
        <v>1369</v>
      </c>
      <c r="BG62">
        <v>17</v>
      </c>
      <c r="BH62" s="15">
        <f t="shared" ca="1" si="0"/>
        <v>1131</v>
      </c>
      <c r="BI62" s="15"/>
      <c r="BJ62" s="15"/>
    </row>
    <row r="63" spans="1:63" hidden="1" x14ac:dyDescent="0.2">
      <c r="A63">
        <v>28028259</v>
      </c>
      <c r="B63" s="13" t="str">
        <f>HYPERLINK("http://www.windermere.com/index.cfm?fuseaction=Listing.ListingDetail&amp;ListingID=19379302","Subject To Inspection")</f>
        <v>Subject To Inspection</v>
      </c>
      <c r="D63" t="s">
        <v>184</v>
      </c>
      <c r="E63" t="s">
        <v>459</v>
      </c>
      <c r="F63" s="9">
        <v>348888</v>
      </c>
      <c r="G63" t="s">
        <v>147</v>
      </c>
      <c r="H63" s="1">
        <v>1547</v>
      </c>
      <c r="J63">
        <v>3</v>
      </c>
      <c r="K63">
        <v>2.5</v>
      </c>
      <c r="M63" s="2" t="str">
        <f>HYPERLINK("http://www.windermere.com/index.cfm?fuseaction=Listing.MapPropertyInteractive&amp;ListingID=19379302&amp;resize=true&amp;windowWidth=800&amp;windowHeight=600","Map")</f>
        <v>Map</v>
      </c>
      <c r="O63" s="2" t="str">
        <f>HYPERLINK("http://www.windermere.com/index.cfm?fuseaction=Listing.MultiImageViewer&amp;ListingID=19379302&amp;ln=28028259&amp;pub_mls=1","More")</f>
        <v>More</v>
      </c>
      <c r="AI63" t="s">
        <v>66</v>
      </c>
      <c r="AJ63">
        <v>98125</v>
      </c>
      <c r="AS63" t="s">
        <v>460</v>
      </c>
      <c r="AT63">
        <v>19379302</v>
      </c>
      <c r="AU63" s="10">
        <v>39495</v>
      </c>
      <c r="BB63" t="s">
        <v>902</v>
      </c>
      <c r="BC63" s="6">
        <v>39493</v>
      </c>
      <c r="BG63">
        <v>2</v>
      </c>
      <c r="BH63" s="15">
        <f t="shared" ca="1" si="0"/>
        <v>1116</v>
      </c>
      <c r="BI63" s="15"/>
      <c r="BJ63" s="15"/>
      <c r="BK63" t="str">
        <f>B63</f>
        <v>Subject To Inspection</v>
      </c>
    </row>
    <row r="64" spans="1:63" hidden="1" x14ac:dyDescent="0.2">
      <c r="A64">
        <v>28028260</v>
      </c>
      <c r="B64" s="2" t="str">
        <f>HYPERLINK("http://www.windermere.com/index.cfm?fuseaction=Listing.ListingDetail&amp;ListingID=19379306","Active")</f>
        <v>Active</v>
      </c>
      <c r="D64" t="s">
        <v>184</v>
      </c>
      <c r="E64" t="s">
        <v>455</v>
      </c>
      <c r="F64" s="9">
        <v>348888</v>
      </c>
      <c r="G64" t="s">
        <v>147</v>
      </c>
      <c r="H64" s="1">
        <v>1547</v>
      </c>
      <c r="J64">
        <v>3</v>
      </c>
      <c r="K64">
        <v>2.5</v>
      </c>
      <c r="M64" s="2" t="str">
        <f>HYPERLINK("http://www.windermere.com/index.cfm?fuseaction=Listing.MapPropertyInteractive&amp;ListingID=19379306&amp;resize=true&amp;windowWidth=800&amp;windowHeight=600","Map")</f>
        <v>Map</v>
      </c>
      <c r="O64" s="2" t="str">
        <f>HYPERLINK("http://www.windermere.com/index.cfm?fuseaction=Listing.MultiImageViewer&amp;ListingID=19379306&amp;ln=28028260&amp;pub_mls=1","More")</f>
        <v>More</v>
      </c>
      <c r="AI64" t="s">
        <v>66</v>
      </c>
      <c r="AJ64">
        <v>98125</v>
      </c>
      <c r="AS64" t="s">
        <v>456</v>
      </c>
      <c r="AT64">
        <v>19379306</v>
      </c>
      <c r="AU64" s="10">
        <v>39495</v>
      </c>
      <c r="BB64" t="s">
        <v>902</v>
      </c>
      <c r="BC64" s="6">
        <v>39493</v>
      </c>
      <c r="BG64">
        <v>2</v>
      </c>
      <c r="BH64" s="15">
        <f t="shared" ca="1" si="0"/>
        <v>1116</v>
      </c>
      <c r="BI64" s="15"/>
      <c r="BJ64" s="15"/>
    </row>
    <row r="65" spans="1:63" hidden="1" x14ac:dyDescent="0.2">
      <c r="A65">
        <v>28028261</v>
      </c>
      <c r="B65" s="2" t="str">
        <f>HYPERLINK("http://www.windermere.com/index.cfm?fuseaction=Listing.ListingDetail&amp;ListingID=19379299","Active")</f>
        <v>Active</v>
      </c>
      <c r="D65" t="s">
        <v>184</v>
      </c>
      <c r="E65" t="s">
        <v>457</v>
      </c>
      <c r="F65" s="9">
        <v>348888</v>
      </c>
      <c r="G65" t="s">
        <v>147</v>
      </c>
      <c r="H65" s="1">
        <v>1547</v>
      </c>
      <c r="J65">
        <v>3</v>
      </c>
      <c r="K65">
        <v>2.5</v>
      </c>
      <c r="M65" s="2" t="str">
        <f>HYPERLINK("http://www.windermere.com/index.cfm?fuseaction=Listing.MapPropertyInteractive&amp;ListingID=19379299&amp;resize=true&amp;windowWidth=800&amp;windowHeight=600","Map")</f>
        <v>Map</v>
      </c>
      <c r="O65" s="2" t="str">
        <f>HYPERLINK("http://www.windermere.com/index.cfm?fuseaction=Listing.MultiImageViewer&amp;ListingID=19379299&amp;ln=28028261&amp;pub_mls=1","More")</f>
        <v>More</v>
      </c>
      <c r="AI65" t="s">
        <v>66</v>
      </c>
      <c r="AJ65">
        <v>98125</v>
      </c>
      <c r="AS65" t="s">
        <v>458</v>
      </c>
      <c r="AT65">
        <v>19379299</v>
      </c>
      <c r="AU65" s="10">
        <v>39495</v>
      </c>
      <c r="BB65" t="s">
        <v>902</v>
      </c>
      <c r="BC65" s="6">
        <v>39493</v>
      </c>
      <c r="BG65">
        <v>2</v>
      </c>
      <c r="BH65" s="15">
        <f t="shared" ca="1" si="0"/>
        <v>1116</v>
      </c>
      <c r="BI65" s="15"/>
      <c r="BJ65" s="15"/>
    </row>
    <row r="66" spans="1:63" hidden="1" x14ac:dyDescent="0.2">
      <c r="A66">
        <v>27193580</v>
      </c>
      <c r="B66" s="2" t="str">
        <f>HYPERLINK("http://www.windermere.com/index.cfm?fuseaction=Listing.ListingDetail&amp;ListingID=18914260","Active")</f>
        <v>Active</v>
      </c>
      <c r="D66" t="s">
        <v>60</v>
      </c>
      <c r="E66" t="s">
        <v>463</v>
      </c>
      <c r="F66" s="9">
        <v>349000</v>
      </c>
      <c r="G66" t="s">
        <v>394</v>
      </c>
      <c r="H66" s="1">
        <v>1260</v>
      </c>
      <c r="I66">
        <v>981</v>
      </c>
      <c r="J66">
        <v>3</v>
      </c>
      <c r="K66">
        <v>2.5</v>
      </c>
      <c r="M66" s="2" t="str">
        <f>HYPERLINK("http://www.windermere.com/index.cfm?fuseaction=Listing.MapPropertyInteractive&amp;ListingID=18914260&amp;resize=true&amp;windowWidth=800&amp;windowHeight=600","Map")</f>
        <v>Map</v>
      </c>
      <c r="O66" s="2" t="str">
        <f>HYPERLINK("http://www.windermere.com/index.cfm?fuseaction=viewGallery.Home&amp;customTourID=198927&amp;wvt=0","More")</f>
        <v>More</v>
      </c>
      <c r="P66" t="s">
        <v>44</v>
      </c>
      <c r="AI66" t="s">
        <v>66</v>
      </c>
      <c r="AJ66">
        <v>98103</v>
      </c>
      <c r="AS66" t="s">
        <v>464</v>
      </c>
      <c r="AT66">
        <v>18914260</v>
      </c>
      <c r="AU66" s="10">
        <v>39495</v>
      </c>
      <c r="BB66" t="s">
        <v>902</v>
      </c>
      <c r="BC66" s="6">
        <v>39390</v>
      </c>
      <c r="BG66">
        <v>105</v>
      </c>
      <c r="BH66" s="15">
        <f t="shared" ca="1" si="0"/>
        <v>1219</v>
      </c>
      <c r="BI66" s="15"/>
      <c r="BJ66" s="15"/>
    </row>
    <row r="67" spans="1:63" hidden="1" x14ac:dyDescent="0.2">
      <c r="A67">
        <v>28010742</v>
      </c>
      <c r="B67" s="13" t="str">
        <f>HYPERLINK("http://www.windermere.com/index.cfm?fuseaction=Listing.ListingDetail&amp;ListingID=19245355","Subject To Inspection")</f>
        <v>Subject To Inspection</v>
      </c>
      <c r="D67" t="s">
        <v>42</v>
      </c>
      <c r="E67" t="s">
        <v>461</v>
      </c>
      <c r="F67" s="9">
        <v>349000</v>
      </c>
      <c r="G67" t="s">
        <v>157</v>
      </c>
      <c r="I67">
        <v>5250</v>
      </c>
      <c r="J67">
        <v>2</v>
      </c>
      <c r="K67">
        <v>1</v>
      </c>
      <c r="M67" s="2" t="str">
        <f>HYPERLINK("http://www.windermere.com/index.cfm?fuseaction=Listing.MapPropertyInteractive&amp;ListingID=19245355&amp;resize=true&amp;windowWidth=800&amp;windowHeight=600","Map")</f>
        <v>Map</v>
      </c>
      <c r="O67" s="2" t="str">
        <f>HYPERLINK("http://www.windermere.com/index.cfm?fuseaction=Listing.MultiImageViewer&amp;ListingID=19245355&amp;ln=28010742&amp;pub_mls=1","More")</f>
        <v>More</v>
      </c>
      <c r="P67" t="s">
        <v>44</v>
      </c>
      <c r="AI67" t="s">
        <v>66</v>
      </c>
      <c r="AJ67">
        <v>98133</v>
      </c>
      <c r="AS67" t="s">
        <v>462</v>
      </c>
      <c r="AT67">
        <v>19245355</v>
      </c>
      <c r="AU67" s="10">
        <v>39495</v>
      </c>
      <c r="BB67" t="s">
        <v>902</v>
      </c>
      <c r="BC67" s="6">
        <v>39465</v>
      </c>
      <c r="BG67">
        <v>30</v>
      </c>
      <c r="BH67" s="15">
        <f t="shared" ref="BH67:BH130" ca="1" si="1">TODAY()-BC67</f>
        <v>1144</v>
      </c>
      <c r="BI67" s="15"/>
      <c r="BJ67" s="15"/>
    </row>
    <row r="68" spans="1:63" hidden="1" x14ac:dyDescent="0.2">
      <c r="A68">
        <v>27192998</v>
      </c>
      <c r="B68" s="2" t="str">
        <f>HYPERLINK("http://www.windermere.com/index.cfm?fuseaction=Listing.ListingDetail&amp;ListingID=18876585","Active")</f>
        <v>Active</v>
      </c>
      <c r="D68" t="s">
        <v>42</v>
      </c>
      <c r="E68" t="s">
        <v>123</v>
      </c>
      <c r="F68" s="9">
        <v>349500</v>
      </c>
      <c r="G68" t="s">
        <v>124</v>
      </c>
      <c r="I68">
        <v>6408</v>
      </c>
      <c r="J68">
        <v>2</v>
      </c>
      <c r="K68">
        <v>1</v>
      </c>
      <c r="M68" s="2" t="str">
        <f>HYPERLINK("http://www.windermere.com/index.cfm?fuseaction=Listing.MapPropertyInteractive&amp;ListingID=18876585&amp;resize=true&amp;windowWidth=800&amp;windowHeight=600","Map")</f>
        <v>Map</v>
      </c>
      <c r="O68" s="2" t="str">
        <f>HYPERLINK("http://www.windermere.com/index.cfm?fuseaction=Listing.MultiImageViewer&amp;ListingID=18876585&amp;ln=27192998&amp;pub_mls=1","More")</f>
        <v>More</v>
      </c>
      <c r="AI68" t="s">
        <v>66</v>
      </c>
      <c r="AJ68">
        <v>98133</v>
      </c>
      <c r="AS68" t="s">
        <v>465</v>
      </c>
      <c r="AT68">
        <v>18876585</v>
      </c>
      <c r="AU68" s="10">
        <v>39495</v>
      </c>
      <c r="BB68" t="s">
        <v>902</v>
      </c>
      <c r="BC68" s="6">
        <v>39382</v>
      </c>
      <c r="BG68">
        <v>113</v>
      </c>
      <c r="BH68" s="15">
        <f t="shared" ca="1" si="1"/>
        <v>1227</v>
      </c>
      <c r="BI68" s="15"/>
      <c r="BJ68" s="15"/>
    </row>
    <row r="69" spans="1:63" hidden="1" x14ac:dyDescent="0.2">
      <c r="A69">
        <v>27203216</v>
      </c>
      <c r="B69" s="2" t="str">
        <f>HYPERLINK("http://www.windermere.com/index.cfm?fuseaction=Listing.ListingDetail&amp;ListingID=19239109","Active")</f>
        <v>Active</v>
      </c>
      <c r="D69" t="s">
        <v>63</v>
      </c>
      <c r="E69" t="s">
        <v>318</v>
      </c>
      <c r="F69" s="9">
        <v>349500</v>
      </c>
      <c r="G69" t="s">
        <v>177</v>
      </c>
      <c r="H69">
        <v>840</v>
      </c>
      <c r="I69">
        <v>4800</v>
      </c>
      <c r="J69">
        <v>2</v>
      </c>
      <c r="K69">
        <v>1</v>
      </c>
      <c r="M69" s="2" t="str">
        <f>HYPERLINK("http://www.windermere.com/index.cfm?fuseaction=Listing.MapPropertyInteractive&amp;ListingID=19239109&amp;resize=true&amp;windowWidth=800&amp;windowHeight=600","Map")</f>
        <v>Map</v>
      </c>
      <c r="O69" s="2" t="str">
        <f>HYPERLINK("http://www.windermere.com/index.cfm?fuseaction=Listing.MultiImageViewer&amp;ListingID=19239109&amp;ln=27203216&amp;pub_mls=1","More")</f>
        <v>More</v>
      </c>
      <c r="P69" t="s">
        <v>44</v>
      </c>
      <c r="AI69" t="s">
        <v>66</v>
      </c>
      <c r="AJ69">
        <v>98117</v>
      </c>
      <c r="AS69" t="s">
        <v>319</v>
      </c>
      <c r="AT69">
        <v>19239109</v>
      </c>
      <c r="AU69" s="10">
        <v>39495</v>
      </c>
      <c r="BB69" t="s">
        <v>902</v>
      </c>
      <c r="BC69" s="6">
        <v>39402</v>
      </c>
      <c r="BG69">
        <v>93</v>
      </c>
      <c r="BH69" s="15">
        <f t="shared" ca="1" si="1"/>
        <v>1207</v>
      </c>
      <c r="BI69" s="15"/>
      <c r="BJ69" s="15"/>
    </row>
    <row r="70" spans="1:63" hidden="1" x14ac:dyDescent="0.2">
      <c r="A70">
        <v>28019576</v>
      </c>
      <c r="B70" s="2" t="str">
        <f>HYPERLINK("http://www.windermere.com/index.cfm?fuseaction=Listing.ListingDetail&amp;ListingID=19310679","Active")</f>
        <v>Active</v>
      </c>
      <c r="D70" t="s">
        <v>70</v>
      </c>
      <c r="E70" t="s">
        <v>468</v>
      </c>
      <c r="F70" s="11">
        <v>344888</v>
      </c>
      <c r="G70" t="s">
        <v>147</v>
      </c>
      <c r="H70" s="1">
        <v>1662</v>
      </c>
      <c r="J70">
        <v>3</v>
      </c>
      <c r="K70">
        <v>2.25</v>
      </c>
      <c r="M70" s="2" t="str">
        <f>HYPERLINK("http://www.windermere.com/index.cfm?fuseaction=Listing.MapPropertyInteractive&amp;ListingID=19310679&amp;resize=true&amp;windowWidth=800&amp;windowHeight=600","Map")</f>
        <v>Map</v>
      </c>
      <c r="O70" s="2" t="str">
        <f>HYPERLINK("http://www.windermere.com/index.cfm?fuseaction=Listing.MultiImageViewer&amp;ListingID=19310679&amp;ln=28019576&amp;pub_mls=1","More")</f>
        <v>More</v>
      </c>
      <c r="AI70" t="s">
        <v>66</v>
      </c>
      <c r="AJ70">
        <v>98133</v>
      </c>
      <c r="AS70" t="s">
        <v>469</v>
      </c>
      <c r="AT70">
        <v>19310679</v>
      </c>
      <c r="AU70" s="10">
        <v>39495</v>
      </c>
      <c r="BB70" t="s">
        <v>902</v>
      </c>
      <c r="BC70" s="6">
        <v>39479</v>
      </c>
      <c r="BG70">
        <v>16</v>
      </c>
      <c r="BH70" s="15">
        <f t="shared" ca="1" si="1"/>
        <v>1130</v>
      </c>
      <c r="BI70" s="15"/>
      <c r="BJ70" s="15"/>
    </row>
    <row r="71" spans="1:63" hidden="1" x14ac:dyDescent="0.2">
      <c r="A71">
        <v>28023734</v>
      </c>
      <c r="B71" s="4" t="str">
        <f>HYPERLINK("http://www.windermere.com/index.cfm?fuseaction=Listing.ListingDetail&amp;ListingID=19344675","Subject To Inspection")</f>
        <v>Subject To Inspection</v>
      </c>
      <c r="D71" t="s">
        <v>184</v>
      </c>
      <c r="E71" t="s">
        <v>466</v>
      </c>
      <c r="F71" s="9">
        <v>349888</v>
      </c>
      <c r="G71" t="s">
        <v>147</v>
      </c>
      <c r="H71" s="1">
        <v>1400</v>
      </c>
      <c r="J71">
        <v>3</v>
      </c>
      <c r="K71">
        <v>2</v>
      </c>
      <c r="M71" s="2" t="str">
        <f>HYPERLINK("http://www.windermere.com/index.cfm?fuseaction=Listing.MapPropertyInteractive&amp;ListingID=19344675&amp;resize=true&amp;windowWidth=800&amp;windowHeight=600","Map")</f>
        <v>Map</v>
      </c>
      <c r="O71" s="2" t="str">
        <f>HYPERLINK("http://www.windermere.com/index.cfm?fuseaction=Listing.MultiImageViewer&amp;ListingID=19344675&amp;ln=28023734&amp;pub_mls=1","More")</f>
        <v>More</v>
      </c>
      <c r="P71" t="s">
        <v>44</v>
      </c>
      <c r="AI71" t="s">
        <v>66</v>
      </c>
      <c r="AJ71">
        <v>98125</v>
      </c>
      <c r="AS71" t="s">
        <v>467</v>
      </c>
      <c r="AT71">
        <v>19344675</v>
      </c>
      <c r="AU71" s="10">
        <v>39495</v>
      </c>
      <c r="BB71" t="s">
        <v>902</v>
      </c>
      <c r="BC71" s="6">
        <v>39486</v>
      </c>
      <c r="BG71">
        <v>9</v>
      </c>
      <c r="BH71" s="15">
        <f t="shared" ca="1" si="1"/>
        <v>1123</v>
      </c>
      <c r="BI71" s="15"/>
      <c r="BJ71" s="15"/>
    </row>
    <row r="72" spans="1:63" hidden="1" x14ac:dyDescent="0.2">
      <c r="A72">
        <v>28018165</v>
      </c>
      <c r="B72" s="2" t="str">
        <f>HYPERLINK("http://www.windermere.com/index.cfm?fuseaction=Listing.ListingDetail&amp;ListingID=19336068","Active")</f>
        <v>Active</v>
      </c>
      <c r="C72">
        <v>705</v>
      </c>
      <c r="D72" t="s">
        <v>70</v>
      </c>
      <c r="E72" t="s">
        <v>470</v>
      </c>
      <c r="F72" s="11">
        <v>339900</v>
      </c>
      <c r="G72" t="s">
        <v>162</v>
      </c>
      <c r="H72">
        <v>870</v>
      </c>
      <c r="I72">
        <v>5950</v>
      </c>
      <c r="J72">
        <v>2</v>
      </c>
      <c r="K72">
        <v>1</v>
      </c>
      <c r="M72" s="2" t="str">
        <f>HYPERLINK("http://www.windermere.com/index.cfm?fuseaction=Listing.MapPropertyInteractive&amp;ListingID=19336068&amp;resize=true&amp;windowWidth=800&amp;windowHeight=600","Map")</f>
        <v>Map</v>
      </c>
      <c r="N72" s="2" t="str">
        <f>HYPERLINK("http://locmedia.nwmls.com/DO_NOT_LINK/bigphoto/165/28018165.jpg?tsp=20080207085957","Photo")</f>
        <v>Photo</v>
      </c>
      <c r="O72" s="2" t="str">
        <f>HYPERLINK("http://www.windermere.com/index.cfm?fuseaction=Listing.MultiImageViewer&amp;ListingID=19336068&amp;ln=28018165&amp;pub_mls=1","More")</f>
        <v>More</v>
      </c>
      <c r="P72" t="s">
        <v>44</v>
      </c>
      <c r="Q72" t="s">
        <v>56</v>
      </c>
      <c r="R72" t="s">
        <v>67</v>
      </c>
      <c r="S72" t="s">
        <v>104</v>
      </c>
      <c r="T72" t="s">
        <v>50</v>
      </c>
      <c r="X72" t="s">
        <v>47</v>
      </c>
      <c r="Y72" t="s">
        <v>48</v>
      </c>
      <c r="Z72" t="s">
        <v>102</v>
      </c>
      <c r="AB72">
        <v>2007</v>
      </c>
      <c r="AC72">
        <v>2325</v>
      </c>
      <c r="AD72" t="s">
        <v>905</v>
      </c>
      <c r="AF72" t="s">
        <v>906</v>
      </c>
      <c r="AG72">
        <v>47.729663000000002</v>
      </c>
      <c r="AH72">
        <v>-122.35689499999999</v>
      </c>
      <c r="AI72" t="s">
        <v>66</v>
      </c>
      <c r="AJ72">
        <v>98133</v>
      </c>
      <c r="AK72" t="s">
        <v>41</v>
      </c>
      <c r="AL72" t="s">
        <v>40</v>
      </c>
      <c r="AM72" t="s">
        <v>40</v>
      </c>
      <c r="AO72">
        <v>0.13700000000000001</v>
      </c>
      <c r="AP72" t="s">
        <v>907</v>
      </c>
      <c r="AQ72">
        <v>504</v>
      </c>
      <c r="AR72" t="s">
        <v>81</v>
      </c>
      <c r="AS72" t="s">
        <v>471</v>
      </c>
      <c r="AT72">
        <v>19336068</v>
      </c>
      <c r="AU72" s="10">
        <v>39495</v>
      </c>
      <c r="BA72" t="s">
        <v>902</v>
      </c>
      <c r="BB72" t="s">
        <v>902</v>
      </c>
      <c r="BC72" s="6">
        <v>39485</v>
      </c>
      <c r="BG72">
        <v>10</v>
      </c>
      <c r="BH72" s="15">
        <f t="shared" ca="1" si="1"/>
        <v>1124</v>
      </c>
      <c r="BI72" s="15"/>
      <c r="BJ72" s="15"/>
    </row>
    <row r="73" spans="1:63" hidden="1" x14ac:dyDescent="0.2">
      <c r="A73">
        <v>28028118</v>
      </c>
      <c r="B73" s="2" t="str">
        <f>HYPERLINK("http://www.windermere.com/index.cfm?fuseaction=Listing.ListingDetail&amp;ListingID=19378000","Active")</f>
        <v>Active</v>
      </c>
      <c r="D73" t="s">
        <v>63</v>
      </c>
      <c r="E73" t="s">
        <v>320</v>
      </c>
      <c r="F73" s="9">
        <v>349900</v>
      </c>
      <c r="G73" t="s">
        <v>239</v>
      </c>
      <c r="H73" s="1">
        <v>1030</v>
      </c>
      <c r="J73">
        <v>2</v>
      </c>
      <c r="K73">
        <v>1.5</v>
      </c>
      <c r="M73" s="2" t="str">
        <f>HYPERLINK("http://www.windermere.com/index.cfm?fuseaction=Listing.MapPropertyInteractive&amp;ListingID=19378000&amp;resize=true&amp;windowWidth=800&amp;windowHeight=600","Map")</f>
        <v>Map</v>
      </c>
      <c r="O73" s="2" t="str">
        <f>HYPERLINK("http://www.windermere.com/index.cfm?fuseaction=Listing.MultiImageViewer&amp;ListingID=19378000&amp;ln=28028118&amp;pub_mls=1","More")</f>
        <v>More</v>
      </c>
      <c r="AI73" t="s">
        <v>66</v>
      </c>
      <c r="AJ73">
        <v>98117</v>
      </c>
      <c r="AS73" t="s">
        <v>321</v>
      </c>
      <c r="AT73">
        <v>19378000</v>
      </c>
      <c r="AU73" s="10">
        <v>39495</v>
      </c>
      <c r="BB73" t="s">
        <v>902</v>
      </c>
      <c r="BC73" s="6">
        <v>39493</v>
      </c>
      <c r="BG73">
        <v>2</v>
      </c>
      <c r="BH73" s="15">
        <f t="shared" ca="1" si="1"/>
        <v>1116</v>
      </c>
      <c r="BI73" s="15"/>
      <c r="BJ73" s="15"/>
    </row>
    <row r="74" spans="1:63" hidden="1" x14ac:dyDescent="0.2">
      <c r="A74">
        <v>27186397</v>
      </c>
      <c r="B74" s="13" t="str">
        <f>HYPERLINK("http://www.windermere.com/index.cfm?fuseaction=Listing.ListingDetail&amp;ListingID=19155004","Subject To Inspection")</f>
        <v>Subject To Inspection</v>
      </c>
      <c r="D74" t="s">
        <v>188</v>
      </c>
      <c r="E74" t="s">
        <v>478</v>
      </c>
      <c r="F74" s="9">
        <v>349950</v>
      </c>
      <c r="G74" t="s">
        <v>130</v>
      </c>
      <c r="H74" s="1">
        <v>1410</v>
      </c>
      <c r="I74">
        <v>5775</v>
      </c>
      <c r="J74">
        <v>3</v>
      </c>
      <c r="K74">
        <v>1</v>
      </c>
      <c r="M74" s="2" t="str">
        <f>HYPERLINK("http://www.windermere.com/index.cfm?fuseaction=Listing.MapPropertyInteractive&amp;ListingID=19155004&amp;resize=true&amp;windowWidth=800&amp;windowHeight=600","Map")</f>
        <v>Map</v>
      </c>
      <c r="O74" s="2" t="str">
        <f>HYPERLINK("http://www.windermere.com/index.cfm?fuseaction=Listing.MultiImageViewer&amp;ListingID=19155004&amp;ln=27186397&amp;pub_mls=1","More")</f>
        <v>More</v>
      </c>
      <c r="AI74" t="s">
        <v>66</v>
      </c>
      <c r="AJ74">
        <v>98125</v>
      </c>
      <c r="AS74" t="s">
        <v>479</v>
      </c>
      <c r="AT74">
        <v>19155004</v>
      </c>
      <c r="AU74" s="10">
        <v>39495</v>
      </c>
      <c r="BB74" t="s">
        <v>902</v>
      </c>
      <c r="BC74" s="6">
        <v>39370</v>
      </c>
      <c r="BG74">
        <v>125</v>
      </c>
      <c r="BH74" s="15">
        <f t="shared" ca="1" si="1"/>
        <v>1239</v>
      </c>
      <c r="BI74" s="15"/>
      <c r="BJ74" s="15"/>
    </row>
    <row r="75" spans="1:63" hidden="1" x14ac:dyDescent="0.2">
      <c r="A75">
        <v>27213150</v>
      </c>
      <c r="B75" s="2" t="str">
        <f>HYPERLINK("http://www.windermere.com/index.cfm?fuseaction=Listing.ListingDetail&amp;ListingID=19098221","Active")</f>
        <v>Active</v>
      </c>
      <c r="D75" t="s">
        <v>99</v>
      </c>
      <c r="E75" t="s">
        <v>322</v>
      </c>
      <c r="F75" s="9">
        <v>349950</v>
      </c>
      <c r="G75" t="s">
        <v>323</v>
      </c>
      <c r="I75">
        <v>5000</v>
      </c>
      <c r="J75">
        <v>4</v>
      </c>
      <c r="K75">
        <v>1.5</v>
      </c>
      <c r="M75" s="2" t="str">
        <f>HYPERLINK("http://www.windermere.com/index.cfm?fuseaction=Listing.MapPropertyInteractive&amp;ListingID=19098221&amp;resize=true&amp;windowWidth=800&amp;windowHeight=600","Map")</f>
        <v>Map</v>
      </c>
      <c r="AI75" t="s">
        <v>66</v>
      </c>
      <c r="AJ75">
        <v>98117</v>
      </c>
      <c r="AS75" t="s">
        <v>324</v>
      </c>
      <c r="AT75">
        <v>19098221</v>
      </c>
      <c r="AU75" s="10">
        <v>39495</v>
      </c>
      <c r="BB75" t="s">
        <v>902</v>
      </c>
      <c r="BC75" s="6">
        <v>39430</v>
      </c>
      <c r="BG75">
        <v>65</v>
      </c>
      <c r="BH75" s="15">
        <f t="shared" ca="1" si="1"/>
        <v>1179</v>
      </c>
      <c r="BI75" s="15"/>
      <c r="BJ75" s="15"/>
    </row>
    <row r="76" spans="1:63" hidden="1" x14ac:dyDescent="0.2">
      <c r="A76">
        <v>28001207</v>
      </c>
      <c r="B76" s="2" t="str">
        <f>HYPERLINK("http://www.windermere.com/index.cfm?fuseaction=Listing.ListingDetail&amp;ListingID=19149402","Subject To Inspection")</f>
        <v>Subject To Inspection</v>
      </c>
      <c r="D76" t="s">
        <v>100</v>
      </c>
      <c r="E76" t="s">
        <v>472</v>
      </c>
      <c r="F76" s="9">
        <v>349950</v>
      </c>
      <c r="G76" t="s">
        <v>433</v>
      </c>
      <c r="J76">
        <v>2</v>
      </c>
      <c r="K76">
        <v>1</v>
      </c>
      <c r="M76" s="2" t="str">
        <f>HYPERLINK("http://www.windermere.com/index.cfm?fuseaction=Listing.MapPropertyInteractive&amp;ListingID=19149402&amp;resize=true&amp;windowWidth=800&amp;windowHeight=600","Map")</f>
        <v>Map</v>
      </c>
      <c r="O76" s="2" t="str">
        <f>HYPERLINK("http://www.windermere.com/index.cfm?fuseaction=Listing.MultiImageViewer&amp;ListingID=19149402&amp;ln=28001207&amp;pub_mls=1","More")</f>
        <v>More</v>
      </c>
      <c r="P76" t="s">
        <v>44</v>
      </c>
      <c r="AI76" t="s">
        <v>66</v>
      </c>
      <c r="AJ76">
        <v>98103</v>
      </c>
      <c r="AS76" t="s">
        <v>473</v>
      </c>
      <c r="AT76">
        <v>19149402</v>
      </c>
      <c r="AU76" s="10">
        <v>39495</v>
      </c>
      <c r="BB76" t="s">
        <v>902</v>
      </c>
      <c r="BC76" s="6">
        <v>39449</v>
      </c>
      <c r="BG76">
        <v>46</v>
      </c>
      <c r="BH76" s="15">
        <f t="shared" ca="1" si="1"/>
        <v>1160</v>
      </c>
      <c r="BI76" s="15"/>
      <c r="BJ76" s="15"/>
      <c r="BK76" t="str">
        <f>B76</f>
        <v>Subject To Inspection</v>
      </c>
    </row>
    <row r="77" spans="1:63" hidden="1" x14ac:dyDescent="0.2">
      <c r="A77">
        <v>28001764</v>
      </c>
      <c r="B77" s="2" t="str">
        <f>HYPERLINK("http://www.windermere.com/index.cfm?fuseaction=Listing.ListingDetail&amp;ListingID=19154257","Active")</f>
        <v>Active</v>
      </c>
      <c r="D77" t="s">
        <v>956</v>
      </c>
      <c r="E77" t="s">
        <v>1031</v>
      </c>
      <c r="F77" s="9">
        <v>349950</v>
      </c>
      <c r="G77" t="s">
        <v>147</v>
      </c>
      <c r="H77" s="1">
        <v>1762</v>
      </c>
      <c r="J77">
        <v>3</v>
      </c>
      <c r="K77">
        <v>2</v>
      </c>
      <c r="M77" s="2" t="str">
        <f>HYPERLINK("http://www.windermere.com/index.cfm?fuseaction=Listing.MapPropertyInteractive&amp;ListingID=19154257&amp;resize=true&amp;windowWidth=800&amp;windowHeight=600","Map")</f>
        <v>Map</v>
      </c>
      <c r="O77" s="2" t="str">
        <f>HYPERLINK("http://www.windermere.com/index.cfm?fuseaction=Listing.MultiImageViewer&amp;ListingID=19154257&amp;ln=28001764&amp;pub_mls=1","More")</f>
        <v>More</v>
      </c>
      <c r="AI77" t="s">
        <v>66</v>
      </c>
      <c r="AJ77">
        <v>98125</v>
      </c>
      <c r="AS77" t="s">
        <v>1032</v>
      </c>
      <c r="AT77">
        <v>19154257</v>
      </c>
      <c r="AU77" s="10">
        <v>39495</v>
      </c>
      <c r="BB77" t="s">
        <v>902</v>
      </c>
      <c r="BC77" s="6">
        <v>39450</v>
      </c>
      <c r="BG77">
        <v>45</v>
      </c>
      <c r="BH77" s="15">
        <f t="shared" ca="1" si="1"/>
        <v>1159</v>
      </c>
      <c r="BI77" s="15"/>
      <c r="BJ77" s="15"/>
    </row>
    <row r="78" spans="1:63" hidden="1" x14ac:dyDescent="0.2">
      <c r="A78">
        <v>28006116</v>
      </c>
      <c r="B78" s="13" t="str">
        <f>HYPERLINK("http://www.windermere.com/index.cfm?fuseaction=Listing.ListingDetail&amp;ListingID=19189952","Subject To Inspection")</f>
        <v>Subject To Inspection</v>
      </c>
      <c r="D78" t="s">
        <v>908</v>
      </c>
      <c r="E78" t="s">
        <v>476</v>
      </c>
      <c r="F78" s="9">
        <v>349950</v>
      </c>
      <c r="G78" t="s">
        <v>147</v>
      </c>
      <c r="H78" s="1">
        <v>1477</v>
      </c>
      <c r="J78">
        <v>3</v>
      </c>
      <c r="K78">
        <v>2.5</v>
      </c>
      <c r="M78" s="2" t="str">
        <f>HYPERLINK("http://www.windermere.com/index.cfm?fuseaction=Listing.MapPropertyInteractive&amp;ListingID=19189952&amp;resize=true&amp;windowWidth=800&amp;windowHeight=600","Map")</f>
        <v>Map</v>
      </c>
      <c r="O78" s="2" t="str">
        <f>HYPERLINK("http://www.windermere.com/index.cfm?fuseaction=Listing.MultiImageViewer&amp;ListingID=19189952&amp;ln=28006116&amp;pub_mls=1","More")</f>
        <v>More</v>
      </c>
      <c r="AI78" t="s">
        <v>66</v>
      </c>
      <c r="AJ78">
        <v>98133</v>
      </c>
      <c r="AS78" t="s">
        <v>477</v>
      </c>
      <c r="AT78">
        <v>19189952</v>
      </c>
      <c r="AU78" s="10">
        <v>39495</v>
      </c>
      <c r="BB78" t="s">
        <v>902</v>
      </c>
      <c r="BC78" s="6">
        <v>39456</v>
      </c>
      <c r="BG78">
        <v>39</v>
      </c>
      <c r="BH78" s="15">
        <f t="shared" ca="1" si="1"/>
        <v>1153</v>
      </c>
      <c r="BI78" s="15"/>
      <c r="BJ78" s="15"/>
    </row>
    <row r="79" spans="1:63" hidden="1" x14ac:dyDescent="0.2">
      <c r="A79">
        <v>28006458</v>
      </c>
      <c r="B79" s="2" t="str">
        <f>HYPERLINK("http://www.windermere.com/index.cfm?fuseaction=Listing.ListingDetail&amp;ListingID=19195065","Active")</f>
        <v>Active</v>
      </c>
      <c r="D79" t="s">
        <v>60</v>
      </c>
      <c r="E79" t="s">
        <v>474</v>
      </c>
      <c r="F79" s="9">
        <v>349950</v>
      </c>
      <c r="G79" t="s">
        <v>147</v>
      </c>
      <c r="H79" s="1">
        <v>1353</v>
      </c>
      <c r="J79">
        <v>3</v>
      </c>
      <c r="K79">
        <v>2.5</v>
      </c>
      <c r="M79" s="2" t="str">
        <f>HYPERLINK("http://www.windermere.com/index.cfm?fuseaction=Listing.MapPropertyInteractive&amp;ListingID=19195065&amp;resize=true&amp;windowWidth=800&amp;windowHeight=600","Map")</f>
        <v>Map</v>
      </c>
      <c r="O79" s="2" t="str">
        <f>HYPERLINK("http://www.windermere.com/index.cfm?fuseaction=viewGallery.Home&amp;customTourID=204136&amp;wvt=0","More")</f>
        <v>More</v>
      </c>
      <c r="AI79" t="s">
        <v>66</v>
      </c>
      <c r="AJ79">
        <v>98103</v>
      </c>
      <c r="AS79" t="s">
        <v>475</v>
      </c>
      <c r="AT79">
        <v>19195065</v>
      </c>
      <c r="AU79" s="10">
        <v>39495</v>
      </c>
      <c r="BB79" t="s">
        <v>902</v>
      </c>
      <c r="BC79" s="6">
        <v>39457</v>
      </c>
      <c r="BG79">
        <v>38</v>
      </c>
      <c r="BH79" s="15">
        <f t="shared" ca="1" si="1"/>
        <v>1152</v>
      </c>
      <c r="BI79" s="15"/>
      <c r="BJ79" s="15"/>
    </row>
    <row r="80" spans="1:63" hidden="1" x14ac:dyDescent="0.2">
      <c r="A80">
        <v>28011510</v>
      </c>
      <c r="B80" s="2" t="str">
        <f>HYPERLINK("http://www.windermere.com/index.cfm?fuseaction=Listing.ListingDetail&amp;ListingID=19246215","Active")</f>
        <v>Active</v>
      </c>
      <c r="D80" t="s">
        <v>99</v>
      </c>
      <c r="E80" t="s">
        <v>325</v>
      </c>
      <c r="F80" s="11">
        <v>335000</v>
      </c>
      <c r="G80" t="s">
        <v>137</v>
      </c>
      <c r="H80" s="1">
        <v>1020</v>
      </c>
      <c r="I80">
        <v>6120</v>
      </c>
      <c r="J80">
        <v>2</v>
      </c>
      <c r="K80">
        <v>1</v>
      </c>
      <c r="M80" s="2" t="str">
        <f>HYPERLINK("http://www.windermere.com/index.cfm?fuseaction=Listing.MapPropertyInteractive&amp;ListingID=19246215&amp;resize=true&amp;windowWidth=800&amp;windowHeight=600","Map")</f>
        <v>Map</v>
      </c>
      <c r="O80" s="2" t="str">
        <f>HYPERLINK("http://www.windermere.com/index.cfm?fuseaction=viewGallery.Home&amp;customTourID=204990&amp;wvt=0","More")</f>
        <v>More</v>
      </c>
      <c r="AI80" t="s">
        <v>66</v>
      </c>
      <c r="AJ80">
        <v>98117</v>
      </c>
      <c r="AS80" t="s">
        <v>326</v>
      </c>
      <c r="AT80">
        <v>19246215</v>
      </c>
      <c r="AU80" s="10">
        <v>39495</v>
      </c>
      <c r="BB80" t="s">
        <v>902</v>
      </c>
      <c r="BC80" s="6">
        <v>39465</v>
      </c>
      <c r="BD80">
        <v>4</v>
      </c>
      <c r="BE80" t="s">
        <v>1332</v>
      </c>
      <c r="BF80" t="s">
        <v>1276</v>
      </c>
      <c r="BG80">
        <v>30</v>
      </c>
      <c r="BH80" s="15">
        <f t="shared" ca="1" si="1"/>
        <v>1144</v>
      </c>
      <c r="BI80" s="15"/>
      <c r="BJ80" s="15"/>
    </row>
    <row r="81" spans="1:63" hidden="1" x14ac:dyDescent="0.2">
      <c r="A81">
        <v>28004194</v>
      </c>
      <c r="B81" s="2" t="str">
        <f>HYPERLINK("http://www.windermere.com/index.cfm?fuseaction=Listing.ListingDetail&amp;ListingID=19185353","Active")</f>
        <v>Active</v>
      </c>
      <c r="D81" t="s">
        <v>55</v>
      </c>
      <c r="E81" t="s">
        <v>480</v>
      </c>
      <c r="F81" s="9">
        <v>350000</v>
      </c>
      <c r="G81" t="s">
        <v>161</v>
      </c>
      <c r="H81">
        <v>740</v>
      </c>
      <c r="I81">
        <v>6350</v>
      </c>
      <c r="J81">
        <v>2</v>
      </c>
      <c r="K81">
        <v>1</v>
      </c>
      <c r="M81" s="2" t="str">
        <f>HYPERLINK("http://www.windermere.com/index.cfm?fuseaction=Listing.MapPropertyInteractive&amp;ListingID=19185353&amp;resize=true&amp;windowWidth=800&amp;windowHeight=600","Map")</f>
        <v>Map</v>
      </c>
      <c r="O81" s="2" t="str">
        <f>HYPERLINK("http://www.windermere.com/index.cfm?fuseaction=viewGallery.Home&amp;customTourID=203947&amp;wvt=0","More")</f>
        <v>More</v>
      </c>
      <c r="AI81" t="s">
        <v>66</v>
      </c>
      <c r="AJ81">
        <v>98103</v>
      </c>
      <c r="AS81" t="s">
        <v>481</v>
      </c>
      <c r="AT81">
        <v>19185353</v>
      </c>
      <c r="AU81" s="10">
        <v>39495</v>
      </c>
      <c r="BB81" t="s">
        <v>902</v>
      </c>
      <c r="BC81" s="6">
        <v>39456</v>
      </c>
      <c r="BG81">
        <v>39</v>
      </c>
      <c r="BH81" s="15">
        <f t="shared" ca="1" si="1"/>
        <v>1153</v>
      </c>
      <c r="BI81" s="15"/>
      <c r="BJ81" s="15"/>
    </row>
    <row r="82" spans="1:63" hidden="1" x14ac:dyDescent="0.2">
      <c r="A82">
        <v>28025026</v>
      </c>
      <c r="B82" s="2" t="str">
        <f>HYPERLINK("http://www.windermere.com/index.cfm?fuseaction=Listing.ListingDetail&amp;ListingID=19361620","Active")</f>
        <v>Active</v>
      </c>
      <c r="D82" t="s">
        <v>63</v>
      </c>
      <c r="E82" t="s">
        <v>327</v>
      </c>
      <c r="F82" s="9">
        <v>350000</v>
      </c>
      <c r="G82" t="s">
        <v>137</v>
      </c>
      <c r="H82" s="1">
        <v>1280</v>
      </c>
      <c r="I82">
        <v>4120</v>
      </c>
      <c r="J82">
        <v>2</v>
      </c>
      <c r="K82">
        <v>1</v>
      </c>
      <c r="M82" s="2" t="str">
        <f>HYPERLINK("http://www.windermere.com/index.cfm?fuseaction=Listing.MapPropertyInteractive&amp;ListingID=19361620&amp;resize=true&amp;windowWidth=800&amp;windowHeight=600","Map")</f>
        <v>Map</v>
      </c>
      <c r="O82" s="2" t="str">
        <f>HYPERLINK("http://www.windermere.com/index.cfm?fuseaction=viewGallery.Home&amp;customTourID=207030&amp;wvt=0","More")</f>
        <v>More</v>
      </c>
      <c r="AI82" t="s">
        <v>66</v>
      </c>
      <c r="AJ82">
        <v>98117</v>
      </c>
      <c r="AS82" t="s">
        <v>328</v>
      </c>
      <c r="AT82">
        <v>19361620</v>
      </c>
      <c r="AU82" s="10">
        <v>39495</v>
      </c>
      <c r="BB82" t="s">
        <v>902</v>
      </c>
      <c r="BC82" s="6">
        <v>39491</v>
      </c>
      <c r="BG82">
        <v>4</v>
      </c>
      <c r="BH82" s="15">
        <f t="shared" ca="1" si="1"/>
        <v>1118</v>
      </c>
      <c r="BI82" s="15"/>
      <c r="BJ82" s="15"/>
    </row>
    <row r="83" spans="1:63" hidden="1" x14ac:dyDescent="0.2">
      <c r="A83">
        <v>27183222</v>
      </c>
      <c r="B83" s="2" t="str">
        <f>HYPERLINK("http://www.windermere.com/index.cfm?fuseaction=Listing.ListingDetail&amp;ListingID=18789512","Contingent")</f>
        <v>Contingent</v>
      </c>
      <c r="D83" t="s">
        <v>55</v>
      </c>
      <c r="E83" t="s">
        <v>482</v>
      </c>
      <c r="F83" s="9">
        <v>351000</v>
      </c>
      <c r="G83" t="s">
        <v>144</v>
      </c>
      <c r="H83" s="1">
        <v>1020</v>
      </c>
      <c r="I83">
        <v>4133</v>
      </c>
      <c r="J83">
        <v>2</v>
      </c>
      <c r="K83">
        <v>1</v>
      </c>
      <c r="M83" s="2" t="str">
        <f>HYPERLINK("http://www.windermere.com/index.cfm?fuseaction=Listing.MapPropertyInteractive&amp;ListingID=18789512&amp;resize=true&amp;windowWidth=800&amp;windowHeight=600","Map")</f>
        <v>Map</v>
      </c>
      <c r="O83" s="2" t="str">
        <f>HYPERLINK("http://www.windermere.com/index.cfm?fuseaction=Listing.MultiImageViewer&amp;ListingID=18789512&amp;ln=27183222&amp;pub_mls=1","More")</f>
        <v>More</v>
      </c>
      <c r="AI83" t="s">
        <v>66</v>
      </c>
      <c r="AJ83">
        <v>98133</v>
      </c>
      <c r="AS83" t="s">
        <v>483</v>
      </c>
      <c r="AT83">
        <v>18789512</v>
      </c>
      <c r="AU83" s="10">
        <v>39495</v>
      </c>
      <c r="BB83" t="s">
        <v>902</v>
      </c>
      <c r="BC83" s="6">
        <v>39365</v>
      </c>
      <c r="BG83">
        <v>130</v>
      </c>
      <c r="BH83" s="15">
        <f t="shared" ca="1" si="1"/>
        <v>1244</v>
      </c>
      <c r="BI83" s="15"/>
      <c r="BJ83" s="15"/>
      <c r="BK83" t="str">
        <f>B83</f>
        <v>Contingent</v>
      </c>
    </row>
    <row r="84" spans="1:63" hidden="1" x14ac:dyDescent="0.2">
      <c r="A84">
        <v>27206666</v>
      </c>
      <c r="B84" s="2" t="str">
        <f>HYPERLINK("http://www.windermere.com/index.cfm?fuseaction=Listing.ListingDetail&amp;ListingID=19021437","Active")</f>
        <v>Active</v>
      </c>
      <c r="D84" t="s">
        <v>99</v>
      </c>
      <c r="E84" t="s">
        <v>329</v>
      </c>
      <c r="F84" s="9">
        <v>354950</v>
      </c>
      <c r="G84" t="s">
        <v>219</v>
      </c>
      <c r="H84">
        <v>975</v>
      </c>
      <c r="I84">
        <v>4000</v>
      </c>
      <c r="J84">
        <v>3</v>
      </c>
      <c r="K84">
        <v>1.5</v>
      </c>
      <c r="M84" s="2" t="str">
        <f>HYPERLINK("http://www.windermere.com/index.cfm?fuseaction=Listing.MapPropertyInteractive&amp;ListingID=19021437&amp;resize=true&amp;windowWidth=800&amp;windowHeight=600","Map")</f>
        <v>Map</v>
      </c>
      <c r="O84" s="2" t="str">
        <f>HYPERLINK("http://www.windermere.com/index.cfm?fuseaction=Listing.MultiImageViewer&amp;ListingID=19021437&amp;ln=27206666&amp;pub_mls=1","More")</f>
        <v>More</v>
      </c>
      <c r="AI84" t="s">
        <v>66</v>
      </c>
      <c r="AJ84">
        <v>98117</v>
      </c>
      <c r="AS84" t="s">
        <v>330</v>
      </c>
      <c r="AT84">
        <v>19021437</v>
      </c>
      <c r="AU84" s="10">
        <v>39495</v>
      </c>
      <c r="BB84" t="s">
        <v>902</v>
      </c>
      <c r="BC84" s="6">
        <v>39414</v>
      </c>
      <c r="BG84">
        <v>81</v>
      </c>
      <c r="BH84" s="15">
        <f t="shared" ca="1" si="1"/>
        <v>1195</v>
      </c>
      <c r="BI84" s="15"/>
      <c r="BJ84" s="15"/>
    </row>
    <row r="85" spans="1:63" hidden="1" x14ac:dyDescent="0.2">
      <c r="A85">
        <v>28023467</v>
      </c>
      <c r="B85" s="2" t="str">
        <f>HYPERLINK("http://www.windermere.com/index.cfm?fuseaction=Listing.ListingDetail&amp;ListingID=19342133","Active")</f>
        <v>Active</v>
      </c>
      <c r="D85" t="s">
        <v>55</v>
      </c>
      <c r="E85" t="s">
        <v>484</v>
      </c>
      <c r="F85" s="9">
        <v>355000</v>
      </c>
      <c r="G85" t="s">
        <v>485</v>
      </c>
      <c r="H85" s="1">
        <v>1460</v>
      </c>
      <c r="I85">
        <v>1376</v>
      </c>
      <c r="J85">
        <v>3</v>
      </c>
      <c r="K85">
        <v>2.25</v>
      </c>
      <c r="M85" s="2" t="str">
        <f>HYPERLINK("http://www.windermere.com/index.cfm?fuseaction=Listing.MapPropertyInteractive&amp;ListingID=19342133&amp;resize=true&amp;windowWidth=800&amp;windowHeight=600","Map")</f>
        <v>Map</v>
      </c>
      <c r="O85" s="2" t="str">
        <f>HYPERLINK("http://www.windermere.com/index.cfm?fuseaction=Listing.MultiImageViewer&amp;ListingID=19342133&amp;ln=28023467&amp;pub_mls=1","More")</f>
        <v>More</v>
      </c>
      <c r="P85" t="s">
        <v>44</v>
      </c>
      <c r="AI85" t="s">
        <v>66</v>
      </c>
      <c r="AJ85">
        <v>98103</v>
      </c>
      <c r="AS85" t="s">
        <v>486</v>
      </c>
      <c r="AT85">
        <v>19342133</v>
      </c>
      <c r="AU85" s="10">
        <v>39495</v>
      </c>
      <c r="BB85" t="s">
        <v>902</v>
      </c>
      <c r="BC85" s="6">
        <v>39486</v>
      </c>
      <c r="BG85">
        <v>9</v>
      </c>
      <c r="BH85" s="15">
        <f t="shared" ca="1" si="1"/>
        <v>1123</v>
      </c>
      <c r="BI85" s="15"/>
      <c r="BJ85" s="15"/>
    </row>
    <row r="86" spans="1:63" hidden="1" x14ac:dyDescent="0.2">
      <c r="A86">
        <v>27211523</v>
      </c>
      <c r="B86" s="2" t="str">
        <f>HYPERLINK("http://www.windermere.com/index.cfm?fuseaction=Listing.ListingDetail&amp;ListingID=19079640","Active")</f>
        <v>Active</v>
      </c>
      <c r="D86" t="s">
        <v>55</v>
      </c>
      <c r="E86" t="s">
        <v>487</v>
      </c>
      <c r="F86" s="9">
        <v>357999</v>
      </c>
      <c r="G86" t="s">
        <v>147</v>
      </c>
      <c r="J86">
        <v>3</v>
      </c>
      <c r="K86">
        <v>2</v>
      </c>
      <c r="M86" s="2" t="str">
        <f>HYPERLINK("http://www.windermere.com/index.cfm?fuseaction=Listing.MapPropertyInteractive&amp;ListingID=19079640&amp;resize=true&amp;windowWidth=800&amp;windowHeight=600","Map")</f>
        <v>Map</v>
      </c>
      <c r="O86" s="2" t="str">
        <f>HYPERLINK("http://www.windermere.com/index.cfm?fuseaction=Listing.MultiImageViewer&amp;ListingID=19079640&amp;ln=27211523&amp;pub_mls=1","More")</f>
        <v>More</v>
      </c>
      <c r="AI86" t="s">
        <v>66</v>
      </c>
      <c r="AJ86">
        <v>98177</v>
      </c>
      <c r="AS86" t="s">
        <v>488</v>
      </c>
      <c r="AT86">
        <v>19079640</v>
      </c>
      <c r="AU86" s="10">
        <v>39495</v>
      </c>
      <c r="BB86" t="s">
        <v>902</v>
      </c>
      <c r="BC86" s="6">
        <v>39427</v>
      </c>
      <c r="BG86">
        <v>68</v>
      </c>
      <c r="BH86" s="15">
        <f t="shared" ca="1" si="1"/>
        <v>1182</v>
      </c>
      <c r="BI86" s="15"/>
      <c r="BJ86" s="15"/>
    </row>
    <row r="87" spans="1:63" hidden="1" x14ac:dyDescent="0.2">
      <c r="A87">
        <v>27160848</v>
      </c>
      <c r="B87" s="2" t="str">
        <f>HYPERLINK("http://www.windermere.com/index.cfm?fuseaction=Listing.ListingDetail&amp;ListingID=18557407","Active")</f>
        <v>Active</v>
      </c>
      <c r="D87" t="s">
        <v>55</v>
      </c>
      <c r="E87" t="s">
        <v>491</v>
      </c>
      <c r="F87" s="9">
        <v>359950</v>
      </c>
      <c r="G87" t="s">
        <v>147</v>
      </c>
      <c r="H87" s="1">
        <v>1350</v>
      </c>
      <c r="J87">
        <v>2</v>
      </c>
      <c r="K87">
        <v>1.5</v>
      </c>
      <c r="M87" s="2" t="str">
        <f>HYPERLINK("http://www.windermere.com/index.cfm?fuseaction=Listing.MapPropertyInteractive&amp;ListingID=18557407&amp;resize=true&amp;windowWidth=800&amp;windowHeight=600","Map")</f>
        <v>Map</v>
      </c>
      <c r="O87" s="2" t="str">
        <f>HYPERLINK("http://www.windermere.com/index.cfm?fuseaction=Listing.MultiImageViewer&amp;ListingID=18557407&amp;ln=27160848&amp;pub_mls=1","More")</f>
        <v>More</v>
      </c>
      <c r="P87" t="s">
        <v>44</v>
      </c>
      <c r="AI87" t="s">
        <v>66</v>
      </c>
      <c r="AJ87">
        <v>98103</v>
      </c>
      <c r="AS87" t="s">
        <v>492</v>
      </c>
      <c r="AT87">
        <v>18557407</v>
      </c>
      <c r="AU87" s="10">
        <v>39495</v>
      </c>
      <c r="BB87" t="s">
        <v>902</v>
      </c>
      <c r="BC87" s="6">
        <v>39327</v>
      </c>
      <c r="BD87">
        <v>3</v>
      </c>
      <c r="BE87" s="5" t="s">
        <v>1258</v>
      </c>
      <c r="BG87">
        <v>168</v>
      </c>
      <c r="BH87" s="15">
        <f t="shared" ca="1" si="1"/>
        <v>1282</v>
      </c>
      <c r="BI87" s="15"/>
      <c r="BJ87" s="15"/>
    </row>
    <row r="88" spans="1:63" hidden="1" x14ac:dyDescent="0.2">
      <c r="A88">
        <v>28014694</v>
      </c>
      <c r="B88" s="13" t="str">
        <f>HYPERLINK("http://www.windermere.com/index.cfm?fuseaction=Listing.ListingDetail&amp;ListingID=19269794","Subject To Inspection")</f>
        <v>Subject To Inspection</v>
      </c>
      <c r="D88" t="s">
        <v>908</v>
      </c>
      <c r="E88" t="s">
        <v>489</v>
      </c>
      <c r="F88" s="9">
        <v>359950</v>
      </c>
      <c r="G88" t="s">
        <v>147</v>
      </c>
      <c r="H88" s="1">
        <v>1477</v>
      </c>
      <c r="J88">
        <v>3</v>
      </c>
      <c r="K88">
        <v>2.5</v>
      </c>
      <c r="M88" s="2" t="str">
        <f>HYPERLINK("http://www.windermere.com/index.cfm?fuseaction=Listing.MapPropertyInteractive&amp;ListingID=19269794&amp;resize=true&amp;windowWidth=800&amp;windowHeight=600","Map")</f>
        <v>Map</v>
      </c>
      <c r="O88" s="2" t="str">
        <f>HYPERLINK("http://www.windermere.com/index.cfm?fuseaction=Listing.MultiImageViewer&amp;ListingID=19269794&amp;ln=28014694&amp;pub_mls=1","More")</f>
        <v>More</v>
      </c>
      <c r="AI88" t="s">
        <v>66</v>
      </c>
      <c r="AJ88">
        <v>98133</v>
      </c>
      <c r="AS88" t="s">
        <v>490</v>
      </c>
      <c r="AT88">
        <v>19269794</v>
      </c>
      <c r="AU88" s="10">
        <v>39495</v>
      </c>
      <c r="BB88" t="s">
        <v>902</v>
      </c>
      <c r="BC88" s="6">
        <v>39470</v>
      </c>
      <c r="BG88">
        <v>25</v>
      </c>
      <c r="BH88" s="15">
        <f t="shared" ca="1" si="1"/>
        <v>1139</v>
      </c>
      <c r="BI88" s="15"/>
      <c r="BJ88" s="15"/>
    </row>
    <row r="89" spans="1:63" hidden="1" x14ac:dyDescent="0.2">
      <c r="A89">
        <v>28017976</v>
      </c>
      <c r="B89" s="13" t="str">
        <f>HYPERLINK("http://www.windermere.com/index.cfm?fuseaction=Listing.ListingDetail&amp;ListingID=19310131","Subject To Inspection")</f>
        <v>Subject To Inspection</v>
      </c>
      <c r="D89" t="s">
        <v>60</v>
      </c>
      <c r="E89" t="s">
        <v>493</v>
      </c>
      <c r="F89" s="9">
        <v>359950</v>
      </c>
      <c r="G89" t="s">
        <v>248</v>
      </c>
      <c r="H89" s="1">
        <v>1540</v>
      </c>
      <c r="I89">
        <v>1340</v>
      </c>
      <c r="J89">
        <v>3</v>
      </c>
      <c r="K89">
        <v>2</v>
      </c>
      <c r="M89" s="2" t="str">
        <f>HYPERLINK("http://www.windermere.com/index.cfm?fuseaction=Listing.MapPropertyInteractive&amp;ListingID=19310131&amp;resize=true&amp;windowWidth=800&amp;windowHeight=600","Map")</f>
        <v>Map</v>
      </c>
      <c r="O89" s="2" t="str">
        <f>HYPERLINK("http://www.windermere.com/index.cfm?fuseaction=Listing.MultiImageViewer&amp;ListingID=19310131&amp;ln=28017976&amp;pub_mls=1","More")</f>
        <v>More</v>
      </c>
      <c r="AI89" t="s">
        <v>66</v>
      </c>
      <c r="AJ89">
        <v>98103</v>
      </c>
      <c r="AS89" t="s">
        <v>494</v>
      </c>
      <c r="AT89">
        <v>19310131</v>
      </c>
      <c r="AU89" s="10">
        <v>39495</v>
      </c>
      <c r="BB89" t="s">
        <v>902</v>
      </c>
      <c r="BC89" s="6">
        <v>39479</v>
      </c>
      <c r="BD89">
        <v>3</v>
      </c>
      <c r="BE89" t="s">
        <v>1333</v>
      </c>
      <c r="BG89">
        <v>16</v>
      </c>
      <c r="BH89" s="15">
        <f t="shared" ca="1" si="1"/>
        <v>1130</v>
      </c>
      <c r="BI89" s="15"/>
      <c r="BJ89" s="15"/>
    </row>
    <row r="90" spans="1:63" hidden="1" x14ac:dyDescent="0.2">
      <c r="A90">
        <v>28025060</v>
      </c>
      <c r="B90" s="2" t="str">
        <f>HYPERLINK("http://www.windermere.com/index.cfm?fuseaction=Listing.ListingDetail&amp;ListingID=19386709","Active")</f>
        <v>Active</v>
      </c>
      <c r="D90" t="s">
        <v>55</v>
      </c>
      <c r="E90" t="s">
        <v>1267</v>
      </c>
      <c r="F90" s="11">
        <v>349950</v>
      </c>
      <c r="G90" t="s">
        <v>721</v>
      </c>
      <c r="H90">
        <v>860</v>
      </c>
      <c r="I90">
        <v>6900</v>
      </c>
      <c r="J90">
        <v>3</v>
      </c>
      <c r="K90">
        <v>1</v>
      </c>
      <c r="M90" s="2" t="str">
        <f>HYPERLINK("http://www.windermere.com/index.cfm?fuseaction=Listing.MapPropertyInteractive&amp;ListingID=19386709&amp;resize=true&amp;windowWidth=800&amp;windowHeight=600","Map")</f>
        <v>Map</v>
      </c>
      <c r="O90" s="2" t="str">
        <f>HYPERLINK("http://www.windermere.com/index.cfm?fuseaction=Listing.MultiImageViewer&amp;ListingID=19386709&amp;ln=28025060&amp;pub_mls=1","More")</f>
        <v>More</v>
      </c>
      <c r="AI90" t="s">
        <v>66</v>
      </c>
      <c r="AJ90">
        <v>98117</v>
      </c>
      <c r="AS90" t="s">
        <v>1268</v>
      </c>
      <c r="AT90">
        <v>19386709</v>
      </c>
      <c r="AU90" s="6">
        <v>39496</v>
      </c>
      <c r="BB90" t="s">
        <v>902</v>
      </c>
      <c r="BC90" s="6">
        <v>39495</v>
      </c>
      <c r="BD90">
        <v>2</v>
      </c>
      <c r="BE90" t="s">
        <v>1277</v>
      </c>
      <c r="BF90" t="s">
        <v>1276</v>
      </c>
      <c r="BG90">
        <v>1</v>
      </c>
      <c r="BH90" s="15">
        <f t="shared" ca="1" si="1"/>
        <v>1114</v>
      </c>
      <c r="BI90" s="15"/>
      <c r="BJ90" s="15"/>
    </row>
    <row r="91" spans="1:63" hidden="1" x14ac:dyDescent="0.2">
      <c r="A91">
        <v>27144530</v>
      </c>
      <c r="B91" s="2" t="str">
        <f>HYPERLINK("http://www.windermere.com/index.cfm?fuseaction=Listing.ListingDetail&amp;ListingID=18424718","Subject To Inspection")</f>
        <v>Subject To Inspection</v>
      </c>
      <c r="D91" t="s">
        <v>55</v>
      </c>
      <c r="E91" t="s">
        <v>495</v>
      </c>
      <c r="F91" s="9">
        <v>360000</v>
      </c>
      <c r="G91" t="s">
        <v>137</v>
      </c>
      <c r="H91" s="1">
        <v>1050</v>
      </c>
      <c r="I91">
        <v>5100</v>
      </c>
      <c r="J91">
        <v>3</v>
      </c>
      <c r="K91">
        <v>1</v>
      </c>
      <c r="M91" s="2" t="str">
        <f>HYPERLINK("http://www.windermere.com/index.cfm?fuseaction=Listing.MapPropertyInteractive&amp;ListingID=18424718&amp;resize=true&amp;windowWidth=800&amp;windowHeight=600","Map")</f>
        <v>Map</v>
      </c>
      <c r="O91" s="2" t="str">
        <f>HYPERLINK("http://www.windermere.com/index.cfm?fuseaction=Listing.MultiImageViewer&amp;ListingID=18424718&amp;ln=27144530&amp;pub_mls=1","More")</f>
        <v>More</v>
      </c>
      <c r="AI91" t="s">
        <v>66</v>
      </c>
      <c r="AJ91">
        <v>98103</v>
      </c>
      <c r="AS91" t="s">
        <v>496</v>
      </c>
      <c r="AT91">
        <v>18424718</v>
      </c>
      <c r="AU91" s="10">
        <v>39495</v>
      </c>
      <c r="BB91" t="s">
        <v>902</v>
      </c>
      <c r="BC91" s="6">
        <v>39301</v>
      </c>
      <c r="BD91">
        <v>-2</v>
      </c>
      <c r="BE91" s="5" t="s">
        <v>1252</v>
      </c>
      <c r="BG91">
        <v>194</v>
      </c>
      <c r="BH91" s="15">
        <f t="shared" ca="1" si="1"/>
        <v>1308</v>
      </c>
      <c r="BI91" s="15"/>
      <c r="BJ91" s="15"/>
      <c r="BK91" t="str">
        <f>B91</f>
        <v>Subject To Inspection</v>
      </c>
    </row>
    <row r="92" spans="1:63" hidden="1" x14ac:dyDescent="0.2">
      <c r="A92">
        <v>27173221</v>
      </c>
      <c r="B92" s="2" t="str">
        <f>HYPERLINK("http://www.windermere.com/index.cfm?fuseaction=Listing.ListingDetail&amp;ListingID=18678127","Active")</f>
        <v>Active</v>
      </c>
      <c r="D92" t="s">
        <v>184</v>
      </c>
      <c r="E92" t="s">
        <v>497</v>
      </c>
      <c r="F92" s="9">
        <v>360000</v>
      </c>
      <c r="G92" t="s">
        <v>130</v>
      </c>
      <c r="H92" s="1">
        <v>2040</v>
      </c>
      <c r="I92">
        <v>6000</v>
      </c>
      <c r="J92">
        <v>4</v>
      </c>
      <c r="K92">
        <v>2</v>
      </c>
      <c r="M92" s="2" t="str">
        <f>HYPERLINK("http://www.windermere.com/index.cfm?fuseaction=Listing.MapPropertyInteractive&amp;ListingID=18678127&amp;resize=true&amp;windowWidth=800&amp;windowHeight=600","Map")</f>
        <v>Map</v>
      </c>
      <c r="O92" s="2" t="str">
        <f>HYPERLINK("http://www.windermere.com/index.cfm?fuseaction=Listing.MultiImageViewer&amp;ListingID=18678127&amp;ln=27173221&amp;pub_mls=1","More")</f>
        <v>More</v>
      </c>
      <c r="AI92" t="s">
        <v>66</v>
      </c>
      <c r="AJ92">
        <v>98125</v>
      </c>
      <c r="AS92" t="s">
        <v>498</v>
      </c>
      <c r="AT92">
        <v>18678127</v>
      </c>
      <c r="AU92" s="10">
        <v>39495</v>
      </c>
      <c r="BB92" t="s">
        <v>902</v>
      </c>
      <c r="BC92" s="6">
        <v>39346</v>
      </c>
      <c r="BG92">
        <v>149</v>
      </c>
      <c r="BH92" s="15">
        <f t="shared" ca="1" si="1"/>
        <v>1263</v>
      </c>
      <c r="BI92" s="15"/>
      <c r="BJ92" s="15"/>
    </row>
    <row r="93" spans="1:63" hidden="1" x14ac:dyDescent="0.2">
      <c r="A93">
        <v>27203636</v>
      </c>
      <c r="B93" s="2" t="str">
        <f>HYPERLINK("http://www.windermere.com/index.cfm?fuseaction=Listing.ListingDetail&amp;ListingID=18991624","Active")</f>
        <v>Active</v>
      </c>
      <c r="D93" t="s">
        <v>60</v>
      </c>
      <c r="E93" t="s">
        <v>540</v>
      </c>
      <c r="F93" s="11">
        <v>362000</v>
      </c>
      <c r="G93" t="s">
        <v>191</v>
      </c>
      <c r="I93">
        <v>4203</v>
      </c>
      <c r="J93">
        <v>3</v>
      </c>
      <c r="K93">
        <v>1</v>
      </c>
      <c r="M93" s="2" t="str">
        <f>HYPERLINK("http://www.windermere.com/index.cfm?fuseaction=Listing.MapPropertyInteractive&amp;ListingID=18991624&amp;resize=true&amp;windowWidth=800&amp;windowHeight=600","Map")</f>
        <v>Map</v>
      </c>
      <c r="O93" s="2" t="str">
        <f>HYPERLINK("http://www.windermere.com/index.cfm?fuseaction=Listing.MultiImageViewer&amp;ListingID=18991624&amp;ln=27203636&amp;pub_mls=1","More")</f>
        <v>More</v>
      </c>
      <c r="AI93" t="s">
        <v>66</v>
      </c>
      <c r="AJ93">
        <v>98103</v>
      </c>
      <c r="AS93" t="s">
        <v>541</v>
      </c>
      <c r="AT93">
        <v>18991624</v>
      </c>
      <c r="AU93" s="10">
        <v>39495</v>
      </c>
      <c r="BB93" t="s">
        <v>902</v>
      </c>
      <c r="BC93" s="6">
        <v>39404</v>
      </c>
      <c r="BG93">
        <v>91</v>
      </c>
      <c r="BH93" s="15">
        <f t="shared" ca="1" si="1"/>
        <v>1205</v>
      </c>
      <c r="BI93" s="15"/>
      <c r="BJ93" s="15"/>
    </row>
    <row r="94" spans="1:63" hidden="1" x14ac:dyDescent="0.2">
      <c r="A94">
        <v>27191568</v>
      </c>
      <c r="B94" s="2" t="str">
        <f>HYPERLINK("http://www.windermere.com/index.cfm?fuseaction=Listing.ListingDetail&amp;ListingID=18858794","Active")</f>
        <v>Active</v>
      </c>
      <c r="D94" t="s">
        <v>60</v>
      </c>
      <c r="E94" t="s">
        <v>127</v>
      </c>
      <c r="F94" s="9">
        <v>363500</v>
      </c>
      <c r="G94" t="s">
        <v>128</v>
      </c>
      <c r="H94" s="1">
        <v>1175</v>
      </c>
      <c r="I94">
        <v>1366</v>
      </c>
      <c r="J94">
        <v>2</v>
      </c>
      <c r="K94">
        <v>2.5</v>
      </c>
      <c r="M94" s="2" t="str">
        <f>HYPERLINK("http://www.windermere.com/index.cfm?fuseaction=Listing.MapPropertyInteractive&amp;ListingID=18858794&amp;resize=true&amp;windowWidth=800&amp;windowHeight=600","Map")</f>
        <v>Map</v>
      </c>
      <c r="O94" s="2" t="str">
        <f>HYPERLINK("http://www.windermere.com/index.cfm?fuseaction=Listing.MultiImageViewer&amp;ListingID=18858794&amp;ln=27191568&amp;pub_mls=1","More")</f>
        <v>More</v>
      </c>
      <c r="P94" t="s">
        <v>44</v>
      </c>
      <c r="AI94" t="s">
        <v>66</v>
      </c>
      <c r="AJ94">
        <v>98103</v>
      </c>
      <c r="AS94" t="s">
        <v>499</v>
      </c>
      <c r="AT94">
        <v>18858794</v>
      </c>
      <c r="AU94" s="10">
        <v>39495</v>
      </c>
      <c r="BB94" t="s">
        <v>902</v>
      </c>
      <c r="BC94" s="6">
        <v>39379</v>
      </c>
      <c r="BG94">
        <v>116</v>
      </c>
      <c r="BH94" s="15">
        <f t="shared" ca="1" si="1"/>
        <v>1230</v>
      </c>
      <c r="BI94" s="15"/>
      <c r="BJ94" s="15"/>
    </row>
    <row r="95" spans="1:63" hidden="1" x14ac:dyDescent="0.2">
      <c r="A95">
        <v>28006638</v>
      </c>
      <c r="B95" s="2" t="str">
        <f>HYPERLINK("http://www.windermere.com/index.cfm?fuseaction=Listing.ListingDetail&amp;ListingID=19194788","Active")</f>
        <v>Active</v>
      </c>
      <c r="D95" t="s">
        <v>60</v>
      </c>
      <c r="E95" t="s">
        <v>500</v>
      </c>
      <c r="F95" s="9">
        <v>364500</v>
      </c>
      <c r="G95" t="s">
        <v>128</v>
      </c>
      <c r="H95" s="1">
        <v>1300</v>
      </c>
      <c r="J95">
        <v>3</v>
      </c>
      <c r="K95">
        <v>2.5</v>
      </c>
      <c r="M95" s="2" t="str">
        <f>HYPERLINK("http://www.windermere.com/index.cfm?fuseaction=Listing.MapPropertyInteractive&amp;ListingID=19194788&amp;resize=true&amp;windowWidth=800&amp;windowHeight=600","Map")</f>
        <v>Map</v>
      </c>
      <c r="O95" s="2" t="str">
        <f>HYPERLINK("http://www.windermere.com/index.cfm?fuseaction=viewGallery.Home&amp;customTourID=202453&amp;wvt=0","More")</f>
        <v>More</v>
      </c>
      <c r="P95" t="s">
        <v>44</v>
      </c>
      <c r="AI95" t="s">
        <v>66</v>
      </c>
      <c r="AJ95">
        <v>98103</v>
      </c>
      <c r="AS95" t="s">
        <v>501</v>
      </c>
      <c r="AT95">
        <v>19194788</v>
      </c>
      <c r="AU95" s="10">
        <v>39495</v>
      </c>
      <c r="BB95" t="s">
        <v>902</v>
      </c>
      <c r="BC95" s="6">
        <v>39457</v>
      </c>
      <c r="BG95">
        <v>38</v>
      </c>
      <c r="BH95" s="15">
        <f t="shared" ca="1" si="1"/>
        <v>1152</v>
      </c>
      <c r="BI95" s="15"/>
      <c r="BJ95" s="15"/>
    </row>
    <row r="96" spans="1:63" hidden="1" x14ac:dyDescent="0.2">
      <c r="A96">
        <v>27191720</v>
      </c>
      <c r="B96" s="2" t="str">
        <f>HYPERLINK("http://www.windermere.com/index.cfm?fuseaction=Listing.ListingDetail&amp;ListingID=18859931","Active")</f>
        <v>Active</v>
      </c>
      <c r="D96" t="s">
        <v>63</v>
      </c>
      <c r="E96" t="s">
        <v>333</v>
      </c>
      <c r="F96" s="9">
        <v>364888</v>
      </c>
      <c r="G96" t="s">
        <v>147</v>
      </c>
      <c r="H96" s="1">
        <v>1338</v>
      </c>
      <c r="J96">
        <v>3</v>
      </c>
      <c r="K96">
        <v>2.5</v>
      </c>
      <c r="M96" s="2" t="str">
        <f>HYPERLINK("http://www.windermere.com/index.cfm?fuseaction=Listing.MapPropertyInteractive&amp;ListingID=18859931&amp;resize=true&amp;windowWidth=800&amp;windowHeight=600","Map")</f>
        <v>Map</v>
      </c>
      <c r="O96" s="2" t="str">
        <f>HYPERLINK("http://www.windermere.com/index.cfm?fuseaction=Listing.MultiImageViewer&amp;ListingID=18859931&amp;ln=27191720&amp;pub_mls=1","More")</f>
        <v>More</v>
      </c>
      <c r="AI96" t="s">
        <v>66</v>
      </c>
      <c r="AJ96">
        <v>98117</v>
      </c>
      <c r="AS96" t="s">
        <v>334</v>
      </c>
      <c r="AT96">
        <v>18859931</v>
      </c>
      <c r="AU96" s="10">
        <v>39495</v>
      </c>
      <c r="BB96" t="s">
        <v>902</v>
      </c>
      <c r="BC96" s="6">
        <v>39379</v>
      </c>
      <c r="BG96">
        <v>116</v>
      </c>
      <c r="BH96" s="15">
        <f t="shared" ca="1" si="1"/>
        <v>1230</v>
      </c>
      <c r="BI96" s="15"/>
      <c r="BJ96" s="15"/>
    </row>
    <row r="97" spans="1:63" hidden="1" x14ac:dyDescent="0.2">
      <c r="A97">
        <v>27191728</v>
      </c>
      <c r="B97" s="2" t="str">
        <f>HYPERLINK("http://www.windermere.com/index.cfm?fuseaction=Listing.ListingDetail&amp;ListingID=18860071","Active")</f>
        <v>Active</v>
      </c>
      <c r="D97" t="s">
        <v>63</v>
      </c>
      <c r="E97" t="s">
        <v>331</v>
      </c>
      <c r="F97" s="9">
        <v>364888</v>
      </c>
      <c r="G97" t="s">
        <v>147</v>
      </c>
      <c r="H97" s="1">
        <v>1338</v>
      </c>
      <c r="J97">
        <v>3</v>
      </c>
      <c r="K97">
        <v>2.5</v>
      </c>
      <c r="M97" s="2" t="str">
        <f>HYPERLINK("http://www.windermere.com/index.cfm?fuseaction=Listing.MapPropertyInteractive&amp;ListingID=18860071&amp;resize=true&amp;windowWidth=800&amp;windowHeight=600","Map")</f>
        <v>Map</v>
      </c>
      <c r="O97" s="2" t="str">
        <f>HYPERLINK("http://www.windermere.com/index.cfm?fuseaction=Listing.MultiImageViewer&amp;ListingID=18860071&amp;ln=27191728&amp;pub_mls=1","More")</f>
        <v>More</v>
      </c>
      <c r="AI97" t="s">
        <v>66</v>
      </c>
      <c r="AJ97">
        <v>98117</v>
      </c>
      <c r="AS97" t="s">
        <v>332</v>
      </c>
      <c r="AT97">
        <v>18860071</v>
      </c>
      <c r="AU97" s="10">
        <v>39495</v>
      </c>
      <c r="BB97" t="s">
        <v>902</v>
      </c>
      <c r="BC97" s="6">
        <v>39379</v>
      </c>
      <c r="BG97">
        <v>116</v>
      </c>
      <c r="BH97" s="15">
        <f t="shared" ca="1" si="1"/>
        <v>1230</v>
      </c>
      <c r="BI97" s="15"/>
      <c r="BJ97" s="15"/>
    </row>
    <row r="98" spans="1:63" hidden="1" x14ac:dyDescent="0.2">
      <c r="A98">
        <v>27191729</v>
      </c>
      <c r="B98" s="2" t="str">
        <f>HYPERLINK("http://www.windermere.com/index.cfm?fuseaction=Listing.ListingDetail&amp;ListingID=18860069","Active")</f>
        <v>Active</v>
      </c>
      <c r="D98" t="s">
        <v>63</v>
      </c>
      <c r="E98" t="s">
        <v>335</v>
      </c>
      <c r="F98" s="9">
        <v>364888</v>
      </c>
      <c r="G98" t="s">
        <v>147</v>
      </c>
      <c r="H98" s="1">
        <v>1338</v>
      </c>
      <c r="J98">
        <v>3</v>
      </c>
      <c r="K98">
        <v>2.5</v>
      </c>
      <c r="M98" s="2" t="str">
        <f>HYPERLINK("http://www.windermere.com/index.cfm?fuseaction=Listing.MapPropertyInteractive&amp;ListingID=18860069&amp;resize=true&amp;windowWidth=800&amp;windowHeight=600","Map")</f>
        <v>Map</v>
      </c>
      <c r="O98" s="2" t="str">
        <f>HYPERLINK("http://www.windermere.com/index.cfm?fuseaction=Listing.MultiImageViewer&amp;ListingID=18860069&amp;ln=27191729&amp;pub_mls=1","More")</f>
        <v>More</v>
      </c>
      <c r="AI98" t="s">
        <v>66</v>
      </c>
      <c r="AJ98">
        <v>98117</v>
      </c>
      <c r="AS98" t="s">
        <v>336</v>
      </c>
      <c r="AT98">
        <v>18860069</v>
      </c>
      <c r="AU98" s="10">
        <v>39495</v>
      </c>
      <c r="BB98" t="s">
        <v>902</v>
      </c>
      <c r="BC98" s="6">
        <v>39379</v>
      </c>
      <c r="BG98">
        <v>116</v>
      </c>
      <c r="BH98" s="15">
        <f t="shared" ca="1" si="1"/>
        <v>1230</v>
      </c>
      <c r="BI98" s="15"/>
      <c r="BJ98" s="15"/>
    </row>
    <row r="99" spans="1:63" hidden="1" x14ac:dyDescent="0.2">
      <c r="A99">
        <v>27191731</v>
      </c>
      <c r="B99" s="2" t="str">
        <f>HYPERLINK("http://www.windermere.com/index.cfm?fuseaction=Listing.ListingDetail&amp;ListingID=18860070","Active")</f>
        <v>Active</v>
      </c>
      <c r="D99" t="s">
        <v>63</v>
      </c>
      <c r="E99" t="s">
        <v>337</v>
      </c>
      <c r="F99" s="9">
        <v>364888</v>
      </c>
      <c r="G99" t="s">
        <v>147</v>
      </c>
      <c r="H99" s="1">
        <v>1338</v>
      </c>
      <c r="J99">
        <v>3</v>
      </c>
      <c r="K99">
        <v>2.5</v>
      </c>
      <c r="M99" s="2" t="str">
        <f>HYPERLINK("http://www.windermere.com/index.cfm?fuseaction=Listing.MapPropertyInteractive&amp;ListingID=18860070&amp;resize=true&amp;windowWidth=800&amp;windowHeight=600","Map")</f>
        <v>Map</v>
      </c>
      <c r="O99" s="2" t="str">
        <f>HYPERLINK("http://www.windermere.com/index.cfm?fuseaction=Listing.MultiImageViewer&amp;ListingID=18860070&amp;ln=27191731&amp;pub_mls=1","More")</f>
        <v>More</v>
      </c>
      <c r="AI99" t="s">
        <v>66</v>
      </c>
      <c r="AJ99">
        <v>98117</v>
      </c>
      <c r="AS99" t="s">
        <v>338</v>
      </c>
      <c r="AT99">
        <v>18860070</v>
      </c>
      <c r="AU99" s="10">
        <v>39495</v>
      </c>
      <c r="BB99" t="s">
        <v>902</v>
      </c>
      <c r="BC99" s="6">
        <v>39379</v>
      </c>
      <c r="BG99">
        <v>116</v>
      </c>
      <c r="BH99" s="15">
        <f t="shared" ca="1" si="1"/>
        <v>1230</v>
      </c>
      <c r="BI99" s="15"/>
      <c r="BJ99" s="15"/>
    </row>
    <row r="100" spans="1:63" hidden="1" x14ac:dyDescent="0.2">
      <c r="A100">
        <v>28026528</v>
      </c>
      <c r="B100" s="13" t="str">
        <f>HYPERLINK("http://www.windermere.com/index.cfm?fuseaction=Listing.ListingDetail&amp;ListingID=19365753","Subject To Inspection")</f>
        <v>Subject To Inspection</v>
      </c>
      <c r="D100" t="s">
        <v>70</v>
      </c>
      <c r="E100" t="s">
        <v>502</v>
      </c>
      <c r="F100" s="9">
        <v>364888</v>
      </c>
      <c r="G100" t="s">
        <v>147</v>
      </c>
      <c r="H100" s="1">
        <v>1530</v>
      </c>
      <c r="J100">
        <v>3</v>
      </c>
      <c r="K100">
        <v>2.25</v>
      </c>
      <c r="M100" s="2" t="str">
        <f>HYPERLINK("http://www.windermere.com/index.cfm?fuseaction=Listing.MapPropertyInteractive&amp;ListingID=19365753&amp;resize=true&amp;windowWidth=800&amp;windowHeight=600","Map")</f>
        <v>Map</v>
      </c>
      <c r="O100" s="2" t="str">
        <f>HYPERLINK("http://www.windermere.com/index.cfm?fuseaction=Listing.MultiImageViewer&amp;ListingID=19365753&amp;ln=28026528&amp;pub_mls=1","More")</f>
        <v>More</v>
      </c>
      <c r="AI100" t="s">
        <v>66</v>
      </c>
      <c r="AJ100">
        <v>98133</v>
      </c>
      <c r="AS100" t="s">
        <v>503</v>
      </c>
      <c r="AT100">
        <v>19365753</v>
      </c>
      <c r="AU100" s="10">
        <v>39495</v>
      </c>
      <c r="BB100" t="s">
        <v>902</v>
      </c>
      <c r="BC100" s="6">
        <v>39491</v>
      </c>
      <c r="BD100">
        <v>-4</v>
      </c>
      <c r="BE100" t="s">
        <v>1334</v>
      </c>
      <c r="BG100">
        <v>4</v>
      </c>
      <c r="BH100" s="15">
        <f t="shared" ca="1" si="1"/>
        <v>1118</v>
      </c>
      <c r="BI100" s="15"/>
      <c r="BJ100" s="15"/>
    </row>
    <row r="101" spans="1:63" hidden="1" x14ac:dyDescent="0.2">
      <c r="A101">
        <v>27160841</v>
      </c>
      <c r="B101" s="2" t="str">
        <f>HYPERLINK("http://www.windermere.com/index.cfm?fuseaction=Listing.ListingDetail&amp;ListingID=19060032","Active")</f>
        <v>Active</v>
      </c>
      <c r="D101" t="s">
        <v>55</v>
      </c>
      <c r="E101" t="s">
        <v>511</v>
      </c>
      <c r="F101" s="9">
        <v>364950</v>
      </c>
      <c r="G101" t="s">
        <v>147</v>
      </c>
      <c r="H101" s="1">
        <v>1325</v>
      </c>
      <c r="J101">
        <v>2</v>
      </c>
      <c r="K101">
        <v>1.5</v>
      </c>
      <c r="M101" s="2" t="str">
        <f>HYPERLINK("http://www.windermere.com/index.cfm?fuseaction=Listing.MapPropertyInteractive&amp;ListingID=19060032&amp;resize=true&amp;windowWidth=800&amp;windowHeight=600","Map")</f>
        <v>Map</v>
      </c>
      <c r="O101" s="2" t="str">
        <f>HYPERLINK("http://www.windermere.com/index.cfm?fuseaction=Listing.MultiImageViewer&amp;ListingID=19060032&amp;ln=27160841&amp;pub_mls=1","More")</f>
        <v>More</v>
      </c>
      <c r="P101" t="s">
        <v>44</v>
      </c>
      <c r="AI101" t="s">
        <v>66</v>
      </c>
      <c r="AJ101">
        <v>98103</v>
      </c>
      <c r="AS101" t="s">
        <v>512</v>
      </c>
      <c r="AT101">
        <v>19060032</v>
      </c>
      <c r="AU101" s="10">
        <v>39495</v>
      </c>
      <c r="BB101" t="s">
        <v>902</v>
      </c>
      <c r="BC101" s="6">
        <v>39327</v>
      </c>
      <c r="BD101">
        <v>3</v>
      </c>
      <c r="BE101" s="5" t="s">
        <v>1258</v>
      </c>
      <c r="BG101">
        <v>168</v>
      </c>
      <c r="BH101" s="15">
        <f t="shared" ca="1" si="1"/>
        <v>1282</v>
      </c>
      <c r="BI101" s="15"/>
      <c r="BJ101" s="15"/>
    </row>
    <row r="102" spans="1:63" hidden="1" x14ac:dyDescent="0.2">
      <c r="A102">
        <v>27194391</v>
      </c>
      <c r="B102" s="2" t="str">
        <f>HYPERLINK("http://www.windermere.com/index.cfm?fuseaction=Listing.ListingDetail&amp;ListingID=18898996","Active")</f>
        <v>Active</v>
      </c>
      <c r="D102" t="s">
        <v>66</v>
      </c>
      <c r="E102" t="s">
        <v>509</v>
      </c>
      <c r="F102" s="9">
        <v>364950</v>
      </c>
      <c r="G102" t="s">
        <v>394</v>
      </c>
      <c r="H102" s="1">
        <v>1580</v>
      </c>
      <c r="I102">
        <v>1200</v>
      </c>
      <c r="J102">
        <v>3</v>
      </c>
      <c r="K102">
        <v>2.5</v>
      </c>
      <c r="M102" s="2" t="str">
        <f>HYPERLINK("http://www.windermere.com/index.cfm?fuseaction=Listing.MapPropertyInteractive&amp;ListingID=18898996&amp;resize=true&amp;windowWidth=800&amp;windowHeight=600","Map")</f>
        <v>Map</v>
      </c>
      <c r="AI102" t="s">
        <v>66</v>
      </c>
      <c r="AJ102">
        <v>98133</v>
      </c>
      <c r="AS102" t="s">
        <v>510</v>
      </c>
      <c r="AT102">
        <v>18898996</v>
      </c>
      <c r="AU102" s="10">
        <v>39495</v>
      </c>
      <c r="BB102" t="s">
        <v>902</v>
      </c>
      <c r="BC102" s="6">
        <v>39387</v>
      </c>
      <c r="BG102">
        <v>108</v>
      </c>
      <c r="BH102" s="15">
        <f t="shared" ca="1" si="1"/>
        <v>1222</v>
      </c>
      <c r="BI102" s="15"/>
      <c r="BJ102" s="15"/>
    </row>
    <row r="103" spans="1:63" hidden="1" x14ac:dyDescent="0.2">
      <c r="A103">
        <v>27199578</v>
      </c>
      <c r="B103" s="2" t="str">
        <f>HYPERLINK("http://www.windermere.com/index.cfm?fuseaction=Listing.ListingDetail&amp;ListingID=18938966","Contingent")</f>
        <v>Contingent</v>
      </c>
      <c r="D103" t="s">
        <v>956</v>
      </c>
      <c r="E103" t="s">
        <v>1033</v>
      </c>
      <c r="F103" s="9">
        <v>364950</v>
      </c>
      <c r="G103" t="s">
        <v>147</v>
      </c>
      <c r="H103" s="1">
        <v>1951</v>
      </c>
      <c r="I103">
        <v>1631</v>
      </c>
      <c r="J103">
        <v>3</v>
      </c>
      <c r="K103">
        <v>3.25</v>
      </c>
      <c r="M103" s="2" t="str">
        <f>HYPERLINK("http://www.windermere.com/index.cfm?fuseaction=Listing.MapPropertyInteractive&amp;ListingID=18938966&amp;resize=true&amp;windowWidth=800&amp;windowHeight=600","Map")</f>
        <v>Map</v>
      </c>
      <c r="O103" s="2" t="str">
        <f>HYPERLINK("http://www.windermere.com/index.cfm?fuseaction=Listing.MultiImageViewer&amp;ListingID=18938966&amp;ln=27199578&amp;pub_mls=1","More")</f>
        <v>More</v>
      </c>
      <c r="P103" t="s">
        <v>44</v>
      </c>
      <c r="AI103" t="s">
        <v>386</v>
      </c>
      <c r="AJ103">
        <v>98155</v>
      </c>
      <c r="AS103" t="s">
        <v>1034</v>
      </c>
      <c r="AT103">
        <v>18938966</v>
      </c>
      <c r="AU103" s="10">
        <v>39495</v>
      </c>
      <c r="BB103" t="s">
        <v>902</v>
      </c>
      <c r="BC103" s="6">
        <v>39395</v>
      </c>
      <c r="BG103">
        <v>100</v>
      </c>
      <c r="BH103" s="15">
        <f t="shared" ca="1" si="1"/>
        <v>1214</v>
      </c>
      <c r="BI103" s="15"/>
      <c r="BJ103" s="15"/>
      <c r="BK103" t="str">
        <f>B103</f>
        <v>Contingent</v>
      </c>
    </row>
    <row r="104" spans="1:63" hidden="1" x14ac:dyDescent="0.2">
      <c r="A104">
        <v>28013775</v>
      </c>
      <c r="B104" s="2" t="str">
        <f>HYPERLINK("http://www.windermere.com/index.cfm?fuseaction=Listing.ListingDetail&amp;ListingID=19280728","Active")</f>
        <v>Active</v>
      </c>
      <c r="D104" t="s">
        <v>70</v>
      </c>
      <c r="E104" t="s">
        <v>504</v>
      </c>
      <c r="F104" s="11">
        <v>354950</v>
      </c>
      <c r="G104" t="s">
        <v>239</v>
      </c>
      <c r="H104" s="1">
        <v>1518</v>
      </c>
      <c r="J104">
        <v>3</v>
      </c>
      <c r="K104">
        <v>3.5</v>
      </c>
      <c r="M104" s="2" t="str">
        <f>HYPERLINK("http://www.windermere.com/index.cfm?fuseaction=Listing.MapPropertyInteractive&amp;ListingID=19280728&amp;resize=true&amp;windowWidth=800&amp;windowHeight=600","Map")</f>
        <v>Map</v>
      </c>
      <c r="O104" s="2" t="str">
        <f>HYPERLINK("http://www.windermere.com/index.cfm?fuseaction=Listing.MultiImageViewer&amp;ListingID=19280728&amp;ln=28013775&amp;pub_mls=1","More")</f>
        <v>More</v>
      </c>
      <c r="P104" t="s">
        <v>44</v>
      </c>
      <c r="AI104" t="s">
        <v>66</v>
      </c>
      <c r="AJ104">
        <v>98133</v>
      </c>
      <c r="AS104" t="s">
        <v>505</v>
      </c>
      <c r="AT104">
        <v>19280728</v>
      </c>
      <c r="AU104" s="10">
        <v>39495</v>
      </c>
      <c r="BB104" t="s">
        <v>902</v>
      </c>
      <c r="BC104" s="6">
        <v>39472</v>
      </c>
      <c r="BG104">
        <v>23</v>
      </c>
      <c r="BH104" s="15">
        <f t="shared" ca="1" si="1"/>
        <v>1137</v>
      </c>
      <c r="BI104" s="15"/>
      <c r="BJ104" s="15"/>
    </row>
    <row r="105" spans="1:63" hidden="1" x14ac:dyDescent="0.2">
      <c r="A105">
        <v>28023084</v>
      </c>
      <c r="B105" s="2" t="str">
        <f>HYPERLINK("http://www.windermere.com/index.cfm?fuseaction=Listing.ListingDetail&amp;ListingID=19340741","Subject To Inspection")</f>
        <v>Subject To Inspection</v>
      </c>
      <c r="C105">
        <v>710</v>
      </c>
      <c r="D105" t="s">
        <v>199</v>
      </c>
      <c r="E105" t="s">
        <v>506</v>
      </c>
      <c r="F105" s="9">
        <v>364950</v>
      </c>
      <c r="G105" t="s">
        <v>507</v>
      </c>
      <c r="H105">
        <v>940</v>
      </c>
      <c r="I105">
        <v>8364</v>
      </c>
      <c r="J105">
        <v>3</v>
      </c>
      <c r="K105">
        <v>1</v>
      </c>
      <c r="L105">
        <v>1</v>
      </c>
      <c r="M105" s="2" t="str">
        <f>HYPERLINK("http://www.windermere.com/index.cfm?fuseaction=Listing.MapPropertyInteractive&amp;ListingID=19340741&amp;resize=true&amp;windowWidth=800&amp;windowHeight=600","Map")</f>
        <v>Map</v>
      </c>
      <c r="N105" s="2" t="str">
        <f>HYPERLINK("http://locmedia.nwmls.com/DO_NOT_LINK/bigphoto/084/28023084.jpg?tsp=20080208063946","Photo")</f>
        <v>Photo</v>
      </c>
      <c r="O105" s="2" t="str">
        <f>HYPERLINK("http://www.windermere.com/index.cfm?fuseaction=Listing.MultiImageViewer&amp;ListingID=19340741&amp;ln=28023084&amp;pub_mls=1","More")</f>
        <v>More</v>
      </c>
      <c r="Q105" t="s">
        <v>56</v>
      </c>
      <c r="R105" t="s">
        <v>67</v>
      </c>
      <c r="S105" t="s">
        <v>49</v>
      </c>
      <c r="T105" t="s">
        <v>50</v>
      </c>
      <c r="U105" t="s">
        <v>44</v>
      </c>
      <c r="X105" t="s">
        <v>47</v>
      </c>
      <c r="Y105" t="s">
        <v>48</v>
      </c>
      <c r="Z105" t="s">
        <v>999</v>
      </c>
      <c r="AB105">
        <v>2007</v>
      </c>
      <c r="AC105">
        <v>2548</v>
      </c>
      <c r="AD105" t="s">
        <v>1000</v>
      </c>
      <c r="AE105" t="s">
        <v>74</v>
      </c>
      <c r="AF105" t="s">
        <v>1001</v>
      </c>
      <c r="AG105">
        <v>47.724395999999999</v>
      </c>
      <c r="AH105">
        <v>-122.29774999999999</v>
      </c>
      <c r="AI105" t="s">
        <v>66</v>
      </c>
      <c r="AJ105">
        <v>98125</v>
      </c>
      <c r="AK105" t="s">
        <v>41</v>
      </c>
      <c r="AL105" t="s">
        <v>40</v>
      </c>
      <c r="AM105" t="s">
        <v>40</v>
      </c>
      <c r="AO105">
        <v>0.192</v>
      </c>
      <c r="AP105" t="s">
        <v>1002</v>
      </c>
      <c r="AQ105">
        <v>505</v>
      </c>
      <c r="AR105" t="s">
        <v>105</v>
      </c>
      <c r="AS105" t="s">
        <v>508</v>
      </c>
      <c r="AT105">
        <v>19340741</v>
      </c>
      <c r="AU105" s="10">
        <v>39495</v>
      </c>
      <c r="BA105" t="s">
        <v>902</v>
      </c>
      <c r="BB105" t="s">
        <v>902</v>
      </c>
      <c r="BC105" s="6">
        <v>39486</v>
      </c>
      <c r="BG105">
        <v>9</v>
      </c>
      <c r="BH105" s="15">
        <f t="shared" ca="1" si="1"/>
        <v>1123</v>
      </c>
      <c r="BI105" s="15"/>
      <c r="BJ105" s="15"/>
      <c r="BK105" t="str">
        <f>B105</f>
        <v>Subject To Inspection</v>
      </c>
    </row>
    <row r="106" spans="1:63" hidden="1" x14ac:dyDescent="0.2">
      <c r="A106">
        <v>27208748</v>
      </c>
      <c r="B106" s="2" t="str">
        <f>HYPERLINK("http://www.windermere.com/index.cfm?fuseaction=Listing.ListingDetail&amp;ListingID=19048334","Active")</f>
        <v>Active</v>
      </c>
      <c r="D106" t="s">
        <v>99</v>
      </c>
      <c r="E106" t="s">
        <v>339</v>
      </c>
      <c r="F106" s="11">
        <v>355000</v>
      </c>
      <c r="G106" t="s">
        <v>151</v>
      </c>
      <c r="H106" s="1">
        <v>1220</v>
      </c>
      <c r="J106">
        <v>2</v>
      </c>
      <c r="K106">
        <v>2</v>
      </c>
      <c r="M106" s="2" t="str">
        <f>HYPERLINK("http://www.windermere.com/index.cfm?fuseaction=Listing.MapPropertyInteractive&amp;ListingID=19048334&amp;resize=true&amp;windowWidth=800&amp;windowHeight=600","Map")</f>
        <v>Map</v>
      </c>
      <c r="O106" s="2" t="str">
        <f>HYPERLINK("http://www.windermere.com/index.cfm?fuseaction=viewGallery.Home&amp;customTourID=201679&amp;wvt=0","More")</f>
        <v>More</v>
      </c>
      <c r="AI106" t="s">
        <v>66</v>
      </c>
      <c r="AJ106">
        <v>98117</v>
      </c>
      <c r="AS106" t="s">
        <v>340</v>
      </c>
      <c r="AT106">
        <v>19048334</v>
      </c>
      <c r="AU106" s="10">
        <v>39495</v>
      </c>
      <c r="BB106" t="s">
        <v>902</v>
      </c>
      <c r="BC106" s="6">
        <v>39420</v>
      </c>
      <c r="BD106">
        <v>2</v>
      </c>
      <c r="BE106" t="s">
        <v>1305</v>
      </c>
      <c r="BG106">
        <v>75</v>
      </c>
      <c r="BH106" s="15">
        <f t="shared" ca="1" si="1"/>
        <v>1189</v>
      </c>
      <c r="BI106" s="15"/>
      <c r="BJ106" s="15"/>
    </row>
    <row r="107" spans="1:63" hidden="1" x14ac:dyDescent="0.2">
      <c r="A107">
        <v>28007328</v>
      </c>
      <c r="B107" s="2" t="str">
        <f>HYPERLINK("http://www.windermere.com/index.cfm?fuseaction=Listing.ListingDetail&amp;ListingID=19206316","Active")</f>
        <v>Active</v>
      </c>
      <c r="D107" t="s">
        <v>55</v>
      </c>
      <c r="E107" t="s">
        <v>515</v>
      </c>
      <c r="F107" s="9">
        <v>365000</v>
      </c>
      <c r="G107" t="s">
        <v>191</v>
      </c>
      <c r="H107" s="1">
        <v>2060</v>
      </c>
      <c r="I107">
        <v>4120</v>
      </c>
      <c r="J107">
        <v>3</v>
      </c>
      <c r="K107">
        <v>1.25</v>
      </c>
      <c r="M107" s="2" t="str">
        <f>HYPERLINK("http://www.windermere.com/index.cfm?fuseaction=Listing.MapPropertyInteractive&amp;ListingID=19206316&amp;resize=true&amp;windowWidth=800&amp;windowHeight=600","Map")</f>
        <v>Map</v>
      </c>
      <c r="O107" s="2" t="str">
        <f>HYPERLINK("http://www.windermere.com/index.cfm?fuseaction=Listing.MultiImageViewer&amp;ListingID=19206316&amp;ln=28007328&amp;pub_mls=1","More")</f>
        <v>More</v>
      </c>
      <c r="AI107" t="s">
        <v>66</v>
      </c>
      <c r="AJ107">
        <v>98103</v>
      </c>
      <c r="AS107" t="s">
        <v>516</v>
      </c>
      <c r="AT107">
        <v>19206316</v>
      </c>
      <c r="AU107" s="10">
        <v>39495</v>
      </c>
      <c r="BB107" t="s">
        <v>902</v>
      </c>
      <c r="BC107" s="6">
        <v>39458</v>
      </c>
      <c r="BG107">
        <v>37</v>
      </c>
      <c r="BH107" s="15">
        <f t="shared" ca="1" si="1"/>
        <v>1151</v>
      </c>
      <c r="BI107" s="15"/>
      <c r="BJ107" s="15"/>
    </row>
    <row r="108" spans="1:63" hidden="1" x14ac:dyDescent="0.2">
      <c r="A108">
        <v>28008635</v>
      </c>
      <c r="B108" s="2" t="str">
        <f>HYPERLINK("http://www.windermere.com/index.cfm?fuseaction=Listing.ListingDetail&amp;ListingID=19226990","Active")</f>
        <v>Active</v>
      </c>
      <c r="D108" t="s">
        <v>60</v>
      </c>
      <c r="E108" t="s">
        <v>513</v>
      </c>
      <c r="F108" s="11">
        <v>348075</v>
      </c>
      <c r="G108" t="s">
        <v>364</v>
      </c>
      <c r="H108" s="1">
        <v>1500</v>
      </c>
      <c r="J108">
        <v>3</v>
      </c>
      <c r="K108">
        <v>2.5</v>
      </c>
      <c r="M108" s="2" t="str">
        <f>HYPERLINK("http://www.windermere.com/index.cfm?fuseaction=Listing.MapPropertyInteractive&amp;ListingID=19226990&amp;resize=true&amp;windowWidth=800&amp;windowHeight=600","Map")</f>
        <v>Map</v>
      </c>
      <c r="O108" s="2" t="str">
        <f>HYPERLINK("http://www.windermere.com/index.cfm?fuseaction=Listing.MultiImageViewer&amp;ListingID=19226990&amp;ln=28008635&amp;pub_mls=1","More")</f>
        <v>More</v>
      </c>
      <c r="P108" t="s">
        <v>44</v>
      </c>
      <c r="AI108" t="s">
        <v>66</v>
      </c>
      <c r="AJ108">
        <v>98103</v>
      </c>
      <c r="AS108" t="s">
        <v>514</v>
      </c>
      <c r="AT108">
        <v>19226990</v>
      </c>
      <c r="AU108" s="10">
        <v>39495</v>
      </c>
      <c r="BB108" t="s">
        <v>902</v>
      </c>
      <c r="BC108" s="6">
        <v>39462</v>
      </c>
      <c r="BD108">
        <v>-3</v>
      </c>
      <c r="BE108" t="s">
        <v>1370</v>
      </c>
      <c r="BG108">
        <v>33</v>
      </c>
      <c r="BH108" s="15">
        <f t="shared" ca="1" si="1"/>
        <v>1147</v>
      </c>
      <c r="BI108" s="15"/>
      <c r="BJ108" s="15"/>
    </row>
    <row r="109" spans="1:63" hidden="1" x14ac:dyDescent="0.2">
      <c r="A109">
        <v>28017810</v>
      </c>
      <c r="B109" s="2" t="str">
        <f>HYPERLINK("http://www.windermere.com/index.cfm?fuseaction=Listing.ListingDetail&amp;ListingID=19299939","Active")</f>
        <v>Active</v>
      </c>
      <c r="D109" t="s">
        <v>42</v>
      </c>
      <c r="E109" t="s">
        <v>517</v>
      </c>
      <c r="F109" s="11">
        <v>355000</v>
      </c>
      <c r="G109" t="s">
        <v>137</v>
      </c>
      <c r="H109" s="1">
        <v>1460</v>
      </c>
      <c r="I109">
        <v>6500</v>
      </c>
      <c r="J109">
        <v>3</v>
      </c>
      <c r="K109">
        <v>1</v>
      </c>
      <c r="M109" s="2" t="str">
        <f>HYPERLINK("http://www.windermere.com/index.cfm?fuseaction=Listing.MapPropertyInteractive&amp;ListingID=19299939&amp;resize=true&amp;windowWidth=800&amp;windowHeight=600","Map")</f>
        <v>Map</v>
      </c>
      <c r="O109" s="2" t="str">
        <f>HYPERLINK("http://www.windermere.com/index.cfm?fuseaction=Listing.MultiImageViewer&amp;ListingID=19299939&amp;ln=28017810&amp;pub_mls=1","More")</f>
        <v>More</v>
      </c>
      <c r="AI109" t="s">
        <v>66</v>
      </c>
      <c r="AJ109">
        <v>98133</v>
      </c>
      <c r="AS109" t="s">
        <v>518</v>
      </c>
      <c r="AT109">
        <v>19299939</v>
      </c>
      <c r="AU109" s="10">
        <v>39495</v>
      </c>
      <c r="BB109" t="s">
        <v>902</v>
      </c>
      <c r="BC109" s="6">
        <v>39477</v>
      </c>
      <c r="BG109">
        <v>18</v>
      </c>
      <c r="BH109" s="15">
        <f t="shared" ca="1" si="1"/>
        <v>1132</v>
      </c>
      <c r="BI109" s="15"/>
      <c r="BJ109" s="15"/>
    </row>
    <row r="110" spans="1:63" hidden="1" x14ac:dyDescent="0.2">
      <c r="A110">
        <v>28023500</v>
      </c>
      <c r="B110" s="13" t="str">
        <f>HYPERLINK("http://www.windermere.com/index.cfm?fuseaction=Listing.ListingDetail&amp;ListingID=19342899","Subject To Inspection")</f>
        <v>Subject To Inspection</v>
      </c>
      <c r="C110">
        <v>710</v>
      </c>
      <c r="D110" t="s">
        <v>956</v>
      </c>
      <c r="E110" t="s">
        <v>519</v>
      </c>
      <c r="F110" s="9">
        <v>365000</v>
      </c>
      <c r="G110" t="s">
        <v>520</v>
      </c>
      <c r="H110" s="1">
        <v>1500</v>
      </c>
      <c r="I110">
        <v>8880</v>
      </c>
      <c r="J110">
        <v>3</v>
      </c>
      <c r="K110">
        <v>2</v>
      </c>
      <c r="L110">
        <v>1</v>
      </c>
      <c r="M110" s="2" t="str">
        <f>HYPERLINK("http://www.windermere.com/index.cfm?fuseaction=Listing.MapPropertyInteractive&amp;ListingID=19342899&amp;resize=true&amp;windowWidth=800&amp;windowHeight=600","Map")</f>
        <v>Map</v>
      </c>
      <c r="N110" s="2" t="str">
        <f>HYPERLINK("http://locmedia.nwmls.com/DO_NOT_LINK/bigphoto/500/28023500.jpg?tsp=20080208143254","Photo")</f>
        <v>Photo</v>
      </c>
      <c r="O110" s="2" t="str">
        <f>HYPERLINK("http://www.windermere.com/index.cfm?fuseaction=Listing.MultiImageViewer&amp;ListingID=19342899&amp;ln=28023500&amp;pub_mls=1","More")</f>
        <v>More</v>
      </c>
      <c r="Q110" t="s">
        <v>56</v>
      </c>
      <c r="R110" t="s">
        <v>72</v>
      </c>
      <c r="S110" t="s">
        <v>957</v>
      </c>
      <c r="T110" t="s">
        <v>95</v>
      </c>
      <c r="U110" t="s">
        <v>44</v>
      </c>
      <c r="X110" t="s">
        <v>47</v>
      </c>
      <c r="Y110" t="s">
        <v>48</v>
      </c>
      <c r="Z110" t="s">
        <v>958</v>
      </c>
      <c r="AA110" t="s">
        <v>96</v>
      </c>
      <c r="AB110">
        <v>2007</v>
      </c>
      <c r="AC110">
        <v>3289</v>
      </c>
      <c r="AD110" t="s">
        <v>959</v>
      </c>
      <c r="AE110" t="s">
        <v>960</v>
      </c>
      <c r="AF110" t="s">
        <v>961</v>
      </c>
      <c r="AG110">
        <v>47.714790999999998</v>
      </c>
      <c r="AH110">
        <v>-122.30027800000001</v>
      </c>
      <c r="AI110" t="s">
        <v>66</v>
      </c>
      <c r="AJ110">
        <v>98125</v>
      </c>
      <c r="AK110" t="s">
        <v>41</v>
      </c>
      <c r="AL110" t="s">
        <v>40</v>
      </c>
      <c r="AM110" t="s">
        <v>40</v>
      </c>
      <c r="AO110">
        <v>0.20399999999999999</v>
      </c>
      <c r="AP110" t="s">
        <v>962</v>
      </c>
      <c r="AQ110">
        <v>505</v>
      </c>
      <c r="AR110" t="s">
        <v>203</v>
      </c>
      <c r="AS110" t="s">
        <v>521</v>
      </c>
      <c r="AT110">
        <v>19342899</v>
      </c>
      <c r="AU110" s="10">
        <v>39495</v>
      </c>
      <c r="BA110" t="s">
        <v>902</v>
      </c>
      <c r="BB110" t="s">
        <v>902</v>
      </c>
      <c r="BC110" s="6">
        <v>39486</v>
      </c>
      <c r="BG110">
        <v>9</v>
      </c>
      <c r="BH110" s="15">
        <f t="shared" ca="1" si="1"/>
        <v>1123</v>
      </c>
      <c r="BI110" s="15"/>
      <c r="BJ110" s="15"/>
    </row>
    <row r="111" spans="1:63" hidden="1" x14ac:dyDescent="0.2">
      <c r="A111">
        <v>27115984</v>
      </c>
      <c r="B111" s="2" t="str">
        <f>HYPERLINK("http://www.windermere.com/index.cfm?fuseaction=Listing.ListingDetail&amp;ListingID=18779519","Active")</f>
        <v>Active</v>
      </c>
      <c r="D111" t="s">
        <v>194</v>
      </c>
      <c r="E111" t="s">
        <v>522</v>
      </c>
      <c r="F111" s="9">
        <v>366000</v>
      </c>
      <c r="G111" t="s">
        <v>147</v>
      </c>
      <c r="H111" s="1">
        <v>1710</v>
      </c>
      <c r="J111">
        <v>3</v>
      </c>
      <c r="K111">
        <v>3</v>
      </c>
      <c r="M111" s="2" t="str">
        <f>HYPERLINK("http://www.windermere.com/index.cfm?fuseaction=Listing.MapPropertyInteractive&amp;ListingID=18779519&amp;resize=true&amp;windowWidth=800&amp;windowHeight=600","Map")</f>
        <v>Map</v>
      </c>
      <c r="O111" s="2" t="str">
        <f>HYPERLINK("http://www.windermere.com/index.cfm?fuseaction=Listing.MultiImageViewer&amp;ListingID=18779519&amp;ln=27115984&amp;pub_mls=1","More")</f>
        <v>More</v>
      </c>
      <c r="AI111" t="s">
        <v>66</v>
      </c>
      <c r="AJ111">
        <v>98115</v>
      </c>
      <c r="AS111" t="s">
        <v>523</v>
      </c>
      <c r="AT111">
        <v>18779519</v>
      </c>
      <c r="AU111" s="10">
        <v>39495</v>
      </c>
      <c r="BB111" t="s">
        <v>902</v>
      </c>
      <c r="BC111" s="6">
        <v>39260</v>
      </c>
      <c r="BD111">
        <v>1</v>
      </c>
      <c r="BE111" s="5" t="s">
        <v>1245</v>
      </c>
      <c r="BG111">
        <v>235</v>
      </c>
      <c r="BH111" s="15">
        <f t="shared" ca="1" si="1"/>
        <v>1349</v>
      </c>
      <c r="BI111" s="15"/>
      <c r="BJ111" s="15"/>
    </row>
    <row r="112" spans="1:63" hidden="1" x14ac:dyDescent="0.2">
      <c r="A112">
        <v>27207911</v>
      </c>
      <c r="B112" s="2" t="str">
        <f>HYPERLINK("http://www.windermere.com/index.cfm?fuseaction=Listing.ListingDetail&amp;ListingID=19039296","Active")</f>
        <v>Active</v>
      </c>
      <c r="D112" t="s">
        <v>60</v>
      </c>
      <c r="E112" t="s">
        <v>524</v>
      </c>
      <c r="F112" s="9">
        <v>367500</v>
      </c>
      <c r="G112" t="s">
        <v>240</v>
      </c>
      <c r="H112" s="1">
        <v>1530</v>
      </c>
      <c r="I112">
        <v>1291</v>
      </c>
      <c r="J112">
        <v>3</v>
      </c>
      <c r="K112">
        <v>2.25</v>
      </c>
      <c r="M112" s="2" t="str">
        <f>HYPERLINK("http://www.windermere.com/index.cfm?fuseaction=Listing.MapPropertyInteractive&amp;ListingID=19039296&amp;resize=true&amp;windowWidth=800&amp;windowHeight=600","Map")</f>
        <v>Map</v>
      </c>
      <c r="O112" s="2" t="str">
        <f>HYPERLINK("http://www.windermere.com/index.cfm?fuseaction=viewGallery.Home&amp;customTourID=201606&amp;wvt=0","More")</f>
        <v>More</v>
      </c>
      <c r="AI112" t="s">
        <v>66</v>
      </c>
      <c r="AJ112">
        <v>98103</v>
      </c>
      <c r="AS112" t="s">
        <v>525</v>
      </c>
      <c r="AT112">
        <v>19039296</v>
      </c>
      <c r="AU112" s="10">
        <v>39495</v>
      </c>
      <c r="BB112" t="s">
        <v>902</v>
      </c>
      <c r="BC112" s="6">
        <v>39417</v>
      </c>
      <c r="BG112">
        <v>78</v>
      </c>
      <c r="BH112" s="15">
        <f t="shared" ca="1" si="1"/>
        <v>1192</v>
      </c>
      <c r="BI112" s="15"/>
      <c r="BJ112" s="15"/>
    </row>
    <row r="113" spans="1:63" hidden="1" x14ac:dyDescent="0.2">
      <c r="A113">
        <v>28018884</v>
      </c>
      <c r="B113" s="2" t="str">
        <f>HYPERLINK("http://www.windermere.com/index.cfm?fuseaction=Listing.ListingDetail&amp;ListingID=19305266","Active")</f>
        <v>Active</v>
      </c>
      <c r="D113" t="s">
        <v>55</v>
      </c>
      <c r="E113" t="s">
        <v>526</v>
      </c>
      <c r="F113" s="11">
        <v>359000</v>
      </c>
      <c r="G113" t="s">
        <v>239</v>
      </c>
      <c r="H113" s="1">
        <v>1409</v>
      </c>
      <c r="J113">
        <v>3</v>
      </c>
      <c r="K113" s="17">
        <v>3.25</v>
      </c>
      <c r="M113" s="2" t="str">
        <f>HYPERLINK("http://www.windermere.com/index.cfm?fuseaction=Listing.MapPropertyInteractive&amp;ListingID=19305266&amp;resize=true&amp;windowWidth=800&amp;windowHeight=600","Map")</f>
        <v>Map</v>
      </c>
      <c r="O113" s="2" t="str">
        <f>HYPERLINK("http://www.windermere.com/index.cfm?fuseaction=Listing.MultiImageViewer&amp;ListingID=19305266&amp;ln=28018884&amp;pub_mls=1","More")</f>
        <v>More</v>
      </c>
      <c r="AI113" t="s">
        <v>66</v>
      </c>
      <c r="AJ113">
        <v>98133</v>
      </c>
      <c r="AS113" t="s">
        <v>527</v>
      </c>
      <c r="AT113">
        <v>19305266</v>
      </c>
      <c r="AU113" s="10">
        <v>39495</v>
      </c>
      <c r="BB113" t="s">
        <v>902</v>
      </c>
      <c r="BC113" s="6">
        <v>39478</v>
      </c>
      <c r="BD113">
        <v>-4</v>
      </c>
      <c r="BE113" t="s">
        <v>1335</v>
      </c>
      <c r="BG113">
        <v>17</v>
      </c>
      <c r="BH113" s="15">
        <f t="shared" ca="1" si="1"/>
        <v>1131</v>
      </c>
      <c r="BI113" s="15"/>
      <c r="BJ113" s="15"/>
    </row>
    <row r="114" spans="1:63" hidden="1" x14ac:dyDescent="0.2">
      <c r="A114">
        <v>28028262</v>
      </c>
      <c r="B114" s="2" t="str">
        <f>HYPERLINK("http://www.windermere.com/index.cfm?fuseaction=Listing.ListingDetail&amp;ListingID=19379300","Active")</f>
        <v>Active</v>
      </c>
      <c r="D114" t="s">
        <v>184</v>
      </c>
      <c r="E114" t="s">
        <v>528</v>
      </c>
      <c r="F114" s="9">
        <v>368888</v>
      </c>
      <c r="G114" t="s">
        <v>147</v>
      </c>
      <c r="H114" s="1">
        <v>1800</v>
      </c>
      <c r="J114">
        <v>3</v>
      </c>
      <c r="K114">
        <v>2.5</v>
      </c>
      <c r="M114" s="2" t="str">
        <f>HYPERLINK("http://www.windermere.com/index.cfm?fuseaction=Listing.MapPropertyInteractive&amp;ListingID=19379300&amp;resize=true&amp;windowWidth=800&amp;windowHeight=600","Map")</f>
        <v>Map</v>
      </c>
      <c r="O114" s="2" t="str">
        <f>HYPERLINK("http://www.windermere.com/index.cfm?fuseaction=Listing.MultiImageViewer&amp;ListingID=19379300&amp;ln=28028262&amp;pub_mls=1","More")</f>
        <v>More</v>
      </c>
      <c r="AI114" t="s">
        <v>66</v>
      </c>
      <c r="AJ114">
        <v>98125</v>
      </c>
      <c r="AS114" t="s">
        <v>529</v>
      </c>
      <c r="AT114">
        <v>19379300</v>
      </c>
      <c r="AU114" s="10">
        <v>39495</v>
      </c>
      <c r="BB114" t="s">
        <v>902</v>
      </c>
      <c r="BC114" s="6">
        <v>39493</v>
      </c>
      <c r="BG114">
        <v>2</v>
      </c>
      <c r="BH114" s="15">
        <f t="shared" ca="1" si="1"/>
        <v>1116</v>
      </c>
      <c r="BI114" s="15"/>
      <c r="BJ114" s="15"/>
    </row>
    <row r="115" spans="1:63" hidden="1" x14ac:dyDescent="0.2">
      <c r="A115">
        <v>28028263</v>
      </c>
      <c r="B115" s="2" t="str">
        <f>HYPERLINK("http://www.windermere.com/index.cfm?fuseaction=Listing.ListingDetail&amp;ListingID=19379301","Subject To Inspection")</f>
        <v>Subject To Inspection</v>
      </c>
      <c r="D115" t="s">
        <v>184</v>
      </c>
      <c r="E115" t="s">
        <v>530</v>
      </c>
      <c r="F115" s="9">
        <v>368888</v>
      </c>
      <c r="G115" t="s">
        <v>147</v>
      </c>
      <c r="H115" s="1">
        <v>1800</v>
      </c>
      <c r="J115">
        <v>3</v>
      </c>
      <c r="K115">
        <v>2.5</v>
      </c>
      <c r="M115" s="2" t="str">
        <f>HYPERLINK("http://www.windermere.com/index.cfm?fuseaction=Listing.MapPropertyInteractive&amp;ListingID=19379301&amp;resize=true&amp;windowWidth=800&amp;windowHeight=600","Map")</f>
        <v>Map</v>
      </c>
      <c r="O115" s="2" t="str">
        <f>HYPERLINK("http://www.windermere.com/index.cfm?fuseaction=Listing.MultiImageViewer&amp;ListingID=19379301&amp;ln=28028263&amp;pub_mls=1","More")</f>
        <v>More</v>
      </c>
      <c r="AI115" t="s">
        <v>66</v>
      </c>
      <c r="AJ115">
        <v>98125</v>
      </c>
      <c r="AS115" t="s">
        <v>531</v>
      </c>
      <c r="AT115">
        <v>19379301</v>
      </c>
      <c r="AU115" s="10">
        <v>39495</v>
      </c>
      <c r="BB115" t="s">
        <v>902</v>
      </c>
      <c r="BC115" s="6">
        <v>39494</v>
      </c>
      <c r="BG115">
        <v>1</v>
      </c>
      <c r="BH115" s="15">
        <f t="shared" ca="1" si="1"/>
        <v>1115</v>
      </c>
      <c r="BI115" s="15"/>
      <c r="BJ115" s="15"/>
      <c r="BK115" t="str">
        <f>B115</f>
        <v>Subject To Inspection</v>
      </c>
    </row>
    <row r="116" spans="1:63" hidden="1" x14ac:dyDescent="0.2">
      <c r="A116">
        <v>28026168</v>
      </c>
      <c r="B116" s="13" t="str">
        <f>HYPERLINK("http://www.windermere.com/index.cfm?fuseaction=Listing.ListingDetail&amp;ListingID=19371247","Active")</f>
        <v>Active</v>
      </c>
      <c r="D116" t="s">
        <v>55</v>
      </c>
      <c r="E116" t="s">
        <v>532</v>
      </c>
      <c r="F116" s="9">
        <v>369500</v>
      </c>
      <c r="G116" t="s">
        <v>143</v>
      </c>
      <c r="H116" s="1">
        <v>1360</v>
      </c>
      <c r="I116">
        <v>2204</v>
      </c>
      <c r="J116">
        <v>3</v>
      </c>
      <c r="K116">
        <v>2</v>
      </c>
      <c r="M116" s="2" t="str">
        <f>HYPERLINK("http://www.windermere.com/index.cfm?fuseaction=Listing.MapPropertyInteractive&amp;ListingID=19371247&amp;resize=true&amp;windowWidth=800&amp;windowHeight=600","Map")</f>
        <v>Map</v>
      </c>
      <c r="O116" s="2" t="str">
        <f>HYPERLINK("http://www.windermere.com/index.cfm?fuseaction=Listing.MultiImageViewer&amp;ListingID=19371247&amp;ln=28026168&amp;pub_mls=1","More")</f>
        <v>More</v>
      </c>
      <c r="P116" t="s">
        <v>44</v>
      </c>
      <c r="AI116" t="s">
        <v>66</v>
      </c>
      <c r="AJ116">
        <v>98103</v>
      </c>
      <c r="AS116" t="s">
        <v>533</v>
      </c>
      <c r="AT116">
        <v>19371247</v>
      </c>
      <c r="AU116" s="10">
        <v>39495</v>
      </c>
      <c r="BB116" t="s">
        <v>902</v>
      </c>
      <c r="BC116" s="6">
        <v>39492</v>
      </c>
      <c r="BD116">
        <v>2</v>
      </c>
      <c r="BE116" t="s">
        <v>1306</v>
      </c>
      <c r="BG116">
        <v>3</v>
      </c>
      <c r="BH116" s="15">
        <f t="shared" ca="1" si="1"/>
        <v>1117</v>
      </c>
      <c r="BI116" s="15"/>
      <c r="BJ116" s="15"/>
    </row>
    <row r="117" spans="1:63" hidden="1" x14ac:dyDescent="0.2">
      <c r="A117">
        <v>27192829</v>
      </c>
      <c r="B117" s="2" t="str">
        <f>HYPERLINK("http://www.windermere.com/index.cfm?fuseaction=Listing.ListingDetail&amp;ListingID=19322811","Active")</f>
        <v>Active</v>
      </c>
      <c r="D117" t="s">
        <v>42</v>
      </c>
      <c r="E117" t="s">
        <v>534</v>
      </c>
      <c r="F117" s="11">
        <v>364950</v>
      </c>
      <c r="G117" t="s">
        <v>130</v>
      </c>
      <c r="I117">
        <v>4680</v>
      </c>
      <c r="J117">
        <v>2</v>
      </c>
      <c r="K117">
        <v>1</v>
      </c>
      <c r="M117" s="2" t="str">
        <f>HYPERLINK("http://www.windermere.com/index.cfm?fuseaction=Listing.MapPropertyInteractive&amp;ListingID=19322811&amp;resize=true&amp;windowWidth=800&amp;windowHeight=600","Map")</f>
        <v>Map</v>
      </c>
      <c r="O117" s="2" t="str">
        <f>HYPERLINK("http://www.windermere.com/index.cfm?fuseaction=Listing.MultiImageViewer&amp;ListingID=19322811&amp;ln=27192829&amp;pub_mls=1","More")</f>
        <v>More</v>
      </c>
      <c r="AI117" t="s">
        <v>66</v>
      </c>
      <c r="AJ117">
        <v>98133</v>
      </c>
      <c r="AS117" t="s">
        <v>535</v>
      </c>
      <c r="AT117">
        <v>19322811</v>
      </c>
      <c r="AU117" s="10">
        <v>39495</v>
      </c>
      <c r="BB117" t="s">
        <v>902</v>
      </c>
      <c r="BC117" s="6">
        <v>39381</v>
      </c>
      <c r="BG117">
        <v>114</v>
      </c>
      <c r="BH117" s="15">
        <f t="shared" ca="1" si="1"/>
        <v>1228</v>
      </c>
      <c r="BI117" s="15"/>
      <c r="BJ117" s="15"/>
    </row>
    <row r="118" spans="1:63" hidden="1" x14ac:dyDescent="0.2">
      <c r="A118">
        <v>27208202</v>
      </c>
      <c r="B118" s="2" t="str">
        <f>HYPERLINK("http://www.windermere.com/index.cfm?fuseaction=Listing.ListingDetail&amp;ListingID=19036976","Active")</f>
        <v>Active</v>
      </c>
      <c r="D118" t="s">
        <v>1010</v>
      </c>
      <c r="E118" t="s">
        <v>341</v>
      </c>
      <c r="F118" s="9">
        <v>369950</v>
      </c>
      <c r="G118" t="s">
        <v>147</v>
      </c>
      <c r="H118" s="1">
        <v>1272</v>
      </c>
      <c r="J118">
        <v>3</v>
      </c>
      <c r="K118">
        <v>2.5</v>
      </c>
      <c r="M118" s="2" t="str">
        <f>HYPERLINK("http://www.windermere.com/index.cfm?fuseaction=Listing.MapPropertyInteractive&amp;ListingID=19036976&amp;resize=true&amp;windowWidth=800&amp;windowHeight=600","Map")</f>
        <v>Map</v>
      </c>
      <c r="O118" s="2" t="str">
        <f>HYPERLINK("http://www.windermere.com/index.cfm?fuseaction=viewGallery.Home&amp;customTourID=201700&amp;wvt=0","More")</f>
        <v>More</v>
      </c>
      <c r="P118" t="s">
        <v>44</v>
      </c>
      <c r="AI118" t="s">
        <v>66</v>
      </c>
      <c r="AJ118">
        <v>98117</v>
      </c>
      <c r="AS118" t="s">
        <v>342</v>
      </c>
      <c r="AT118">
        <v>19036976</v>
      </c>
      <c r="AU118" s="10">
        <v>39495</v>
      </c>
      <c r="BB118" t="s">
        <v>902</v>
      </c>
      <c r="BC118" s="6">
        <v>39416</v>
      </c>
      <c r="BG118">
        <v>79</v>
      </c>
      <c r="BH118" s="15">
        <f t="shared" ca="1" si="1"/>
        <v>1193</v>
      </c>
      <c r="BI118" s="15"/>
      <c r="BJ118" s="15"/>
    </row>
    <row r="119" spans="1:63" hidden="1" x14ac:dyDescent="0.2">
      <c r="A119">
        <v>27209523</v>
      </c>
      <c r="B119" s="2" t="str">
        <f>HYPERLINK("http://www.windermere.com/index.cfm?fuseaction=Listing.ListingDetail&amp;ListingID=19050830","Active")</f>
        <v>Active</v>
      </c>
      <c r="D119" t="s">
        <v>1010</v>
      </c>
      <c r="E119" t="s">
        <v>345</v>
      </c>
      <c r="F119" s="9">
        <v>369950</v>
      </c>
      <c r="G119" t="s">
        <v>147</v>
      </c>
      <c r="H119" s="1">
        <v>1272</v>
      </c>
      <c r="J119">
        <v>3</v>
      </c>
      <c r="K119">
        <v>2.5</v>
      </c>
      <c r="M119" s="2" t="str">
        <f>HYPERLINK("http://www.windermere.com/index.cfm?fuseaction=Listing.MapPropertyInteractive&amp;ListingID=19050830&amp;resize=true&amp;windowWidth=800&amp;windowHeight=600","Map")</f>
        <v>Map</v>
      </c>
      <c r="O119" s="2" t="str">
        <f>HYPERLINK("http://www.windermere.com/index.cfm?fuseaction=viewGallery.Home&amp;customTourID=201966&amp;wvt=0","More")</f>
        <v>More</v>
      </c>
      <c r="P119" t="s">
        <v>44</v>
      </c>
      <c r="AI119" t="s">
        <v>66</v>
      </c>
      <c r="AJ119">
        <v>98117</v>
      </c>
      <c r="AS119" t="s">
        <v>346</v>
      </c>
      <c r="AT119">
        <v>19050830</v>
      </c>
      <c r="AU119" s="10">
        <v>39495</v>
      </c>
      <c r="BB119" t="s">
        <v>902</v>
      </c>
      <c r="BC119" s="6">
        <v>39420</v>
      </c>
      <c r="BG119">
        <v>75</v>
      </c>
      <c r="BH119" s="15">
        <f t="shared" ca="1" si="1"/>
        <v>1189</v>
      </c>
      <c r="BI119" s="15"/>
      <c r="BJ119" s="15"/>
    </row>
    <row r="120" spans="1:63" hidden="1" x14ac:dyDescent="0.2">
      <c r="A120">
        <v>28014975</v>
      </c>
      <c r="B120" s="2" t="str">
        <f>HYPERLINK("http://www.windermere.com/index.cfm?fuseaction=Listing.ListingDetail&amp;ListingID=19273242","Active")</f>
        <v>Active</v>
      </c>
      <c r="D120" t="s">
        <v>1010</v>
      </c>
      <c r="E120" t="s">
        <v>343</v>
      </c>
      <c r="F120" s="9">
        <v>369950</v>
      </c>
      <c r="G120" t="s">
        <v>147</v>
      </c>
      <c r="H120" s="1">
        <v>1272</v>
      </c>
      <c r="J120">
        <v>3</v>
      </c>
      <c r="K120">
        <v>2.5</v>
      </c>
      <c r="M120" s="2" t="str">
        <f>HYPERLINK("http://www.windermere.com/index.cfm?fuseaction=Listing.MapPropertyInteractive&amp;ListingID=19273242&amp;resize=true&amp;windowWidth=800&amp;windowHeight=600","Map")</f>
        <v>Map</v>
      </c>
      <c r="O120" s="2" t="str">
        <f>HYPERLINK("http://www.windermere.com/index.cfm?fuseaction=viewGallery.Home&amp;customTourID=205637&amp;wvt=0","More")</f>
        <v>More</v>
      </c>
      <c r="P120" t="s">
        <v>44</v>
      </c>
      <c r="AI120" t="s">
        <v>66</v>
      </c>
      <c r="AJ120">
        <v>98117</v>
      </c>
      <c r="AS120" t="s">
        <v>344</v>
      </c>
      <c r="AT120">
        <v>19273242</v>
      </c>
      <c r="AU120" s="10">
        <v>39495</v>
      </c>
      <c r="BB120" t="s">
        <v>902</v>
      </c>
      <c r="BC120" s="6">
        <v>39471</v>
      </c>
      <c r="BG120">
        <v>24</v>
      </c>
      <c r="BH120" s="15">
        <f t="shared" ca="1" si="1"/>
        <v>1138</v>
      </c>
      <c r="BI120" s="15"/>
      <c r="BJ120" s="15"/>
    </row>
    <row r="121" spans="1:63" hidden="1" x14ac:dyDescent="0.2">
      <c r="A121">
        <v>28026581</v>
      </c>
      <c r="B121" s="2" t="str">
        <f>HYPERLINK("http://www.windermere.com/index.cfm?fuseaction=Listing.ListingDetail&amp;ListingID=19366086","Active")</f>
        <v>Active</v>
      </c>
      <c r="D121" t="s">
        <v>1010</v>
      </c>
      <c r="E121" t="s">
        <v>347</v>
      </c>
      <c r="F121" s="9">
        <v>369950</v>
      </c>
      <c r="G121" t="s">
        <v>147</v>
      </c>
      <c r="H121" s="1">
        <v>1272</v>
      </c>
      <c r="J121">
        <v>3</v>
      </c>
      <c r="K121">
        <v>2.5</v>
      </c>
      <c r="M121" s="2" t="str">
        <f>HYPERLINK("http://www.windermere.com/index.cfm?fuseaction=Listing.MapPropertyInteractive&amp;ListingID=19366086&amp;resize=true&amp;windowWidth=800&amp;windowHeight=600","Map")</f>
        <v>Map</v>
      </c>
      <c r="O121" s="2" t="str">
        <f>HYPERLINK("http://www.windermere.com/index.cfm?fuseaction=viewGallery.Home&amp;customTourID=207551&amp;wvt=0","More")</f>
        <v>More</v>
      </c>
      <c r="AI121" t="s">
        <v>66</v>
      </c>
      <c r="AJ121">
        <v>98117</v>
      </c>
      <c r="AS121" t="s">
        <v>348</v>
      </c>
      <c r="AT121">
        <v>19366086</v>
      </c>
      <c r="AU121" s="10">
        <v>39495</v>
      </c>
      <c r="BB121" t="s">
        <v>902</v>
      </c>
      <c r="BC121" s="6">
        <v>39491</v>
      </c>
      <c r="BG121">
        <v>4</v>
      </c>
      <c r="BH121" s="15">
        <f t="shared" ca="1" si="1"/>
        <v>1118</v>
      </c>
      <c r="BI121" s="15"/>
      <c r="BJ121" s="15"/>
    </row>
    <row r="122" spans="1:63" hidden="1" x14ac:dyDescent="0.2">
      <c r="A122">
        <v>28027078</v>
      </c>
      <c r="B122" s="13" t="str">
        <f>HYPERLINK("http://www.windermere.com/index.cfm?fuseaction=Listing.ListingDetail&amp;ListingID=19370571","Subject To Inspection")</f>
        <v>Subject To Inspection</v>
      </c>
      <c r="D122" t="s">
        <v>55</v>
      </c>
      <c r="E122" t="s">
        <v>536</v>
      </c>
      <c r="F122" s="9">
        <v>369950</v>
      </c>
      <c r="G122" t="s">
        <v>135</v>
      </c>
      <c r="H122" s="1">
        <v>1620</v>
      </c>
      <c r="J122">
        <v>3</v>
      </c>
      <c r="K122">
        <v>1.75</v>
      </c>
      <c r="M122" s="2" t="str">
        <f>HYPERLINK("http://www.windermere.com/index.cfm?fuseaction=Listing.MapPropertyInteractive&amp;ListingID=19370571&amp;resize=true&amp;windowWidth=800&amp;windowHeight=600","Map")</f>
        <v>Map</v>
      </c>
      <c r="O122" s="2" t="str">
        <f>HYPERLINK("http://www.windermere.com/index.cfm?fuseaction=Listing.MultiImageViewer&amp;ListingID=19370571&amp;ln=28027078&amp;pub_mls=1","More")</f>
        <v>More</v>
      </c>
      <c r="AI122" t="s">
        <v>66</v>
      </c>
      <c r="AJ122">
        <v>98133</v>
      </c>
      <c r="AS122" t="s">
        <v>537</v>
      </c>
      <c r="AT122">
        <v>19370571</v>
      </c>
      <c r="AU122" s="10">
        <v>39495</v>
      </c>
      <c r="BB122" t="s">
        <v>902</v>
      </c>
      <c r="BC122" s="6">
        <v>39492</v>
      </c>
      <c r="BG122">
        <v>3</v>
      </c>
      <c r="BH122" s="15">
        <f t="shared" ca="1" si="1"/>
        <v>1117</v>
      </c>
      <c r="BI122" s="15"/>
      <c r="BJ122" s="15"/>
    </row>
    <row r="123" spans="1:63" hidden="1" x14ac:dyDescent="0.2">
      <c r="A123">
        <v>28024150</v>
      </c>
      <c r="B123" s="2" t="str">
        <f>HYPERLINK("http://www.windermere.com/index.cfm?fuseaction=Listing.ListingDetail&amp;ListingID=19344098","Active")</f>
        <v>Active</v>
      </c>
      <c r="D123" t="s">
        <v>184</v>
      </c>
      <c r="E123" t="s">
        <v>538</v>
      </c>
      <c r="F123" s="9">
        <v>369999</v>
      </c>
      <c r="G123" t="s">
        <v>124</v>
      </c>
      <c r="J123">
        <v>3</v>
      </c>
      <c r="K123">
        <v>1</v>
      </c>
      <c r="M123" s="2" t="str">
        <f>HYPERLINK("http://www.windermere.com/index.cfm?fuseaction=Listing.MapPropertyInteractive&amp;ListingID=19344098&amp;resize=true&amp;windowWidth=800&amp;windowHeight=600","Map")</f>
        <v>Map</v>
      </c>
      <c r="AI123" t="s">
        <v>66</v>
      </c>
      <c r="AJ123">
        <v>98125</v>
      </c>
      <c r="AS123" t="s">
        <v>539</v>
      </c>
      <c r="AT123">
        <v>19344098</v>
      </c>
      <c r="AU123" s="10">
        <v>39495</v>
      </c>
      <c r="BB123" t="s">
        <v>902</v>
      </c>
      <c r="BC123" s="6">
        <v>39486</v>
      </c>
      <c r="BG123">
        <v>9</v>
      </c>
      <c r="BH123" s="15">
        <f t="shared" ca="1" si="1"/>
        <v>1123</v>
      </c>
      <c r="BI123" s="15"/>
      <c r="BJ123" s="15"/>
    </row>
    <row r="124" spans="1:63" hidden="1" x14ac:dyDescent="0.2">
      <c r="A124">
        <v>28000562</v>
      </c>
      <c r="B124" s="2" t="str">
        <f>HYPERLINK("http://www.windermere.com/index.cfm?fuseaction=Listing.ListingDetail&amp;ListingID=19169349","Active")</f>
        <v>Active</v>
      </c>
      <c r="D124" t="s">
        <v>63</v>
      </c>
      <c r="E124" t="s">
        <v>359</v>
      </c>
      <c r="F124" s="11">
        <v>370000</v>
      </c>
      <c r="G124" t="s">
        <v>149</v>
      </c>
      <c r="I124">
        <v>4000</v>
      </c>
      <c r="J124">
        <v>2</v>
      </c>
      <c r="K124">
        <v>1</v>
      </c>
      <c r="M124" s="2" t="str">
        <f>HYPERLINK("http://www.windermere.com/index.cfm?fuseaction=Listing.MapPropertyInteractive&amp;ListingID=19169349&amp;resize=true&amp;windowWidth=800&amp;windowHeight=600","Map")</f>
        <v>Map</v>
      </c>
      <c r="O124" s="2" t="str">
        <f>HYPERLINK("http://www.windermere.com/index.cfm?fuseaction=Listing.MultiImageViewer&amp;ListingID=19169349&amp;ln=28000562&amp;pub_mls=1","More")</f>
        <v>More</v>
      </c>
      <c r="AI124" t="s">
        <v>66</v>
      </c>
      <c r="AJ124">
        <v>98117</v>
      </c>
      <c r="AS124" t="s">
        <v>360</v>
      </c>
      <c r="AT124">
        <v>19169349</v>
      </c>
      <c r="AU124" s="10">
        <v>39495</v>
      </c>
      <c r="BB124" t="s">
        <v>902</v>
      </c>
      <c r="BC124" s="6">
        <v>39452</v>
      </c>
      <c r="BG124">
        <v>43</v>
      </c>
      <c r="BH124" s="15">
        <f t="shared" ca="1" si="1"/>
        <v>1157</v>
      </c>
      <c r="BI124" s="15"/>
      <c r="BJ124" s="15"/>
    </row>
    <row r="125" spans="1:63" hidden="1" x14ac:dyDescent="0.2">
      <c r="A125">
        <v>28020117</v>
      </c>
      <c r="B125" s="2" t="str">
        <f>HYPERLINK("http://www.windermere.com/index.cfm?fuseaction=Listing.ListingDetail&amp;ListingID=19315288","Active")</f>
        <v>Active</v>
      </c>
      <c r="C125">
        <v>710</v>
      </c>
      <c r="D125" t="s">
        <v>194</v>
      </c>
      <c r="E125" t="s">
        <v>963</v>
      </c>
      <c r="F125" s="9">
        <v>370000</v>
      </c>
      <c r="G125" t="s">
        <v>125</v>
      </c>
      <c r="I125">
        <v>6120</v>
      </c>
      <c r="J125">
        <v>2</v>
      </c>
      <c r="K125">
        <v>1</v>
      </c>
      <c r="L125">
        <v>1</v>
      </c>
      <c r="M125" s="2" t="str">
        <f>HYPERLINK("http://www.windermere.com/index.cfm?fuseaction=Listing.MapPropertyInteractive&amp;ListingID=19315288&amp;resize=true&amp;windowWidth=800&amp;windowHeight=600","Map")</f>
        <v>Map</v>
      </c>
      <c r="N125" s="2" t="str">
        <f>HYPERLINK("http://locmedia.nwmls.com/DO_NOT_LINK/bigphoto/117/28020117.jpg?tsp=20080202102512","Photo")</f>
        <v>Photo</v>
      </c>
      <c r="O125" s="2" t="str">
        <f>HYPERLINK("http://www.windermere.com/index.cfm?fuseaction=Listing.MultiImageViewer&amp;ListingID=19315288&amp;ln=28020117&amp;pub_mls=1","More")</f>
        <v>More</v>
      </c>
      <c r="P125" t="s">
        <v>44</v>
      </c>
      <c r="Q125" t="s">
        <v>56</v>
      </c>
      <c r="R125" t="s">
        <v>67</v>
      </c>
      <c r="S125" t="s">
        <v>106</v>
      </c>
      <c r="T125" t="s">
        <v>50</v>
      </c>
      <c r="U125" t="s">
        <v>44</v>
      </c>
      <c r="X125" t="s">
        <v>47</v>
      </c>
      <c r="Y125" t="s">
        <v>48</v>
      </c>
      <c r="Z125" t="s">
        <v>103</v>
      </c>
      <c r="AB125">
        <v>2007</v>
      </c>
      <c r="AC125">
        <v>465</v>
      </c>
      <c r="AD125" t="s">
        <v>964</v>
      </c>
      <c r="AE125" t="s">
        <v>74</v>
      </c>
      <c r="AF125" t="s">
        <v>195</v>
      </c>
      <c r="AG125">
        <v>47.690925999999997</v>
      </c>
      <c r="AH125">
        <v>-122.292162</v>
      </c>
      <c r="AI125" t="s">
        <v>66</v>
      </c>
      <c r="AJ125">
        <v>98115</v>
      </c>
      <c r="AK125" t="s">
        <v>41</v>
      </c>
      <c r="AL125" t="s">
        <v>40</v>
      </c>
      <c r="AM125" t="s">
        <v>40</v>
      </c>
      <c r="AO125">
        <v>0.14000000000000001</v>
      </c>
      <c r="AP125" t="s">
        <v>965</v>
      </c>
      <c r="AQ125">
        <v>535</v>
      </c>
      <c r="AR125" t="s">
        <v>89</v>
      </c>
      <c r="AS125" t="s">
        <v>1035</v>
      </c>
      <c r="AT125">
        <v>19315288</v>
      </c>
      <c r="AU125" s="10">
        <v>39495</v>
      </c>
      <c r="BA125" t="s">
        <v>902</v>
      </c>
      <c r="BB125" t="s">
        <v>902</v>
      </c>
      <c r="BC125" s="6">
        <v>39480</v>
      </c>
      <c r="BG125">
        <v>15</v>
      </c>
      <c r="BH125" s="15">
        <f t="shared" ca="1" si="1"/>
        <v>1129</v>
      </c>
      <c r="BI125" s="15"/>
      <c r="BJ125" s="15"/>
    </row>
    <row r="126" spans="1:63" hidden="1" x14ac:dyDescent="0.2">
      <c r="A126">
        <v>28002001</v>
      </c>
      <c r="B126" s="2" t="str">
        <f>HYPERLINK("http://www.windermere.com/index.cfm?fuseaction=Listing.ListingDetail&amp;ListingID=19156147","Active")</f>
        <v>Active</v>
      </c>
      <c r="D126" t="s">
        <v>199</v>
      </c>
      <c r="E126" t="s">
        <v>542</v>
      </c>
      <c r="F126" s="9">
        <v>374950</v>
      </c>
      <c r="G126" t="s">
        <v>200</v>
      </c>
      <c r="H126" s="1">
        <v>1040</v>
      </c>
      <c r="I126">
        <v>7287</v>
      </c>
      <c r="J126">
        <v>3</v>
      </c>
      <c r="K126">
        <v>1</v>
      </c>
      <c r="M126" s="2" t="str">
        <f>HYPERLINK("http://www.windermere.com/index.cfm?fuseaction=Listing.MapPropertyInteractive&amp;ListingID=19156147&amp;resize=true&amp;windowWidth=800&amp;windowHeight=600","Map")</f>
        <v>Map</v>
      </c>
      <c r="O126" s="2" t="str">
        <f>HYPERLINK("http://www.windermere.com/index.cfm?fuseaction=Listing.MultiImageViewer&amp;ListingID=19156147&amp;ln=28002001&amp;pub_mls=1","More")</f>
        <v>More</v>
      </c>
      <c r="AI126" t="s">
        <v>66</v>
      </c>
      <c r="AJ126">
        <v>98125</v>
      </c>
      <c r="AS126" t="s">
        <v>543</v>
      </c>
      <c r="AT126">
        <v>19156147</v>
      </c>
      <c r="AU126" s="10">
        <v>39495</v>
      </c>
      <c r="BB126" t="s">
        <v>902</v>
      </c>
      <c r="BC126" s="6">
        <v>39450</v>
      </c>
      <c r="BG126">
        <v>45</v>
      </c>
      <c r="BH126" s="15">
        <f t="shared" ca="1" si="1"/>
        <v>1159</v>
      </c>
      <c r="BI126" s="15"/>
      <c r="BJ126" s="15"/>
    </row>
    <row r="127" spans="1:63" hidden="1" x14ac:dyDescent="0.2">
      <c r="A127">
        <v>28020638</v>
      </c>
      <c r="B127" s="4" t="str">
        <f>HYPERLINK("http://www.windermere.com/index.cfm?fuseaction=Listing.ListingDetail&amp;ListingID=19319974","Subject To Inspection")</f>
        <v>Subject To Inspection</v>
      </c>
      <c r="D127" t="s">
        <v>60</v>
      </c>
      <c r="E127" t="s">
        <v>544</v>
      </c>
      <c r="F127" s="11">
        <v>357000</v>
      </c>
      <c r="G127" t="s">
        <v>177</v>
      </c>
      <c r="H127" s="1">
        <v>1320</v>
      </c>
      <c r="I127">
        <v>3000</v>
      </c>
      <c r="J127">
        <v>2</v>
      </c>
      <c r="K127">
        <v>1</v>
      </c>
      <c r="M127" s="2" t="str">
        <f>HYPERLINK("http://www.windermere.com/index.cfm?fuseaction=Listing.MapPropertyInteractive&amp;ListingID=19319974&amp;resize=true&amp;windowWidth=800&amp;windowHeight=600","Map")</f>
        <v>Map</v>
      </c>
      <c r="O127" s="2" t="str">
        <f>HYPERLINK("http://www.windermere.com/index.cfm?fuseaction=viewGallery.Home&amp;customTourID=199647&amp;wvt=0","More")</f>
        <v>More</v>
      </c>
      <c r="AI127" t="s">
        <v>66</v>
      </c>
      <c r="AJ127">
        <v>98105</v>
      </c>
      <c r="AS127" t="s">
        <v>545</v>
      </c>
      <c r="AT127">
        <v>19319974</v>
      </c>
      <c r="AU127" s="10">
        <v>39495</v>
      </c>
      <c r="BB127" t="s">
        <v>902</v>
      </c>
      <c r="BC127" s="6">
        <v>39482</v>
      </c>
      <c r="BG127">
        <v>13</v>
      </c>
      <c r="BH127" s="15">
        <f t="shared" ca="1" si="1"/>
        <v>1127</v>
      </c>
      <c r="BI127" s="15"/>
      <c r="BJ127" s="15"/>
    </row>
    <row r="128" spans="1:63" hidden="1" x14ac:dyDescent="0.2">
      <c r="A128">
        <v>27206229</v>
      </c>
      <c r="B128" s="2" t="str">
        <f>HYPERLINK("http://www.windermere.com/index.cfm?fuseaction=Listing.ListingDetail&amp;ListingID=19023075","Active")</f>
        <v>Active</v>
      </c>
      <c r="D128" t="s">
        <v>63</v>
      </c>
      <c r="E128" t="s">
        <v>546</v>
      </c>
      <c r="F128" s="9">
        <v>375000</v>
      </c>
      <c r="G128" t="s">
        <v>146</v>
      </c>
      <c r="H128">
        <v>930</v>
      </c>
      <c r="I128">
        <v>2410</v>
      </c>
      <c r="J128">
        <v>2</v>
      </c>
      <c r="K128">
        <v>1</v>
      </c>
      <c r="M128" s="2" t="str">
        <f>HYPERLINK("http://www.windermere.com/index.cfm?fuseaction=Listing.MapPropertyInteractive&amp;ListingID=19023075&amp;resize=true&amp;windowWidth=800&amp;windowHeight=600","Map")</f>
        <v>Map</v>
      </c>
      <c r="O128" s="2" t="str">
        <f>HYPERLINK("http://www.windermere.com/index.cfm?fuseaction=Listing.MultiImageViewer&amp;ListingID=19023075&amp;ln=27206229&amp;pub_mls=1","More")</f>
        <v>More</v>
      </c>
      <c r="P128" t="s">
        <v>44</v>
      </c>
      <c r="AI128" t="s">
        <v>66</v>
      </c>
      <c r="AJ128">
        <v>98107</v>
      </c>
      <c r="AS128" t="s">
        <v>547</v>
      </c>
      <c r="AT128">
        <v>19023075</v>
      </c>
      <c r="AU128" s="10">
        <v>39495</v>
      </c>
      <c r="BB128" t="s">
        <v>902</v>
      </c>
      <c r="BC128" s="6">
        <v>39414</v>
      </c>
      <c r="BG128">
        <v>81</v>
      </c>
      <c r="BH128" s="15">
        <f t="shared" ca="1" si="1"/>
        <v>1195</v>
      </c>
      <c r="BI128" s="15"/>
      <c r="BJ128" s="15"/>
    </row>
    <row r="129" spans="1:63" hidden="1" x14ac:dyDescent="0.2">
      <c r="A129">
        <v>28016368</v>
      </c>
      <c r="B129" s="2" t="str">
        <f>HYPERLINK("http://www.windermere.com/index.cfm?fuseaction=Listing.ListingDetail&amp;ListingID=19286628","Active")</f>
        <v>Active</v>
      </c>
      <c r="D129" t="s">
        <v>192</v>
      </c>
      <c r="E129" t="s">
        <v>550</v>
      </c>
      <c r="F129" s="9">
        <v>375000</v>
      </c>
      <c r="G129" t="s">
        <v>180</v>
      </c>
      <c r="H129" s="1">
        <v>1400</v>
      </c>
      <c r="I129">
        <v>2679</v>
      </c>
      <c r="J129">
        <v>2</v>
      </c>
      <c r="K129">
        <v>1</v>
      </c>
      <c r="M129" s="2" t="str">
        <f>HYPERLINK("http://www.windermere.com/index.cfm?fuseaction=Listing.MapPropertyInteractive&amp;ListingID=19286628&amp;resize=true&amp;windowWidth=800&amp;windowHeight=600","Map")</f>
        <v>Map</v>
      </c>
      <c r="O129" s="2" t="str">
        <f>HYPERLINK("http://www.windermere.com/index.cfm?fuseaction=Listing.MultiImageViewer&amp;ListingID=19286628&amp;ln=28016368&amp;pub_mls=1","More")</f>
        <v>More</v>
      </c>
      <c r="AI129" t="s">
        <v>66</v>
      </c>
      <c r="AJ129">
        <v>98115</v>
      </c>
      <c r="AS129" t="s">
        <v>551</v>
      </c>
      <c r="AT129">
        <v>19286628</v>
      </c>
      <c r="AU129" s="10">
        <v>39495</v>
      </c>
      <c r="BB129" t="s">
        <v>902</v>
      </c>
      <c r="BC129" s="6">
        <v>39474</v>
      </c>
      <c r="BG129">
        <v>21</v>
      </c>
      <c r="BH129" s="15">
        <f t="shared" ca="1" si="1"/>
        <v>1135</v>
      </c>
      <c r="BI129" s="15"/>
      <c r="BJ129" s="15"/>
    </row>
    <row r="130" spans="1:63" hidden="1" x14ac:dyDescent="0.2">
      <c r="A130">
        <v>28018832</v>
      </c>
      <c r="B130" s="13" t="str">
        <f>HYPERLINK("http://www.windermere.com/index.cfm?fuseaction=Listing.ListingDetail&amp;ListingID=19319599","Active")</f>
        <v>Active</v>
      </c>
      <c r="C130">
        <v>710</v>
      </c>
      <c r="D130" t="s">
        <v>188</v>
      </c>
      <c r="E130" t="s">
        <v>548</v>
      </c>
      <c r="F130" s="9">
        <v>375000</v>
      </c>
      <c r="G130" t="s">
        <v>180</v>
      </c>
      <c r="H130" s="1">
        <v>1374</v>
      </c>
      <c r="I130">
        <v>7245</v>
      </c>
      <c r="J130">
        <v>2</v>
      </c>
      <c r="K130">
        <v>1</v>
      </c>
      <c r="M130" s="2" t="str">
        <f>HYPERLINK("http://www.windermere.com/index.cfm?fuseaction=Listing.MapPropertyInteractive&amp;ListingID=19319599&amp;resize=true&amp;windowWidth=800&amp;windowHeight=600","Map")</f>
        <v>Map</v>
      </c>
      <c r="N130" s="2" t="str">
        <f>HYPERLINK("http://locmedia.nwmls.com/DO_NOT_LINK/bigphoto/832/28018832.jpg?tsp=20080204001046","Photo")</f>
        <v>Photo</v>
      </c>
      <c r="O130" s="2" t="str">
        <f>HYPERLINK("http://www.windermere.com/index.cfm?fuseaction=viewGallery.Home&amp;customTourID=206434&amp;wvt=0","More")</f>
        <v>More</v>
      </c>
      <c r="Q130" t="s">
        <v>56</v>
      </c>
      <c r="R130" t="s">
        <v>67</v>
      </c>
      <c r="S130" t="s">
        <v>84</v>
      </c>
      <c r="T130" t="s">
        <v>95</v>
      </c>
      <c r="U130" t="s">
        <v>44</v>
      </c>
      <c r="X130" t="s">
        <v>47</v>
      </c>
      <c r="Y130" t="s">
        <v>48</v>
      </c>
      <c r="Z130" t="s">
        <v>1003</v>
      </c>
      <c r="AA130" t="s">
        <v>1004</v>
      </c>
      <c r="AB130">
        <v>2008</v>
      </c>
      <c r="AC130">
        <v>2533</v>
      </c>
      <c r="AD130" t="s">
        <v>1005</v>
      </c>
      <c r="AE130" t="s">
        <v>1006</v>
      </c>
      <c r="AF130" t="s">
        <v>1007</v>
      </c>
      <c r="AG130">
        <v>47.707067000000002</v>
      </c>
      <c r="AH130">
        <v>-122.297923</v>
      </c>
      <c r="AI130" t="s">
        <v>66</v>
      </c>
      <c r="AJ130">
        <v>98125</v>
      </c>
      <c r="AK130" t="s">
        <v>41</v>
      </c>
      <c r="AL130" t="s">
        <v>40</v>
      </c>
      <c r="AM130" t="s">
        <v>40</v>
      </c>
      <c r="AO130">
        <v>0.16600000000000001</v>
      </c>
      <c r="AP130" t="s">
        <v>1008</v>
      </c>
      <c r="AQ130">
        <v>505</v>
      </c>
      <c r="AR130" t="s">
        <v>1009</v>
      </c>
      <c r="AS130" t="s">
        <v>549</v>
      </c>
      <c r="AT130">
        <v>19319599</v>
      </c>
      <c r="AU130" s="10">
        <v>39495</v>
      </c>
      <c r="BA130" t="s">
        <v>902</v>
      </c>
      <c r="BB130" t="s">
        <v>902</v>
      </c>
      <c r="BC130" s="6">
        <v>39482</v>
      </c>
      <c r="BD130">
        <v>4</v>
      </c>
      <c r="BE130" t="s">
        <v>1336</v>
      </c>
      <c r="BF130" t="s">
        <v>1276</v>
      </c>
      <c r="BG130">
        <v>13</v>
      </c>
      <c r="BH130" s="15">
        <f t="shared" ca="1" si="1"/>
        <v>1127</v>
      </c>
      <c r="BI130" s="15"/>
      <c r="BJ130" s="15"/>
      <c r="BK130" t="str">
        <f>B130</f>
        <v>Active</v>
      </c>
    </row>
    <row r="131" spans="1:63" hidden="1" x14ac:dyDescent="0.2">
      <c r="A131">
        <v>27173474</v>
      </c>
      <c r="B131" s="2" t="str">
        <f>HYPERLINK("http://www.windermere.com/index.cfm?fuseaction=Listing.ListingDetail&amp;ListingID=18679666","Active")</f>
        <v>Active</v>
      </c>
      <c r="D131" t="s">
        <v>908</v>
      </c>
      <c r="E131" t="s">
        <v>554</v>
      </c>
      <c r="F131" s="9">
        <v>376900</v>
      </c>
      <c r="G131" t="s">
        <v>239</v>
      </c>
      <c r="H131" s="1">
        <v>1680</v>
      </c>
      <c r="J131">
        <v>3</v>
      </c>
      <c r="K131">
        <v>3.5</v>
      </c>
      <c r="M131" s="2" t="str">
        <f>HYPERLINK("http://www.windermere.com/index.cfm?fuseaction=Listing.MapPropertyInteractive&amp;ListingID=18679666&amp;resize=true&amp;windowWidth=800&amp;windowHeight=600","Map")</f>
        <v>Map</v>
      </c>
      <c r="O131" s="2" t="str">
        <f>HYPERLINK("http://www.windermere.com/index.cfm?fuseaction=Listing.MultiImageViewer&amp;ListingID=18679666&amp;ln=27173474&amp;pub_mls=1","More")</f>
        <v>More</v>
      </c>
      <c r="AI131" t="s">
        <v>66</v>
      </c>
      <c r="AJ131">
        <v>98125</v>
      </c>
      <c r="AS131" t="s">
        <v>555</v>
      </c>
      <c r="AT131">
        <v>18679666</v>
      </c>
      <c r="AU131" s="10">
        <v>39495</v>
      </c>
      <c r="BB131" t="s">
        <v>902</v>
      </c>
      <c r="BC131" s="6">
        <v>39346</v>
      </c>
      <c r="BG131">
        <v>149</v>
      </c>
      <c r="BH131" s="15">
        <f t="shared" ref="BH131:BH194" ca="1" si="2">TODAY()-BC131</f>
        <v>1263</v>
      </c>
      <c r="BI131" s="15"/>
      <c r="BJ131" s="15"/>
    </row>
    <row r="132" spans="1:63" hidden="1" x14ac:dyDescent="0.2">
      <c r="A132">
        <v>28002900</v>
      </c>
      <c r="B132" s="2" t="str">
        <f>HYPERLINK("http://www.windermere.com/index.cfm?fuseaction=Listing.ListingDetail&amp;ListingID=19164242","Active")</f>
        <v>Active</v>
      </c>
      <c r="D132" t="s">
        <v>908</v>
      </c>
      <c r="E132" t="s">
        <v>552</v>
      </c>
      <c r="F132" s="9">
        <v>376900</v>
      </c>
      <c r="G132" t="s">
        <v>239</v>
      </c>
      <c r="H132" s="1">
        <v>1845</v>
      </c>
      <c r="J132">
        <v>3</v>
      </c>
      <c r="K132">
        <v>3.5</v>
      </c>
      <c r="M132" s="2" t="str">
        <f>HYPERLINK("http://www.windermere.com/index.cfm?fuseaction=Listing.MapPropertyInteractive&amp;ListingID=19164242&amp;resize=true&amp;windowWidth=800&amp;windowHeight=600","Map")</f>
        <v>Map</v>
      </c>
      <c r="O132" s="2" t="str">
        <f>HYPERLINK("http://www.windermere.com/index.cfm?fuseaction=Listing.MultiImageViewer&amp;ListingID=19164242&amp;ln=28002900&amp;pub_mls=1","More")</f>
        <v>More</v>
      </c>
      <c r="AI132" t="s">
        <v>66</v>
      </c>
      <c r="AJ132">
        <v>98125</v>
      </c>
      <c r="AS132" t="s">
        <v>553</v>
      </c>
      <c r="AT132">
        <v>19164242</v>
      </c>
      <c r="AU132" s="10">
        <v>39495</v>
      </c>
      <c r="BB132" t="s">
        <v>902</v>
      </c>
      <c r="BC132" s="6">
        <v>39451</v>
      </c>
      <c r="BG132">
        <v>44</v>
      </c>
      <c r="BH132" s="15">
        <f t="shared" ca="1" si="2"/>
        <v>1158</v>
      </c>
      <c r="BI132" s="15"/>
      <c r="BJ132" s="15"/>
    </row>
    <row r="133" spans="1:63" hidden="1" x14ac:dyDescent="0.2">
      <c r="A133">
        <v>27150683</v>
      </c>
      <c r="B133" s="2" t="str">
        <f>HYPERLINK("http://www.windermere.com/index.cfm?fuseaction=Listing.ListingDetail&amp;ListingID=18468108","Subject To Inspection")</f>
        <v>Subject To Inspection</v>
      </c>
      <c r="D133" t="s">
        <v>184</v>
      </c>
      <c r="E133" t="s">
        <v>556</v>
      </c>
      <c r="F133" s="9">
        <v>378888</v>
      </c>
      <c r="G133" t="s">
        <v>147</v>
      </c>
      <c r="H133" s="1">
        <v>1800</v>
      </c>
      <c r="J133">
        <v>3</v>
      </c>
      <c r="K133">
        <v>2.5</v>
      </c>
      <c r="M133" s="2" t="str">
        <f>HYPERLINK("http://www.windermere.com/index.cfm?fuseaction=Listing.MapPropertyInteractive&amp;ListingID=18468108&amp;resize=true&amp;windowWidth=800&amp;windowHeight=600","Map")</f>
        <v>Map</v>
      </c>
      <c r="O133" s="2" t="str">
        <f>HYPERLINK("http://www.windermere.com/index.cfm?fuseaction=Listing.MultiImageViewer&amp;ListingID=18468108&amp;ln=27150683&amp;pub_mls=1","More")</f>
        <v>More</v>
      </c>
      <c r="AI133" t="s">
        <v>66</v>
      </c>
      <c r="AJ133">
        <v>98125</v>
      </c>
      <c r="AS133" t="s">
        <v>557</v>
      </c>
      <c r="AT133">
        <v>18468108</v>
      </c>
      <c r="AU133" s="10">
        <v>39495</v>
      </c>
      <c r="BB133" t="s">
        <v>902</v>
      </c>
      <c r="BC133" s="6">
        <v>39482</v>
      </c>
      <c r="BD133">
        <v>-2</v>
      </c>
      <c r="BE133" s="5" t="s">
        <v>1253</v>
      </c>
      <c r="BG133">
        <v>13</v>
      </c>
      <c r="BH133" s="15">
        <f t="shared" ca="1" si="2"/>
        <v>1127</v>
      </c>
      <c r="BI133" s="15"/>
      <c r="BJ133" s="15"/>
      <c r="BK133" t="str">
        <f>B133</f>
        <v>Subject To Inspection</v>
      </c>
    </row>
    <row r="134" spans="1:63" hidden="1" x14ac:dyDescent="0.2">
      <c r="A134">
        <v>28023405</v>
      </c>
      <c r="B134" s="2" t="str">
        <f>HYPERLINK("http://www.windermere.com/index.cfm?fuseaction=Listing.ListingDetail&amp;ListingID=19340346","Active")</f>
        <v>Active</v>
      </c>
      <c r="C134">
        <v>710</v>
      </c>
      <c r="D134" t="s">
        <v>184</v>
      </c>
      <c r="E134" t="s">
        <v>558</v>
      </c>
      <c r="F134" s="9">
        <v>379000</v>
      </c>
      <c r="G134" t="s">
        <v>156</v>
      </c>
      <c r="I134">
        <v>6229</v>
      </c>
      <c r="J134">
        <v>3</v>
      </c>
      <c r="K134">
        <v>1</v>
      </c>
      <c r="L134">
        <v>1</v>
      </c>
      <c r="M134" s="2" t="str">
        <f>HYPERLINK("http://www.windermere.com/index.cfm?fuseaction=Listing.MapPropertyInteractive&amp;ListingID=19340346&amp;resize=true&amp;windowWidth=800&amp;windowHeight=600","Map")</f>
        <v>Map</v>
      </c>
      <c r="N134" s="2" t="str">
        <f>HYPERLINK("http://locmedia.nwmls.com/DO_NOT_LINK/bigphoto/405/28023405.jpg?tsp=20080208012058","Photo")</f>
        <v>Photo</v>
      </c>
      <c r="O134" s="2" t="str">
        <f>HYPERLINK("http://www.windermere.com/index.cfm?fuseaction=Listing.MultiImageViewer&amp;ListingID=19340346&amp;ln=28023405&amp;pub_mls=1","More")</f>
        <v>More</v>
      </c>
      <c r="P134" t="s">
        <v>44</v>
      </c>
      <c r="Q134" t="s">
        <v>45</v>
      </c>
      <c r="R134" t="s">
        <v>65</v>
      </c>
      <c r="S134" t="s">
        <v>966</v>
      </c>
      <c r="U134" t="s">
        <v>44</v>
      </c>
      <c r="X134" t="s">
        <v>47</v>
      </c>
      <c r="Y134" t="s">
        <v>48</v>
      </c>
      <c r="Z134" t="s">
        <v>73</v>
      </c>
      <c r="AA134" t="s">
        <v>967</v>
      </c>
      <c r="AB134">
        <v>2007</v>
      </c>
      <c r="AC134">
        <v>2102</v>
      </c>
      <c r="AD134" t="s">
        <v>968</v>
      </c>
      <c r="AE134" t="s">
        <v>954</v>
      </c>
      <c r="AF134" t="s">
        <v>969</v>
      </c>
      <c r="AG134">
        <v>47.719371000000002</v>
      </c>
      <c r="AH134">
        <v>-122.308064</v>
      </c>
      <c r="AI134" t="s">
        <v>66</v>
      </c>
      <c r="AJ134">
        <v>98125</v>
      </c>
      <c r="AK134" t="s">
        <v>41</v>
      </c>
      <c r="AL134" t="s">
        <v>970</v>
      </c>
      <c r="AM134" t="s">
        <v>40</v>
      </c>
      <c r="AO134">
        <v>0.14299999999999999</v>
      </c>
      <c r="AP134" t="s">
        <v>971</v>
      </c>
      <c r="AQ134">
        <v>505</v>
      </c>
      <c r="AR134" t="s">
        <v>187</v>
      </c>
      <c r="AS134" t="s">
        <v>559</v>
      </c>
      <c r="AT134">
        <v>19340346</v>
      </c>
      <c r="AU134" s="10">
        <v>39495</v>
      </c>
      <c r="BA134" t="s">
        <v>902</v>
      </c>
      <c r="BB134" t="s">
        <v>902</v>
      </c>
      <c r="BC134" s="6">
        <v>39486</v>
      </c>
      <c r="BG134">
        <v>9</v>
      </c>
      <c r="BH134" s="15">
        <f t="shared" ca="1" si="2"/>
        <v>1123</v>
      </c>
      <c r="BI134" s="15"/>
      <c r="BJ134" s="15"/>
    </row>
    <row r="135" spans="1:63" hidden="1" x14ac:dyDescent="0.2">
      <c r="A135">
        <v>28024018</v>
      </c>
      <c r="B135" s="2" t="str">
        <f>HYPERLINK("http://www.windermere.com/index.cfm?fuseaction=Listing.ListingDetail&amp;ListingID=19343365","Active")</f>
        <v>Active</v>
      </c>
      <c r="D135" t="s">
        <v>55</v>
      </c>
      <c r="E135" t="s">
        <v>349</v>
      </c>
      <c r="F135" s="9">
        <v>379000</v>
      </c>
      <c r="G135" t="s">
        <v>350</v>
      </c>
      <c r="H135" s="1">
        <v>1300</v>
      </c>
      <c r="I135">
        <v>2751</v>
      </c>
      <c r="J135">
        <v>3</v>
      </c>
      <c r="K135">
        <v>2</v>
      </c>
      <c r="M135" s="2" t="str">
        <f>HYPERLINK("http://www.windermere.com/index.cfm?fuseaction=Listing.MapPropertyInteractive&amp;ListingID=19343365&amp;resize=true&amp;windowWidth=800&amp;windowHeight=600","Map")</f>
        <v>Map</v>
      </c>
      <c r="O135" s="2" t="str">
        <f>HYPERLINK("http://www.windermere.com/index.cfm?fuseaction=Listing.MultiImageViewer&amp;ListingID=19343365&amp;ln=28024018&amp;pub_mls=1","More")</f>
        <v>More</v>
      </c>
      <c r="AI135" t="s">
        <v>66</v>
      </c>
      <c r="AJ135">
        <v>98117</v>
      </c>
      <c r="AS135" t="s">
        <v>351</v>
      </c>
      <c r="AT135">
        <v>19343365</v>
      </c>
      <c r="AU135" s="10">
        <v>39495</v>
      </c>
      <c r="BB135" t="s">
        <v>902</v>
      </c>
      <c r="BC135" s="6">
        <v>39486</v>
      </c>
      <c r="BG135">
        <v>9</v>
      </c>
      <c r="BH135" s="15">
        <f t="shared" ca="1" si="2"/>
        <v>1123</v>
      </c>
      <c r="BI135" s="15"/>
      <c r="BJ135" s="15"/>
    </row>
    <row r="136" spans="1:63" hidden="1" x14ac:dyDescent="0.2">
      <c r="A136">
        <v>27208138</v>
      </c>
      <c r="B136" s="2" t="str">
        <f>HYPERLINK("http://www.windermere.com/index.cfm?fuseaction=Listing.ListingDetail&amp;ListingID=19036477","Active")</f>
        <v>Active</v>
      </c>
      <c r="D136" t="s">
        <v>66</v>
      </c>
      <c r="E136" t="s">
        <v>562</v>
      </c>
      <c r="F136" s="9">
        <v>379900</v>
      </c>
      <c r="G136" t="s">
        <v>239</v>
      </c>
      <c r="H136" s="1">
        <v>1470</v>
      </c>
      <c r="J136">
        <v>3</v>
      </c>
      <c r="K136">
        <v>2.5</v>
      </c>
      <c r="M136" s="2" t="str">
        <f>HYPERLINK("http://www.windermere.com/index.cfm?fuseaction=Listing.MapPropertyInteractive&amp;ListingID=19036477&amp;resize=true&amp;windowWidth=800&amp;windowHeight=600","Map")</f>
        <v>Map</v>
      </c>
      <c r="AI136" t="s">
        <v>66</v>
      </c>
      <c r="AJ136">
        <v>98133</v>
      </c>
      <c r="AS136" t="s">
        <v>563</v>
      </c>
      <c r="AT136">
        <v>19036477</v>
      </c>
      <c r="AU136" s="10">
        <v>39495</v>
      </c>
      <c r="BB136" t="s">
        <v>902</v>
      </c>
      <c r="BC136" s="6">
        <v>39416</v>
      </c>
      <c r="BG136">
        <v>79</v>
      </c>
      <c r="BH136" s="15">
        <f t="shared" ca="1" si="2"/>
        <v>1193</v>
      </c>
      <c r="BI136" s="15"/>
      <c r="BJ136" s="15"/>
    </row>
    <row r="137" spans="1:63" hidden="1" x14ac:dyDescent="0.2">
      <c r="A137">
        <v>28007827</v>
      </c>
      <c r="B137" s="2" t="str">
        <f>HYPERLINK("http://www.windermere.com/index.cfm?fuseaction=Listing.ListingDetail&amp;ListingID=19216135","Active")</f>
        <v>Active</v>
      </c>
      <c r="D137" t="s">
        <v>194</v>
      </c>
      <c r="E137" t="s">
        <v>560</v>
      </c>
      <c r="F137" s="9">
        <v>379900</v>
      </c>
      <c r="G137" t="s">
        <v>161</v>
      </c>
      <c r="H137" s="1">
        <v>1940</v>
      </c>
      <c r="I137">
        <v>4600</v>
      </c>
      <c r="J137">
        <v>3</v>
      </c>
      <c r="K137">
        <v>1.5</v>
      </c>
      <c r="M137" s="2" t="str">
        <f>HYPERLINK("http://www.windermere.com/index.cfm?fuseaction=Listing.MapPropertyInteractive&amp;ListingID=19216135&amp;resize=true&amp;windowWidth=800&amp;windowHeight=600","Map")</f>
        <v>Map</v>
      </c>
      <c r="O137" s="2" t="str">
        <f>HYPERLINK("http://www.windermere.com/index.cfm?fuseaction=Listing.MultiImageViewer&amp;ListingID=19216135&amp;ln=28007827&amp;pub_mls=1","More")</f>
        <v>More</v>
      </c>
      <c r="AI137" t="s">
        <v>66</v>
      </c>
      <c r="AJ137">
        <v>98115</v>
      </c>
      <c r="AS137" t="s">
        <v>561</v>
      </c>
      <c r="AT137">
        <v>19216135</v>
      </c>
      <c r="AU137" s="10">
        <v>39495</v>
      </c>
      <c r="BB137" t="s">
        <v>902</v>
      </c>
      <c r="BC137" s="6">
        <v>39459</v>
      </c>
      <c r="BG137">
        <v>36</v>
      </c>
      <c r="BH137" s="15">
        <f t="shared" ca="1" si="2"/>
        <v>1150</v>
      </c>
      <c r="BI137" s="15"/>
      <c r="BJ137" s="15"/>
    </row>
    <row r="138" spans="1:63" hidden="1" x14ac:dyDescent="0.2">
      <c r="A138">
        <v>27201170</v>
      </c>
      <c r="B138" s="2" t="str">
        <f>HYPERLINK("http://www.windermere.com/index.cfm?fuseaction=Listing.ListingDetail&amp;ListingID=18953287","Subject To Inspection")</f>
        <v>Subject To Inspection</v>
      </c>
      <c r="D138" t="s">
        <v>956</v>
      </c>
      <c r="E138" t="s">
        <v>1036</v>
      </c>
      <c r="F138" s="9">
        <v>379950</v>
      </c>
      <c r="G138" t="s">
        <v>147</v>
      </c>
      <c r="H138" s="1">
        <v>1951</v>
      </c>
      <c r="I138">
        <v>1550</v>
      </c>
      <c r="J138">
        <v>3</v>
      </c>
      <c r="K138">
        <v>3.25</v>
      </c>
      <c r="M138" s="2" t="str">
        <f>HYPERLINK("http://www.windermere.com/index.cfm?fuseaction=Listing.MapPropertyInteractive&amp;ListingID=18953287&amp;resize=true&amp;windowWidth=800&amp;windowHeight=600","Map")</f>
        <v>Map</v>
      </c>
      <c r="O138" s="2" t="str">
        <f>HYPERLINK("http://www.windermere.com/index.cfm?fuseaction=Listing.MultiImageViewer&amp;ListingID=18953287&amp;ln=27201170&amp;pub_mls=1","More")</f>
        <v>More</v>
      </c>
      <c r="AI138" t="s">
        <v>386</v>
      </c>
      <c r="AJ138">
        <v>98155</v>
      </c>
      <c r="AS138" t="s">
        <v>1037</v>
      </c>
      <c r="AT138">
        <v>18953287</v>
      </c>
      <c r="AU138" s="10">
        <v>39495</v>
      </c>
      <c r="BB138" t="s">
        <v>902</v>
      </c>
      <c r="BC138" s="6">
        <v>39399</v>
      </c>
      <c r="BG138">
        <v>96</v>
      </c>
      <c r="BH138" s="15">
        <f t="shared" ca="1" si="2"/>
        <v>1210</v>
      </c>
      <c r="BI138" s="15"/>
      <c r="BJ138" s="15"/>
      <c r="BK138" t="str">
        <f>B138</f>
        <v>Subject To Inspection</v>
      </c>
    </row>
    <row r="139" spans="1:63" hidden="1" x14ac:dyDescent="0.2">
      <c r="A139">
        <v>27211999</v>
      </c>
      <c r="B139" s="2" t="str">
        <f>HYPERLINK("http://www.windermere.com/index.cfm?fuseaction=Listing.ListingDetail&amp;ListingID=19083952","Subject To Inspection")</f>
        <v>Subject To Inspection</v>
      </c>
      <c r="D139" t="s">
        <v>66</v>
      </c>
      <c r="E139" t="s">
        <v>1038</v>
      </c>
      <c r="F139" s="9">
        <v>379950</v>
      </c>
      <c r="G139" t="s">
        <v>147</v>
      </c>
      <c r="H139" s="1">
        <v>1951</v>
      </c>
      <c r="I139">
        <v>1560</v>
      </c>
      <c r="J139">
        <v>3</v>
      </c>
      <c r="K139">
        <v>3.25</v>
      </c>
      <c r="M139" s="2" t="str">
        <f>HYPERLINK("http://www.windermere.com/index.cfm?fuseaction=Listing.MapPropertyInteractive&amp;ListingID=19083952&amp;resize=true&amp;windowWidth=800&amp;windowHeight=600","Map")</f>
        <v>Map</v>
      </c>
      <c r="O139" s="2" t="str">
        <f>HYPERLINK("http://www.windermere.com/index.cfm?fuseaction=Listing.MultiImageViewer&amp;ListingID=19083952&amp;ln=27211999&amp;pub_mls=1","More")</f>
        <v>More</v>
      </c>
      <c r="AI139" t="s">
        <v>386</v>
      </c>
      <c r="AJ139">
        <v>98155</v>
      </c>
      <c r="AS139" t="s">
        <v>1039</v>
      </c>
      <c r="AT139">
        <v>19083952</v>
      </c>
      <c r="AU139" s="10">
        <v>39495</v>
      </c>
      <c r="BB139" t="s">
        <v>902</v>
      </c>
      <c r="BC139" s="6">
        <v>39427</v>
      </c>
      <c r="BG139">
        <v>68</v>
      </c>
      <c r="BH139" s="15">
        <f t="shared" ca="1" si="2"/>
        <v>1182</v>
      </c>
      <c r="BI139" s="15"/>
      <c r="BJ139" s="15"/>
      <c r="BK139" t="str">
        <f>B139</f>
        <v>Subject To Inspection</v>
      </c>
    </row>
    <row r="140" spans="1:63" hidden="1" x14ac:dyDescent="0.2">
      <c r="A140">
        <v>28019593</v>
      </c>
      <c r="B140" s="2" t="str">
        <f>HYPERLINK("http://www.windermere.com/index.cfm?fuseaction=Listing.ListingDetail&amp;ListingID=19310678","Active")</f>
        <v>Active</v>
      </c>
      <c r="D140" t="s">
        <v>60</v>
      </c>
      <c r="E140" t="s">
        <v>564</v>
      </c>
      <c r="F140" s="9">
        <v>379950</v>
      </c>
      <c r="G140" t="s">
        <v>239</v>
      </c>
      <c r="H140" s="1">
        <v>1470</v>
      </c>
      <c r="J140">
        <v>3</v>
      </c>
      <c r="K140">
        <v>2.75</v>
      </c>
      <c r="M140" s="2" t="str">
        <f>HYPERLINK("http://www.windermere.com/index.cfm?fuseaction=Listing.MapPropertyInteractive&amp;ListingID=19310678&amp;resize=true&amp;windowWidth=800&amp;windowHeight=600","Map")</f>
        <v>Map</v>
      </c>
      <c r="AI140" t="s">
        <v>66</v>
      </c>
      <c r="AJ140">
        <v>98103</v>
      </c>
      <c r="AS140" t="s">
        <v>565</v>
      </c>
      <c r="AT140">
        <v>19310678</v>
      </c>
      <c r="AU140" s="10">
        <v>39495</v>
      </c>
      <c r="BB140" t="s">
        <v>902</v>
      </c>
      <c r="BC140" s="6">
        <v>39479</v>
      </c>
      <c r="BG140">
        <v>16</v>
      </c>
      <c r="BH140" s="15">
        <f t="shared" ca="1" si="2"/>
        <v>1130</v>
      </c>
      <c r="BI140" s="15"/>
      <c r="BJ140" s="15"/>
    </row>
    <row r="141" spans="1:63" hidden="1" x14ac:dyDescent="0.2">
      <c r="A141">
        <v>28028005</v>
      </c>
      <c r="B141" s="2" t="str">
        <f>HYPERLINK("http://www.windermere.com/index.cfm?fuseaction=Listing.ListingDetail&amp;ListingID=19382507","Active")</f>
        <v>Active</v>
      </c>
      <c r="D141" t="s">
        <v>109</v>
      </c>
      <c r="E141" t="s">
        <v>566</v>
      </c>
      <c r="F141" s="9">
        <v>379950</v>
      </c>
      <c r="G141" t="s">
        <v>239</v>
      </c>
      <c r="H141" s="1">
        <v>1017</v>
      </c>
      <c r="I141">
        <v>980</v>
      </c>
      <c r="J141">
        <v>2</v>
      </c>
      <c r="K141">
        <v>1.5</v>
      </c>
      <c r="M141" s="2" t="str">
        <f>HYPERLINK("http://www.windermere.com/index.cfm?fuseaction=Listing.MapPropertyInteractive&amp;ListingID=19382507&amp;resize=true&amp;windowWidth=800&amp;windowHeight=600","Map")</f>
        <v>Map</v>
      </c>
      <c r="O141" s="2" t="str">
        <f>HYPERLINK("http://www.windermere.com/index.cfm?fuseaction=Listing.MultiImageViewer&amp;ListingID=19382507&amp;ln=28028005&amp;pub_mls=1","More")</f>
        <v>More</v>
      </c>
      <c r="AI141" t="s">
        <v>66</v>
      </c>
      <c r="AJ141">
        <v>98103</v>
      </c>
      <c r="AS141" t="s">
        <v>567</v>
      </c>
      <c r="AT141">
        <v>19382507</v>
      </c>
      <c r="AU141" s="10">
        <v>39495</v>
      </c>
      <c r="BB141" t="s">
        <v>902</v>
      </c>
      <c r="BC141" s="6">
        <v>39494</v>
      </c>
      <c r="BG141">
        <v>1</v>
      </c>
      <c r="BH141" s="15">
        <f t="shared" ca="1" si="2"/>
        <v>1115</v>
      </c>
      <c r="BI141" s="15"/>
      <c r="BJ141" s="15"/>
    </row>
    <row r="142" spans="1:63" hidden="1" x14ac:dyDescent="0.2">
      <c r="A142">
        <v>28005633</v>
      </c>
      <c r="B142" s="13" t="str">
        <f>HYPERLINK("http://www.windermere.com/index.cfm?fuseaction=Listing.ListingDetail&amp;ListingID=19193863","Subject To Inspection")</f>
        <v>Subject To Inspection</v>
      </c>
      <c r="D142" t="s">
        <v>88</v>
      </c>
      <c r="E142" t="s">
        <v>352</v>
      </c>
      <c r="F142" s="9">
        <v>380000</v>
      </c>
      <c r="G142" t="s">
        <v>129</v>
      </c>
      <c r="H142" s="1">
        <v>1620</v>
      </c>
      <c r="J142">
        <v>2</v>
      </c>
      <c r="K142">
        <v>1</v>
      </c>
      <c r="M142" s="2" t="str">
        <f>HYPERLINK("http://www.windermere.com/index.cfm?fuseaction=Listing.MapPropertyInteractive&amp;ListingID=19193863&amp;resize=true&amp;windowWidth=800&amp;windowHeight=600","Map")</f>
        <v>Map</v>
      </c>
      <c r="O142" s="2" t="str">
        <f>HYPERLINK("http://www.windermere.com/index.cfm?fuseaction=Listing.MultiImageViewer&amp;ListingID=19193863&amp;ln=28005633&amp;pub_mls=1","More")</f>
        <v>More</v>
      </c>
      <c r="AI142" t="s">
        <v>66</v>
      </c>
      <c r="AJ142">
        <v>98117</v>
      </c>
      <c r="AS142" t="s">
        <v>353</v>
      </c>
      <c r="AT142">
        <v>19193863</v>
      </c>
      <c r="AU142" s="10">
        <v>39495</v>
      </c>
      <c r="BB142" t="s">
        <v>902</v>
      </c>
      <c r="BC142" s="6">
        <v>39457</v>
      </c>
      <c r="BG142">
        <v>38</v>
      </c>
      <c r="BH142" s="15">
        <f t="shared" ca="1" si="2"/>
        <v>1152</v>
      </c>
      <c r="BI142" s="15"/>
      <c r="BJ142" s="15"/>
    </row>
    <row r="143" spans="1:63" hidden="1" x14ac:dyDescent="0.2">
      <c r="A143">
        <v>28012841</v>
      </c>
      <c r="B143" s="2" t="str">
        <f>HYPERLINK("http://www.windermere.com/index.cfm?fuseaction=Listing.ListingDetail&amp;ListingID=19257593","Subject To Inspection")</f>
        <v>Subject To Inspection</v>
      </c>
      <c r="D143" t="s">
        <v>218</v>
      </c>
      <c r="E143" t="s">
        <v>568</v>
      </c>
      <c r="F143" s="9">
        <v>380000</v>
      </c>
      <c r="G143" t="s">
        <v>176</v>
      </c>
      <c r="H143">
        <v>870</v>
      </c>
      <c r="I143">
        <v>7128</v>
      </c>
      <c r="J143">
        <v>2</v>
      </c>
      <c r="K143">
        <v>1</v>
      </c>
      <c r="M143" s="2" t="str">
        <f>HYPERLINK("http://www.windermere.com/index.cfm?fuseaction=Listing.MapPropertyInteractive&amp;ListingID=19257593&amp;resize=true&amp;windowWidth=800&amp;windowHeight=600","Map")</f>
        <v>Map</v>
      </c>
      <c r="O143" s="2" t="str">
        <f>HYPERLINK("http://www.windermere.com/index.cfm?fuseaction=Listing.MultiImageViewer&amp;ListingID=19257593&amp;ln=28012841&amp;pub_mls=1","More")</f>
        <v>More</v>
      </c>
      <c r="AI143" t="s">
        <v>66</v>
      </c>
      <c r="AJ143">
        <v>98115</v>
      </c>
      <c r="AS143" t="s">
        <v>569</v>
      </c>
      <c r="AT143">
        <v>19257593</v>
      </c>
      <c r="AU143" s="10">
        <v>39495</v>
      </c>
      <c r="BB143" t="s">
        <v>902</v>
      </c>
      <c r="BC143" s="6">
        <v>39468</v>
      </c>
      <c r="BG143">
        <v>27</v>
      </c>
      <c r="BH143" s="15">
        <f t="shared" ca="1" si="2"/>
        <v>1141</v>
      </c>
      <c r="BI143" s="15"/>
      <c r="BJ143" s="15"/>
      <c r="BK143" t="str">
        <f>B143</f>
        <v>Subject To Inspection</v>
      </c>
    </row>
    <row r="144" spans="1:63" hidden="1" x14ac:dyDescent="0.2">
      <c r="A144">
        <v>27173473</v>
      </c>
      <c r="B144" s="2" t="str">
        <f>HYPERLINK("http://www.windermere.com/index.cfm?fuseaction=Listing.ListingDetail&amp;ListingID=18679639","Subject To Inspection")</f>
        <v>Subject To Inspection</v>
      </c>
      <c r="D144" t="s">
        <v>908</v>
      </c>
      <c r="E144" t="s">
        <v>570</v>
      </c>
      <c r="F144" s="9">
        <v>383900</v>
      </c>
      <c r="G144" t="s">
        <v>147</v>
      </c>
      <c r="H144" s="1">
        <v>1680</v>
      </c>
      <c r="J144">
        <v>3</v>
      </c>
      <c r="K144">
        <v>3.5</v>
      </c>
      <c r="M144" s="2" t="str">
        <f>HYPERLINK("http://www.windermere.com/index.cfm?fuseaction=Listing.MapPropertyInteractive&amp;ListingID=18679639&amp;resize=true&amp;windowWidth=800&amp;windowHeight=600","Map")</f>
        <v>Map</v>
      </c>
      <c r="AI144" t="s">
        <v>66</v>
      </c>
      <c r="AJ144">
        <v>98125</v>
      </c>
      <c r="AS144" t="s">
        <v>571</v>
      </c>
      <c r="AT144">
        <v>18679639</v>
      </c>
      <c r="AU144" s="10">
        <v>39495</v>
      </c>
      <c r="BB144" t="s">
        <v>902</v>
      </c>
      <c r="BC144" s="6">
        <v>39346</v>
      </c>
      <c r="BG144">
        <v>149</v>
      </c>
      <c r="BH144" s="15">
        <f t="shared" ca="1" si="2"/>
        <v>1263</v>
      </c>
      <c r="BI144" s="15"/>
      <c r="BJ144" s="15"/>
      <c r="BK144" t="str">
        <f>B144</f>
        <v>Subject To Inspection</v>
      </c>
    </row>
    <row r="145" spans="1:63" hidden="1" x14ac:dyDescent="0.2">
      <c r="A145">
        <v>28013863</v>
      </c>
      <c r="B145" s="2" t="str">
        <f>HYPERLINK("http://www.windermere.com/index.cfm?fuseaction=Listing.ListingDetail&amp;ListingID=19264129","Subject To Inspection")</f>
        <v>Subject To Inspection</v>
      </c>
      <c r="D145" t="s">
        <v>908</v>
      </c>
      <c r="E145" t="s">
        <v>572</v>
      </c>
      <c r="F145" s="9">
        <v>383900</v>
      </c>
      <c r="G145" t="s">
        <v>147</v>
      </c>
      <c r="H145" s="1">
        <v>1680</v>
      </c>
      <c r="J145">
        <v>3</v>
      </c>
      <c r="K145">
        <v>3.5</v>
      </c>
      <c r="M145" s="2" t="str">
        <f>HYPERLINK("http://www.windermere.com/index.cfm?fuseaction=Listing.MapPropertyInteractive&amp;ListingID=19264129&amp;resize=true&amp;windowWidth=800&amp;windowHeight=600","Map")</f>
        <v>Map</v>
      </c>
      <c r="AI145" t="s">
        <v>66</v>
      </c>
      <c r="AJ145">
        <v>98125</v>
      </c>
      <c r="AS145" t="s">
        <v>573</v>
      </c>
      <c r="AT145">
        <v>19264129</v>
      </c>
      <c r="AU145" s="10">
        <v>39495</v>
      </c>
      <c r="BB145" t="s">
        <v>902</v>
      </c>
      <c r="BC145" s="6">
        <v>39469</v>
      </c>
      <c r="BG145">
        <v>26</v>
      </c>
      <c r="BH145" s="15">
        <f t="shared" ca="1" si="2"/>
        <v>1140</v>
      </c>
      <c r="BI145" s="15"/>
      <c r="BJ145" s="15"/>
      <c r="BK145" t="str">
        <f>B145</f>
        <v>Subject To Inspection</v>
      </c>
    </row>
    <row r="146" spans="1:63" hidden="1" x14ac:dyDescent="0.2">
      <c r="A146">
        <v>28015881</v>
      </c>
      <c r="B146" s="2" t="str">
        <f>HYPERLINK("http://www.windermere.com/index.cfm?fuseaction=Listing.ListingDetail&amp;ListingID=19280440","Active")</f>
        <v>Active</v>
      </c>
      <c r="D146" t="s">
        <v>908</v>
      </c>
      <c r="E146" t="s">
        <v>578</v>
      </c>
      <c r="F146" s="9">
        <v>383900</v>
      </c>
      <c r="G146" t="s">
        <v>239</v>
      </c>
      <c r="H146" s="1">
        <v>1845</v>
      </c>
      <c r="J146">
        <v>3</v>
      </c>
      <c r="K146">
        <v>3.5</v>
      </c>
      <c r="M146" s="2" t="str">
        <f>HYPERLINK("http://www.windermere.com/index.cfm?fuseaction=Listing.MapPropertyInteractive&amp;ListingID=19280440&amp;resize=true&amp;windowWidth=800&amp;windowHeight=600","Map")</f>
        <v>Map</v>
      </c>
      <c r="O146" s="2" t="str">
        <f>HYPERLINK("http://www.windermere.com/index.cfm?fuseaction=Listing.MultiImageViewer&amp;ListingID=19280440&amp;ln=28015881&amp;pub_mls=1","More")</f>
        <v>More</v>
      </c>
      <c r="AI146" t="s">
        <v>66</v>
      </c>
      <c r="AJ146">
        <v>98125</v>
      </c>
      <c r="AS146" t="s">
        <v>579</v>
      </c>
      <c r="AT146">
        <v>19280440</v>
      </c>
      <c r="AU146" s="10">
        <v>39495</v>
      </c>
      <c r="BB146" t="s">
        <v>902</v>
      </c>
      <c r="BC146" s="6">
        <v>39472</v>
      </c>
      <c r="BG146">
        <v>23</v>
      </c>
      <c r="BH146" s="15">
        <f t="shared" ca="1" si="2"/>
        <v>1137</v>
      </c>
      <c r="BI146" s="15"/>
      <c r="BJ146" s="15"/>
    </row>
    <row r="147" spans="1:63" hidden="1" x14ac:dyDescent="0.2">
      <c r="A147">
        <v>28015892</v>
      </c>
      <c r="B147" s="2" t="str">
        <f>HYPERLINK("http://www.windermere.com/index.cfm?fuseaction=Listing.ListingDetail&amp;ListingID=19280441","Active")</f>
        <v>Active</v>
      </c>
      <c r="D147" t="s">
        <v>908</v>
      </c>
      <c r="E147" t="s">
        <v>580</v>
      </c>
      <c r="F147" s="9">
        <v>383900</v>
      </c>
      <c r="G147" t="s">
        <v>239</v>
      </c>
      <c r="H147" s="1">
        <v>1845</v>
      </c>
      <c r="J147">
        <v>3</v>
      </c>
      <c r="K147">
        <v>3.5</v>
      </c>
      <c r="M147" s="2" t="str">
        <f>HYPERLINK("http://www.windermere.com/index.cfm?fuseaction=Listing.MapPropertyInteractive&amp;ListingID=19280441&amp;resize=true&amp;windowWidth=800&amp;windowHeight=600","Map")</f>
        <v>Map</v>
      </c>
      <c r="O147" s="2" t="str">
        <f>HYPERLINK("http://www.windermere.com/index.cfm?fuseaction=Listing.MultiImageViewer&amp;ListingID=19280441&amp;ln=28015892&amp;pub_mls=1","More")</f>
        <v>More</v>
      </c>
      <c r="AI147" t="s">
        <v>66</v>
      </c>
      <c r="AJ147">
        <v>98125</v>
      </c>
      <c r="AS147" t="s">
        <v>581</v>
      </c>
      <c r="AT147">
        <v>19280441</v>
      </c>
      <c r="AU147" s="10">
        <v>39495</v>
      </c>
      <c r="BB147" t="s">
        <v>902</v>
      </c>
      <c r="BC147" s="6">
        <v>39472</v>
      </c>
      <c r="BG147">
        <v>23</v>
      </c>
      <c r="BH147" s="15">
        <f t="shared" ca="1" si="2"/>
        <v>1137</v>
      </c>
      <c r="BI147" s="15"/>
      <c r="BJ147" s="15"/>
    </row>
    <row r="148" spans="1:63" hidden="1" x14ac:dyDescent="0.2">
      <c r="A148">
        <v>28021767</v>
      </c>
      <c r="B148" s="2" t="str">
        <f>HYPERLINK("http://www.windermere.com/index.cfm?fuseaction=Listing.ListingDetail&amp;ListingID=19327123","Active")</f>
        <v>Active</v>
      </c>
      <c r="D148" t="s">
        <v>908</v>
      </c>
      <c r="E148" t="s">
        <v>574</v>
      </c>
      <c r="F148" s="9">
        <v>383900</v>
      </c>
      <c r="G148" t="s">
        <v>147</v>
      </c>
      <c r="H148" s="1">
        <v>1680</v>
      </c>
      <c r="J148">
        <v>3</v>
      </c>
      <c r="K148">
        <v>3.5</v>
      </c>
      <c r="M148" s="2" t="str">
        <f>HYPERLINK("http://www.windermere.com/index.cfm?fuseaction=Listing.MapPropertyInteractive&amp;ListingID=19327123&amp;resize=true&amp;windowWidth=800&amp;windowHeight=600","Map")</f>
        <v>Map</v>
      </c>
      <c r="O148" s="2" t="str">
        <f>HYPERLINK("http://www.windermere.com/index.cfm?fuseaction=Listing.MultiImageViewer&amp;ListingID=19327123&amp;ln=28021767&amp;pub_mls=1","More")</f>
        <v>More</v>
      </c>
      <c r="AI148" t="s">
        <v>66</v>
      </c>
      <c r="AJ148">
        <v>98125</v>
      </c>
      <c r="AS148" t="s">
        <v>575</v>
      </c>
      <c r="AT148">
        <v>19327123</v>
      </c>
      <c r="AU148" s="10">
        <v>39495</v>
      </c>
      <c r="BB148" t="s">
        <v>902</v>
      </c>
      <c r="BC148" s="6">
        <v>39483</v>
      </c>
      <c r="BG148">
        <v>12</v>
      </c>
      <c r="BH148" s="15">
        <f t="shared" ca="1" si="2"/>
        <v>1126</v>
      </c>
      <c r="BI148" s="15"/>
      <c r="BJ148" s="15"/>
    </row>
    <row r="149" spans="1:63" hidden="1" x14ac:dyDescent="0.2">
      <c r="A149">
        <v>28021867</v>
      </c>
      <c r="B149" s="2" t="str">
        <f>HYPERLINK("http://www.windermere.com/index.cfm?fuseaction=Listing.ListingDetail&amp;ListingID=19327718","Active")</f>
        <v>Active</v>
      </c>
      <c r="D149" t="s">
        <v>908</v>
      </c>
      <c r="E149" t="s">
        <v>576</v>
      </c>
      <c r="F149" s="9">
        <v>383900</v>
      </c>
      <c r="G149" t="s">
        <v>147</v>
      </c>
      <c r="H149" s="1">
        <v>1680</v>
      </c>
      <c r="J149">
        <v>3</v>
      </c>
      <c r="K149">
        <v>3.5</v>
      </c>
      <c r="M149" s="2" t="str">
        <f>HYPERLINK("http://www.windermere.com/index.cfm?fuseaction=Listing.MapPropertyInteractive&amp;ListingID=19327718&amp;resize=true&amp;windowWidth=800&amp;windowHeight=600","Map")</f>
        <v>Map</v>
      </c>
      <c r="O149" s="2" t="str">
        <f>HYPERLINK("http://www.windermere.com/index.cfm?fuseaction=Listing.MultiImageViewer&amp;ListingID=19327718&amp;ln=28021867&amp;pub_mls=1","More")</f>
        <v>More</v>
      </c>
      <c r="AI149" t="s">
        <v>66</v>
      </c>
      <c r="AJ149">
        <v>98125</v>
      </c>
      <c r="AS149" t="s">
        <v>577</v>
      </c>
      <c r="AT149">
        <v>19327718</v>
      </c>
      <c r="AU149" s="10">
        <v>39495</v>
      </c>
      <c r="BB149" t="s">
        <v>902</v>
      </c>
      <c r="BC149" s="6">
        <v>39483</v>
      </c>
      <c r="BG149">
        <v>12</v>
      </c>
      <c r="BH149" s="15">
        <f t="shared" ca="1" si="2"/>
        <v>1126</v>
      </c>
      <c r="BI149" s="15"/>
      <c r="BJ149" s="15"/>
    </row>
    <row r="150" spans="1:63" hidden="1" x14ac:dyDescent="0.2">
      <c r="A150">
        <v>28000694</v>
      </c>
      <c r="B150" s="2" t="str">
        <f>HYPERLINK("http://www.windermere.com/index.cfm?fuseaction=Listing.ListingDetail&amp;ListingID=19147164","Active")</f>
        <v>Active</v>
      </c>
      <c r="D150" t="s">
        <v>1040</v>
      </c>
      <c r="E150" t="s">
        <v>582</v>
      </c>
      <c r="F150" s="9">
        <v>384950</v>
      </c>
      <c r="G150" t="s">
        <v>240</v>
      </c>
      <c r="H150" s="1">
        <v>1720</v>
      </c>
      <c r="I150">
        <v>3247</v>
      </c>
      <c r="J150">
        <v>3</v>
      </c>
      <c r="K150">
        <v>2.5</v>
      </c>
      <c r="M150" s="2" t="str">
        <f>HYPERLINK("http://www.windermere.com/index.cfm?fuseaction=Listing.MapPropertyInteractive&amp;ListingID=19147164&amp;resize=true&amp;windowWidth=800&amp;windowHeight=600","Map")</f>
        <v>Map</v>
      </c>
      <c r="O150" s="2" t="str">
        <f>HYPERLINK("http://www.windermere.com/index.cfm?fuseaction=viewGallery.Home&amp;customTourID=196131&amp;wvt=0","More")</f>
        <v>More</v>
      </c>
      <c r="AI150" t="s">
        <v>66</v>
      </c>
      <c r="AJ150">
        <v>98177</v>
      </c>
      <c r="AS150" t="s">
        <v>583</v>
      </c>
      <c r="AT150">
        <v>19147164</v>
      </c>
      <c r="AU150" s="10">
        <v>39495</v>
      </c>
      <c r="BB150" t="s">
        <v>902</v>
      </c>
      <c r="BC150" s="6">
        <v>39449</v>
      </c>
      <c r="BG150">
        <v>46</v>
      </c>
      <c r="BH150" s="15">
        <f t="shared" ca="1" si="2"/>
        <v>1160</v>
      </c>
      <c r="BI150" s="15"/>
      <c r="BJ150" s="15"/>
    </row>
    <row r="151" spans="1:63" hidden="1" x14ac:dyDescent="0.2">
      <c r="A151">
        <v>28028536</v>
      </c>
      <c r="B151" s="2" t="str">
        <f>HYPERLINK("http://www.windermere.com/index.cfm?fuseaction=Listing.ListingDetail&amp;ListingID=19382798","Active")</f>
        <v>Active</v>
      </c>
      <c r="D151" t="s">
        <v>109</v>
      </c>
      <c r="E151" t="s">
        <v>584</v>
      </c>
      <c r="F151" s="9">
        <v>384950</v>
      </c>
      <c r="G151" t="s">
        <v>239</v>
      </c>
      <c r="H151" s="1">
        <v>1045</v>
      </c>
      <c r="I151">
        <v>1000</v>
      </c>
      <c r="J151">
        <v>2</v>
      </c>
      <c r="K151">
        <v>1.5</v>
      </c>
      <c r="M151" s="2" t="str">
        <f>HYPERLINK("http://www.windermere.com/index.cfm?fuseaction=Listing.MapPropertyInteractive&amp;ListingID=19382798&amp;resize=true&amp;windowWidth=800&amp;windowHeight=600","Map")</f>
        <v>Map</v>
      </c>
      <c r="O151" s="2" t="str">
        <f>HYPERLINK("http://www.windermere.com/index.cfm?fuseaction=Listing.MultiImageViewer&amp;ListingID=19382798&amp;ln=28028536&amp;pub_mls=1","More")</f>
        <v>More</v>
      </c>
      <c r="AI151" t="s">
        <v>66</v>
      </c>
      <c r="AJ151">
        <v>98103</v>
      </c>
      <c r="AS151" t="s">
        <v>585</v>
      </c>
      <c r="AT151">
        <v>19382798</v>
      </c>
      <c r="AU151" s="10">
        <v>39495</v>
      </c>
      <c r="BB151" t="s">
        <v>902</v>
      </c>
      <c r="BC151" s="6">
        <v>39494</v>
      </c>
      <c r="BG151">
        <v>1</v>
      </c>
      <c r="BH151" s="15">
        <f t="shared" ca="1" si="2"/>
        <v>1115</v>
      </c>
      <c r="BI151" s="15"/>
      <c r="BJ151" s="15"/>
    </row>
    <row r="152" spans="1:63" hidden="1" x14ac:dyDescent="0.2">
      <c r="A152">
        <v>27194397</v>
      </c>
      <c r="B152" s="2" t="str">
        <f>HYPERLINK("http://www.windermere.com/index.cfm?fuseaction=Listing.ListingDetail&amp;ListingID=18891692","Active")</f>
        <v>Active</v>
      </c>
      <c r="D152" t="s">
        <v>60</v>
      </c>
      <c r="E152" t="s">
        <v>588</v>
      </c>
      <c r="F152" s="9">
        <v>385000</v>
      </c>
      <c r="G152" t="s">
        <v>589</v>
      </c>
      <c r="H152" s="1">
        <v>1466</v>
      </c>
      <c r="J152">
        <v>3</v>
      </c>
      <c r="K152">
        <v>2.75</v>
      </c>
      <c r="M152" s="2" t="str">
        <f>HYPERLINK("http://www.windermere.com/index.cfm?fuseaction=Listing.MapPropertyInteractive&amp;ListingID=18891692&amp;resize=true&amp;windowWidth=800&amp;windowHeight=600","Map")</f>
        <v>Map</v>
      </c>
      <c r="O152" s="2" t="str">
        <f>HYPERLINK("http://www.windermere.com/index.cfm?fuseaction=Listing.MultiImageViewer&amp;ListingID=18891692&amp;ln=27194397&amp;pub_mls=1","More")</f>
        <v>More</v>
      </c>
      <c r="AI152" t="s">
        <v>66</v>
      </c>
      <c r="AJ152">
        <v>98103</v>
      </c>
      <c r="AS152" t="s">
        <v>590</v>
      </c>
      <c r="AT152">
        <v>18891692</v>
      </c>
      <c r="AU152" s="10">
        <v>39495</v>
      </c>
      <c r="BB152" t="s">
        <v>902</v>
      </c>
      <c r="BC152" s="6">
        <v>39386</v>
      </c>
      <c r="BG152">
        <v>109</v>
      </c>
      <c r="BH152" s="15">
        <f t="shared" ca="1" si="2"/>
        <v>1223</v>
      </c>
      <c r="BI152" s="15"/>
      <c r="BJ152" s="15"/>
    </row>
    <row r="153" spans="1:63" hidden="1" x14ac:dyDescent="0.2">
      <c r="A153">
        <v>28007321</v>
      </c>
      <c r="B153" s="2" t="str">
        <f>HYPERLINK("http://www.windermere.com/index.cfm?fuseaction=Listing.ListingDetail&amp;ListingID=19206266","Active")</f>
        <v>Active</v>
      </c>
      <c r="D153" t="s">
        <v>78</v>
      </c>
      <c r="E153" t="s">
        <v>354</v>
      </c>
      <c r="F153" s="9">
        <v>385000</v>
      </c>
      <c r="G153" t="s">
        <v>248</v>
      </c>
      <c r="H153" s="1">
        <v>1330</v>
      </c>
      <c r="J153">
        <v>3</v>
      </c>
      <c r="K153">
        <v>2.5</v>
      </c>
      <c r="M153" s="2" t="str">
        <f>HYPERLINK("http://www.windermere.com/index.cfm?fuseaction=Listing.MapPropertyInteractive&amp;ListingID=19206266&amp;resize=true&amp;windowWidth=800&amp;windowHeight=600","Map")</f>
        <v>Map</v>
      </c>
      <c r="O153" s="2" t="str">
        <f>HYPERLINK("http://www.windermere.com/index.cfm?fuseaction=Listing.MultiImageViewer&amp;ListingID=19206266&amp;ln=28007321&amp;pub_mls=1","More")</f>
        <v>More</v>
      </c>
      <c r="AI153" t="s">
        <v>66</v>
      </c>
      <c r="AJ153">
        <v>98117</v>
      </c>
      <c r="AS153" t="s">
        <v>355</v>
      </c>
      <c r="AT153">
        <v>19206266</v>
      </c>
      <c r="AU153" s="10">
        <v>39495</v>
      </c>
      <c r="BB153" t="s">
        <v>902</v>
      </c>
      <c r="BC153" s="6">
        <v>39458</v>
      </c>
      <c r="BG153">
        <v>37</v>
      </c>
      <c r="BH153" s="15">
        <f t="shared" ca="1" si="2"/>
        <v>1151</v>
      </c>
      <c r="BI153" s="15"/>
      <c r="BJ153" s="15"/>
    </row>
    <row r="154" spans="1:63" hidden="1" x14ac:dyDescent="0.2">
      <c r="A154">
        <v>28022095</v>
      </c>
      <c r="B154" s="2" t="str">
        <f>HYPERLINK("http://www.windermere.com/index.cfm?fuseaction=Listing.ListingDetail&amp;ListingID=19332676","Active")</f>
        <v>Active</v>
      </c>
      <c r="C154">
        <v>705</v>
      </c>
      <c r="D154" t="s">
        <v>908</v>
      </c>
      <c r="E154" t="s">
        <v>586</v>
      </c>
      <c r="F154" s="9">
        <v>385000</v>
      </c>
      <c r="G154" t="s">
        <v>146</v>
      </c>
      <c r="H154" s="1">
        <v>1060</v>
      </c>
      <c r="I154">
        <v>6000</v>
      </c>
      <c r="J154">
        <v>2</v>
      </c>
      <c r="K154">
        <v>1</v>
      </c>
      <c r="L154">
        <v>1</v>
      </c>
      <c r="M154" s="2" t="str">
        <f>HYPERLINK("http://www.windermere.com/index.cfm?fuseaction=Listing.MapPropertyInteractive&amp;ListingID=19332676&amp;resize=true&amp;windowWidth=800&amp;windowHeight=600","Map")</f>
        <v>Map</v>
      </c>
      <c r="N154" s="2" t="str">
        <f>HYPERLINK("http://locmedia.nwmls.com/DO_NOT_LINK/bigphoto/095/28022095.jpg?tsp=20080207091702","Photo")</f>
        <v>Photo</v>
      </c>
      <c r="O154" s="2" t="str">
        <f>HYPERLINK("http://www.windermere.com/index.cfm?fuseaction=Listing.MultiImageViewer&amp;ListingID=19332676&amp;ln=28022095&amp;pub_mls=1","More")</f>
        <v>More</v>
      </c>
      <c r="Q154" t="s">
        <v>56</v>
      </c>
      <c r="R154" t="s">
        <v>67</v>
      </c>
      <c r="S154" t="s">
        <v>58</v>
      </c>
      <c r="X154" t="s">
        <v>47</v>
      </c>
      <c r="Y154" t="s">
        <v>48</v>
      </c>
      <c r="Z154" t="s">
        <v>87</v>
      </c>
      <c r="AB154">
        <v>2007</v>
      </c>
      <c r="AC154">
        <v>2863</v>
      </c>
      <c r="AD154" t="s">
        <v>909</v>
      </c>
      <c r="AE154" t="s">
        <v>910</v>
      </c>
      <c r="AF154" t="s">
        <v>911</v>
      </c>
      <c r="AG154">
        <v>47.706873999999999</v>
      </c>
      <c r="AH154">
        <v>-122.338292</v>
      </c>
      <c r="AI154" t="s">
        <v>66</v>
      </c>
      <c r="AJ154">
        <v>98133</v>
      </c>
      <c r="AK154" t="s">
        <v>41</v>
      </c>
      <c r="AL154" t="s">
        <v>40</v>
      </c>
      <c r="AM154" t="s">
        <v>40</v>
      </c>
      <c r="AO154">
        <v>0.13800000000000001</v>
      </c>
      <c r="AP154" t="s">
        <v>912</v>
      </c>
      <c r="AQ154">
        <v>505</v>
      </c>
      <c r="AR154" t="s">
        <v>913</v>
      </c>
      <c r="AS154" t="s">
        <v>587</v>
      </c>
      <c r="AT154">
        <v>19332676</v>
      </c>
      <c r="AU154" s="10">
        <v>39495</v>
      </c>
      <c r="BA154" t="s">
        <v>902</v>
      </c>
      <c r="BB154" t="s">
        <v>902</v>
      </c>
      <c r="BC154" s="6">
        <v>39484</v>
      </c>
      <c r="BG154">
        <v>11</v>
      </c>
      <c r="BH154" s="15">
        <f t="shared" ca="1" si="2"/>
        <v>1125</v>
      </c>
      <c r="BI154" s="15"/>
      <c r="BJ154" s="15"/>
    </row>
    <row r="155" spans="1:63" hidden="1" x14ac:dyDescent="0.2">
      <c r="A155">
        <v>27160662</v>
      </c>
      <c r="B155" s="2" t="str">
        <f>HYPERLINK("http://www.windermere.com/index.cfm?fuseaction=Listing.ListingDetail&amp;ListingID=18555463","Active")</f>
        <v>Active</v>
      </c>
      <c r="D155" t="s">
        <v>63</v>
      </c>
      <c r="E155" t="s">
        <v>591</v>
      </c>
      <c r="F155" s="9">
        <v>389950</v>
      </c>
      <c r="G155" t="s">
        <v>147</v>
      </c>
      <c r="H155" s="1">
        <v>1320</v>
      </c>
      <c r="J155">
        <v>2</v>
      </c>
      <c r="K155">
        <v>2.5</v>
      </c>
      <c r="M155" s="2" t="str">
        <f>HYPERLINK("http://www.windermere.com/index.cfm?fuseaction=Listing.MapPropertyInteractive&amp;ListingID=18555463&amp;resize=true&amp;windowWidth=800&amp;windowHeight=600","Map")</f>
        <v>Map</v>
      </c>
      <c r="O155" s="2" t="str">
        <f>HYPERLINK("http://www.windermere.com/index.cfm?fuseaction=Listing.MultiImageViewer&amp;ListingID=18555463&amp;ln=27160662&amp;pub_mls=1","More")</f>
        <v>More</v>
      </c>
      <c r="P155" t="s">
        <v>44</v>
      </c>
      <c r="AI155" t="s">
        <v>66</v>
      </c>
      <c r="AJ155">
        <v>98107</v>
      </c>
      <c r="AS155" t="s">
        <v>592</v>
      </c>
      <c r="AT155">
        <v>18555463</v>
      </c>
      <c r="AU155" s="10">
        <v>39495</v>
      </c>
      <c r="BB155" t="s">
        <v>902</v>
      </c>
      <c r="BC155" s="6">
        <v>39326</v>
      </c>
      <c r="BD155">
        <v>3</v>
      </c>
      <c r="BE155" s="5" t="s">
        <v>1257</v>
      </c>
      <c r="BG155">
        <v>169</v>
      </c>
      <c r="BH155" s="15">
        <f t="shared" ca="1" si="2"/>
        <v>1283</v>
      </c>
      <c r="BI155" s="15"/>
      <c r="BJ155" s="15"/>
    </row>
    <row r="156" spans="1:63" hidden="1" x14ac:dyDescent="0.2">
      <c r="A156">
        <v>27169915</v>
      </c>
      <c r="B156" s="2" t="str">
        <f>HYPERLINK("http://www.windermere.com/index.cfm?fuseaction=Listing.ListingDetail&amp;ListingID=19358299","Active")</f>
        <v>Active</v>
      </c>
      <c r="D156" t="s">
        <v>956</v>
      </c>
      <c r="E156" t="s">
        <v>1041</v>
      </c>
      <c r="F156" s="9">
        <v>389950</v>
      </c>
      <c r="G156" t="s">
        <v>180</v>
      </c>
      <c r="H156" s="1">
        <v>1780</v>
      </c>
      <c r="I156">
        <v>5815</v>
      </c>
      <c r="J156">
        <v>3</v>
      </c>
      <c r="K156">
        <v>1.75</v>
      </c>
      <c r="M156" s="2" t="str">
        <f>HYPERLINK("http://www.windermere.com/index.cfm?fuseaction=Listing.MapPropertyInteractive&amp;ListingID=19358299&amp;resize=true&amp;windowWidth=800&amp;windowHeight=600","Map")</f>
        <v>Map</v>
      </c>
      <c r="O156" s="2" t="str">
        <f>HYPERLINK("http://www.windermere.com/index.cfm?fuseaction=Listing.MultiImageViewer&amp;ListingID=19358299&amp;ln=27169915&amp;pub_mls=1","More")</f>
        <v>More</v>
      </c>
      <c r="AI156" t="s">
        <v>66</v>
      </c>
      <c r="AJ156">
        <v>98125</v>
      </c>
      <c r="AS156" t="s">
        <v>1042</v>
      </c>
      <c r="AT156">
        <v>19358299</v>
      </c>
      <c r="AU156" s="10">
        <v>39495</v>
      </c>
      <c r="BB156" t="s">
        <v>902</v>
      </c>
      <c r="BC156" s="6">
        <v>39342</v>
      </c>
      <c r="BG156">
        <v>153</v>
      </c>
      <c r="BH156" s="15">
        <f t="shared" ca="1" si="2"/>
        <v>1267</v>
      </c>
      <c r="BI156" s="15"/>
      <c r="BJ156" s="15"/>
    </row>
    <row r="157" spans="1:63" hidden="1" x14ac:dyDescent="0.2">
      <c r="A157">
        <v>27195521</v>
      </c>
      <c r="B157" s="2" t="str">
        <f>HYPERLINK("http://www.windermere.com/index.cfm?fuseaction=Listing.ListingDetail&amp;ListingID=18898391","Active")</f>
        <v>Active</v>
      </c>
      <c r="D157" t="s">
        <v>63</v>
      </c>
      <c r="E157" t="s">
        <v>357</v>
      </c>
      <c r="F157" s="9">
        <v>389950</v>
      </c>
      <c r="G157" t="s">
        <v>134</v>
      </c>
      <c r="H157">
        <v>980</v>
      </c>
      <c r="I157">
        <v>3200</v>
      </c>
      <c r="J157">
        <v>2</v>
      </c>
      <c r="K157">
        <v>1</v>
      </c>
      <c r="M157" s="2" t="str">
        <f>HYPERLINK("http://www.windermere.com/index.cfm?fuseaction=Listing.MapPropertyInteractive&amp;ListingID=18898391&amp;resize=true&amp;windowWidth=800&amp;windowHeight=600","Map")</f>
        <v>Map</v>
      </c>
      <c r="O157" s="2" t="str">
        <f>HYPERLINK("http://www.windermere.com/index.cfm?fuseaction=Listing.MultiImageViewer&amp;ListingID=18898391&amp;ln=27195521&amp;pub_mls=1","More")</f>
        <v>More</v>
      </c>
      <c r="AI157" t="s">
        <v>66</v>
      </c>
      <c r="AJ157">
        <v>98117</v>
      </c>
      <c r="AS157" t="s">
        <v>358</v>
      </c>
      <c r="AT157">
        <v>18898391</v>
      </c>
      <c r="AU157" s="10">
        <v>39495</v>
      </c>
      <c r="BB157" t="s">
        <v>902</v>
      </c>
      <c r="BC157" s="6">
        <v>39387</v>
      </c>
      <c r="BG157">
        <v>108</v>
      </c>
      <c r="BH157" s="15">
        <f t="shared" ca="1" si="2"/>
        <v>1222</v>
      </c>
      <c r="BI157" s="15"/>
      <c r="BJ157" s="15"/>
    </row>
    <row r="158" spans="1:63" hidden="1" x14ac:dyDescent="0.2">
      <c r="A158">
        <v>28020840</v>
      </c>
      <c r="B158" s="13" t="str">
        <f>HYPERLINK("http://www.windermere.com/index.cfm?fuseaction=Listing.ListingDetail&amp;ListingID=19330920","Subject To Inspection")</f>
        <v>Subject To Inspection</v>
      </c>
      <c r="C158">
        <v>705</v>
      </c>
      <c r="D158" t="s">
        <v>78</v>
      </c>
      <c r="E158" t="s">
        <v>136</v>
      </c>
      <c r="F158" s="9">
        <v>389950</v>
      </c>
      <c r="G158" t="s">
        <v>137</v>
      </c>
      <c r="H158">
        <v>800</v>
      </c>
      <c r="I158">
        <v>2880</v>
      </c>
      <c r="J158">
        <v>2</v>
      </c>
      <c r="K158">
        <v>1</v>
      </c>
      <c r="L158">
        <v>1</v>
      </c>
      <c r="M158" s="2" t="str">
        <f>HYPERLINK("http://www.windermere.com/index.cfm?fuseaction=Listing.MapPropertyInteractive&amp;ListingID=19330920&amp;resize=true&amp;windowWidth=800&amp;windowHeight=600","Map")</f>
        <v>Map</v>
      </c>
      <c r="N158" s="2" t="str">
        <f>HYPERLINK("http://locmedia.nwmls.com/DO_NOT_LINK/bigphoto/840/28020840.jpg?tsp=20080206092356","Photo")</f>
        <v>Photo</v>
      </c>
      <c r="O158" s="2" t="str">
        <f>HYPERLINK("http://www.windermere.com/index.cfm?fuseaction=viewGallery.Home&amp;customTourID=197620&amp;wvt=0","More")</f>
        <v>More</v>
      </c>
      <c r="Q158" t="s">
        <v>56</v>
      </c>
      <c r="R158" t="s">
        <v>72</v>
      </c>
      <c r="S158" t="s">
        <v>53</v>
      </c>
      <c r="U158" t="s">
        <v>44</v>
      </c>
      <c r="X158" t="s">
        <v>47</v>
      </c>
      <c r="Y158" t="s">
        <v>48</v>
      </c>
      <c r="Z158" t="s">
        <v>80</v>
      </c>
      <c r="AB158">
        <v>2007</v>
      </c>
      <c r="AC158">
        <v>3215</v>
      </c>
      <c r="AD158" t="s">
        <v>914</v>
      </c>
      <c r="AG158">
        <v>47.686762999999999</v>
      </c>
      <c r="AH158">
        <v>-122.394105</v>
      </c>
      <c r="AI158" t="s">
        <v>66</v>
      </c>
      <c r="AJ158">
        <v>98117</v>
      </c>
      <c r="AK158" t="s">
        <v>41</v>
      </c>
      <c r="AL158" t="s">
        <v>40</v>
      </c>
      <c r="AM158" t="s">
        <v>40</v>
      </c>
      <c r="AO158">
        <v>6.6000000000000003E-2</v>
      </c>
      <c r="AP158" t="s">
        <v>915</v>
      </c>
      <c r="AQ158">
        <v>534</v>
      </c>
      <c r="AR158" t="s">
        <v>79</v>
      </c>
      <c r="AS158" t="s">
        <v>356</v>
      </c>
      <c r="AT158">
        <v>19330920</v>
      </c>
      <c r="AU158" s="10">
        <v>39495</v>
      </c>
      <c r="BA158" t="s">
        <v>902</v>
      </c>
      <c r="BB158" t="s">
        <v>902</v>
      </c>
      <c r="BC158" s="6">
        <v>39484</v>
      </c>
      <c r="BG158">
        <v>11</v>
      </c>
      <c r="BH158" s="15">
        <f t="shared" ca="1" si="2"/>
        <v>1125</v>
      </c>
      <c r="BI158" s="15"/>
      <c r="BJ158" s="15"/>
    </row>
    <row r="159" spans="1:63" hidden="1" x14ac:dyDescent="0.2">
      <c r="A159">
        <v>27201655</v>
      </c>
      <c r="B159" s="2" t="str">
        <f>HYPERLINK("http://www.windermere.com/index.cfm?fuseaction=Listing.ListingDetail&amp;ListingID=18955854","Active")</f>
        <v>Active</v>
      </c>
      <c r="D159" t="s">
        <v>70</v>
      </c>
      <c r="E159" t="s">
        <v>133</v>
      </c>
      <c r="F159" s="9">
        <v>394950</v>
      </c>
      <c r="G159" t="s">
        <v>134</v>
      </c>
      <c r="H159" s="1">
        <v>1800</v>
      </c>
      <c r="I159">
        <v>5040</v>
      </c>
      <c r="J159">
        <v>4</v>
      </c>
      <c r="K159">
        <v>1.75</v>
      </c>
      <c r="M159" s="2" t="str">
        <f>HYPERLINK("http://www.windermere.com/index.cfm?fuseaction=Listing.MapPropertyInteractive&amp;ListingID=18955854&amp;resize=true&amp;windowWidth=800&amp;windowHeight=600","Map")</f>
        <v>Map</v>
      </c>
      <c r="O159" s="2" t="str">
        <f>HYPERLINK("http://www.windermere.com/index.cfm?fuseaction=Listing.MultiImageViewer&amp;ListingID=18955854&amp;ln=27201655&amp;pub_mls=1","More")</f>
        <v>More</v>
      </c>
      <c r="AI159" t="s">
        <v>66</v>
      </c>
      <c r="AJ159">
        <v>98133</v>
      </c>
      <c r="AS159" t="s">
        <v>593</v>
      </c>
      <c r="AT159">
        <v>18955854</v>
      </c>
      <c r="AU159" s="10">
        <v>39495</v>
      </c>
      <c r="BB159" t="s">
        <v>902</v>
      </c>
      <c r="BC159" s="6">
        <v>39399</v>
      </c>
      <c r="BG159">
        <v>96</v>
      </c>
      <c r="BH159" s="15">
        <f t="shared" ca="1" si="2"/>
        <v>1210</v>
      </c>
      <c r="BI159" s="15"/>
      <c r="BJ159" s="15"/>
    </row>
    <row r="160" spans="1:63" hidden="1" x14ac:dyDescent="0.2">
      <c r="A160">
        <v>27096757</v>
      </c>
      <c r="B160" s="2" t="str">
        <f>HYPERLINK("http://www.windermere.com/index.cfm?fuseaction=Listing.ListingDetail&amp;ListingID=18006149","Active")</f>
        <v>Active</v>
      </c>
      <c r="D160" t="s">
        <v>63</v>
      </c>
      <c r="E160" t="s">
        <v>594</v>
      </c>
      <c r="F160" s="9">
        <v>394990</v>
      </c>
      <c r="G160" t="s">
        <v>239</v>
      </c>
      <c r="H160" s="1">
        <v>1620</v>
      </c>
      <c r="J160">
        <v>3</v>
      </c>
      <c r="K160">
        <v>2.5</v>
      </c>
      <c r="M160" s="2" t="str">
        <f>HYPERLINK("http://www.windermere.com/index.cfm?fuseaction=Listing.MapPropertyInteractive&amp;ListingID=18006149&amp;resize=true&amp;windowWidth=800&amp;windowHeight=600","Map")</f>
        <v>Map</v>
      </c>
      <c r="O160" s="2" t="str">
        <f>HYPERLINK("http://www.windermere.com/index.cfm?fuseaction=Listing.MultiImageViewer&amp;ListingID=18006149&amp;ln=27096757&amp;pub_mls=1","More")</f>
        <v>More</v>
      </c>
      <c r="AI160" t="s">
        <v>66</v>
      </c>
      <c r="AJ160">
        <v>98107</v>
      </c>
      <c r="AS160" t="s">
        <v>595</v>
      </c>
      <c r="AT160">
        <v>18006149</v>
      </c>
      <c r="AU160" s="10">
        <v>39495</v>
      </c>
      <c r="BB160" t="s">
        <v>902</v>
      </c>
      <c r="BC160" s="6">
        <v>39233</v>
      </c>
      <c r="BD160">
        <v>1</v>
      </c>
      <c r="BG160">
        <v>262</v>
      </c>
      <c r="BH160" s="15">
        <f t="shared" ca="1" si="2"/>
        <v>1376</v>
      </c>
      <c r="BI160" s="15"/>
      <c r="BJ160" s="15"/>
    </row>
    <row r="161" spans="1:63" hidden="1" x14ac:dyDescent="0.2">
      <c r="A161">
        <v>27115725</v>
      </c>
      <c r="B161" s="2" t="str">
        <f>HYPERLINK("http://www.windermere.com/index.cfm?fuseaction=Listing.ListingDetail&amp;ListingID=18156528","Subject To Inspection")</f>
        <v>Subject To Inspection</v>
      </c>
      <c r="D161" t="s">
        <v>63</v>
      </c>
      <c r="E161" t="s">
        <v>596</v>
      </c>
      <c r="F161" s="9">
        <v>394990</v>
      </c>
      <c r="G161" t="s">
        <v>239</v>
      </c>
      <c r="H161" s="1">
        <v>1441</v>
      </c>
      <c r="J161">
        <v>3</v>
      </c>
      <c r="K161">
        <v>2.5</v>
      </c>
      <c r="M161" s="2" t="str">
        <f>HYPERLINK("http://www.windermere.com/index.cfm?fuseaction=Listing.MapPropertyInteractive&amp;ListingID=18156528&amp;resize=true&amp;windowWidth=800&amp;windowHeight=600","Map")</f>
        <v>Map</v>
      </c>
      <c r="O161" s="2" t="str">
        <f>HYPERLINK("http://www.windermere.com/index.cfm?fuseaction=Listing.MultiImageViewer&amp;ListingID=18156528&amp;ln=27115725&amp;pub_mls=1","More")</f>
        <v>More</v>
      </c>
      <c r="AI161" t="s">
        <v>66</v>
      </c>
      <c r="AJ161">
        <v>98107</v>
      </c>
      <c r="AS161" t="s">
        <v>597</v>
      </c>
      <c r="AT161">
        <v>18156528</v>
      </c>
      <c r="AU161" s="10">
        <v>39495</v>
      </c>
      <c r="BB161" t="s">
        <v>902</v>
      </c>
      <c r="BC161" s="6">
        <v>39259</v>
      </c>
      <c r="BD161">
        <v>1</v>
      </c>
      <c r="BG161">
        <v>236</v>
      </c>
      <c r="BH161" s="15">
        <f t="shared" ca="1" si="2"/>
        <v>1350</v>
      </c>
      <c r="BI161" s="15"/>
      <c r="BJ161" s="15"/>
      <c r="BK161" t="str">
        <f>B161</f>
        <v>Subject To Inspection</v>
      </c>
    </row>
    <row r="162" spans="1:63" hidden="1" x14ac:dyDescent="0.2">
      <c r="A162">
        <v>27194183</v>
      </c>
      <c r="B162" s="2" t="str">
        <f>HYPERLINK("http://www.windermere.com/index.cfm?fuseaction=Listing.ListingDetail&amp;ListingID=18887114","Active")</f>
        <v>Active</v>
      </c>
      <c r="D162" t="s">
        <v>109</v>
      </c>
      <c r="E162" t="s">
        <v>598</v>
      </c>
      <c r="F162" s="9">
        <v>395000</v>
      </c>
      <c r="G162" t="s">
        <v>186</v>
      </c>
      <c r="H162" s="1">
        <v>1740</v>
      </c>
      <c r="I162">
        <v>4000</v>
      </c>
      <c r="J162">
        <v>3</v>
      </c>
      <c r="K162">
        <v>1.5</v>
      </c>
      <c r="M162" s="2" t="str">
        <f>HYPERLINK("http://www.windermere.com/index.cfm?fuseaction=Listing.MapPropertyInteractive&amp;ListingID=18887114&amp;resize=true&amp;windowWidth=800&amp;windowHeight=600","Map")</f>
        <v>Map</v>
      </c>
      <c r="O162" s="2" t="str">
        <f>HYPERLINK("http://www.windermere.com/index.cfm?fuseaction=Listing.MultiImageViewer&amp;ListingID=18887114&amp;ln=27194183&amp;pub_mls=1","More")</f>
        <v>More</v>
      </c>
      <c r="P162" t="s">
        <v>44</v>
      </c>
      <c r="AI162" t="s">
        <v>66</v>
      </c>
      <c r="AJ162">
        <v>98105</v>
      </c>
      <c r="AS162" t="s">
        <v>599</v>
      </c>
      <c r="AT162">
        <v>18887114</v>
      </c>
      <c r="AU162" s="10">
        <v>39495</v>
      </c>
      <c r="BB162" t="s">
        <v>902</v>
      </c>
      <c r="BC162" s="6">
        <v>39385</v>
      </c>
      <c r="BG162">
        <v>110</v>
      </c>
      <c r="BH162" s="15">
        <f t="shared" ca="1" si="2"/>
        <v>1224</v>
      </c>
      <c r="BI162" s="15"/>
      <c r="BJ162" s="15"/>
    </row>
    <row r="163" spans="1:63" hidden="1" x14ac:dyDescent="0.2">
      <c r="A163">
        <v>28008808</v>
      </c>
      <c r="B163" s="2" t="str">
        <f>HYPERLINK("http://www.windermere.com/index.cfm?fuseaction=Listing.ListingDetail&amp;ListingID=19246786","Active")</f>
        <v>Active</v>
      </c>
      <c r="D163" t="s">
        <v>60</v>
      </c>
      <c r="E163" t="s">
        <v>600</v>
      </c>
      <c r="F163" s="11">
        <v>379000</v>
      </c>
      <c r="G163" t="s">
        <v>589</v>
      </c>
      <c r="H163" s="1">
        <v>1520</v>
      </c>
      <c r="J163">
        <v>3</v>
      </c>
      <c r="K163">
        <v>2.5</v>
      </c>
      <c r="M163" s="2" t="str">
        <f>HYPERLINK("http://www.windermere.com/index.cfm?fuseaction=Listing.MapPropertyInteractive&amp;ListingID=19246786&amp;resize=true&amp;windowWidth=800&amp;windowHeight=600","Map")</f>
        <v>Map</v>
      </c>
      <c r="O163" s="2" t="str">
        <f>HYPERLINK("http://www.windermere.com/index.cfm?fuseaction=viewGallery.Home&amp;customTourID=204794&amp;wvt=0","More")</f>
        <v>More</v>
      </c>
      <c r="AI163" t="s">
        <v>66</v>
      </c>
      <c r="AJ163">
        <v>98133</v>
      </c>
      <c r="AS163" t="s">
        <v>601</v>
      </c>
      <c r="AT163">
        <v>19246786</v>
      </c>
      <c r="AU163" s="10">
        <v>39495</v>
      </c>
      <c r="BB163" t="s">
        <v>902</v>
      </c>
      <c r="BC163" s="6">
        <v>39465</v>
      </c>
      <c r="BG163">
        <v>30</v>
      </c>
      <c r="BH163" s="15">
        <f t="shared" ca="1" si="2"/>
        <v>1144</v>
      </c>
      <c r="BI163" s="15"/>
      <c r="BJ163" s="15"/>
    </row>
    <row r="164" spans="1:63" hidden="1" x14ac:dyDescent="0.2">
      <c r="A164">
        <v>28021819</v>
      </c>
      <c r="B164" s="2" t="str">
        <f>HYPERLINK("http://www.windermere.com/index.cfm?fuseaction=Listing.ListingDetail&amp;ListingID=19327601","Active")</f>
        <v>Active</v>
      </c>
      <c r="C164">
        <v>710</v>
      </c>
      <c r="D164" t="s">
        <v>972</v>
      </c>
      <c r="E164" t="s">
        <v>973</v>
      </c>
      <c r="F164" s="9">
        <v>395500</v>
      </c>
      <c r="G164" t="s">
        <v>786</v>
      </c>
      <c r="H164" s="1">
        <v>1220</v>
      </c>
      <c r="I164">
        <v>3400</v>
      </c>
      <c r="J164">
        <v>3</v>
      </c>
      <c r="K164">
        <v>1.75</v>
      </c>
      <c r="L164">
        <v>1</v>
      </c>
      <c r="M164" s="2" t="str">
        <f>HYPERLINK("http://www.windermere.com/index.cfm?fuseaction=Listing.MapPropertyInteractive&amp;ListingID=19327601&amp;resize=true&amp;windowWidth=800&amp;windowHeight=600","Map")</f>
        <v>Map</v>
      </c>
      <c r="N164" s="2" t="str">
        <f>HYPERLINK("http://locmedia.nwmls.com/DO_NOT_LINK/bigphoto/819/28021819.jpg?tsp=20080205151528","Photo")</f>
        <v>Photo</v>
      </c>
      <c r="O164" s="2" t="str">
        <f>HYPERLINK("http://www.windermere.com/index.cfm?fuseaction=Listing.MultiImageViewer&amp;ListingID=19327601&amp;ln=28021819&amp;pub_mls=1","More")</f>
        <v>More</v>
      </c>
      <c r="Q164" t="s">
        <v>52</v>
      </c>
      <c r="R164" t="s">
        <v>46</v>
      </c>
      <c r="S164" t="s">
        <v>86</v>
      </c>
      <c r="U164" t="s">
        <v>44</v>
      </c>
      <c r="X164" t="s">
        <v>47</v>
      </c>
      <c r="Y164" t="s">
        <v>48</v>
      </c>
      <c r="Z164" t="s">
        <v>69</v>
      </c>
      <c r="AA164" t="s">
        <v>974</v>
      </c>
      <c r="AB164">
        <v>2007</v>
      </c>
      <c r="AC164">
        <v>2343</v>
      </c>
      <c r="AD164" t="s">
        <v>975</v>
      </c>
      <c r="AE164" t="s">
        <v>976</v>
      </c>
      <c r="AF164" t="s">
        <v>113</v>
      </c>
      <c r="AG164">
        <v>47.697977000000002</v>
      </c>
      <c r="AH164">
        <v>-122.27777399999999</v>
      </c>
      <c r="AI164" t="s">
        <v>66</v>
      </c>
      <c r="AJ164">
        <v>98115</v>
      </c>
      <c r="AK164" t="s">
        <v>41</v>
      </c>
      <c r="AL164">
        <v>16</v>
      </c>
      <c r="AM164" t="s">
        <v>40</v>
      </c>
      <c r="AO164">
        <v>7.8E-2</v>
      </c>
      <c r="AP164" t="s">
        <v>977</v>
      </c>
      <c r="AQ164">
        <v>505</v>
      </c>
      <c r="AR164" t="s">
        <v>216</v>
      </c>
      <c r="AS164" t="s">
        <v>1043</v>
      </c>
      <c r="AT164">
        <v>19327601</v>
      </c>
      <c r="AU164" s="10">
        <v>39495</v>
      </c>
      <c r="BA164" t="s">
        <v>902</v>
      </c>
      <c r="BB164" t="s">
        <v>902</v>
      </c>
      <c r="BC164" s="6">
        <v>39483</v>
      </c>
      <c r="BG164">
        <v>12</v>
      </c>
      <c r="BH164" s="15">
        <f t="shared" ca="1" si="2"/>
        <v>1126</v>
      </c>
      <c r="BI164" s="15"/>
      <c r="BJ164" s="15"/>
    </row>
    <row r="165" spans="1:63" hidden="1" x14ac:dyDescent="0.2">
      <c r="A165">
        <v>28026258</v>
      </c>
      <c r="B165" s="13" t="str">
        <f>HYPERLINK("http://www.windermere.com/index.cfm?fuseaction=Listing.ListingDetail&amp;ListingID=19385109","Subject To Inspection")</f>
        <v>Subject To Inspection</v>
      </c>
      <c r="D165" t="s">
        <v>60</v>
      </c>
      <c r="E165" t="s">
        <v>1269</v>
      </c>
      <c r="F165" s="9">
        <v>398000</v>
      </c>
      <c r="G165" t="s">
        <v>607</v>
      </c>
      <c r="H165" s="1">
        <v>1290</v>
      </c>
      <c r="I165">
        <v>6397</v>
      </c>
      <c r="J165">
        <v>3</v>
      </c>
      <c r="K165">
        <v>1.5</v>
      </c>
      <c r="M165" s="2" t="str">
        <f>HYPERLINK("http://www.windermere.com/index.cfm?fuseaction=Listing.MapPropertyInteractive&amp;ListingID=19385109&amp;resize=true&amp;windowWidth=800&amp;windowHeight=600","Map")</f>
        <v>Map</v>
      </c>
      <c r="O165" s="2" t="str">
        <f>HYPERLINK("http://www.windermere.com/index.cfm?fuseaction=Listing.MultiImageViewer&amp;ListingID=19385109&amp;ln=28026258&amp;pub_mls=1","More")</f>
        <v>More</v>
      </c>
      <c r="AI165" t="s">
        <v>66</v>
      </c>
      <c r="AJ165">
        <v>98103</v>
      </c>
      <c r="AS165" t="s">
        <v>1270</v>
      </c>
      <c r="AT165">
        <v>19385109</v>
      </c>
      <c r="AU165" s="6">
        <v>39496</v>
      </c>
      <c r="BB165" t="s">
        <v>902</v>
      </c>
      <c r="BC165" s="6">
        <v>39495</v>
      </c>
      <c r="BD165">
        <v>3</v>
      </c>
      <c r="BE165" t="s">
        <v>1278</v>
      </c>
      <c r="BF165" t="s">
        <v>1276</v>
      </c>
      <c r="BG165">
        <v>1</v>
      </c>
      <c r="BH165" s="15">
        <f t="shared" ca="1" si="2"/>
        <v>1114</v>
      </c>
      <c r="BI165" s="15"/>
      <c r="BJ165" s="15"/>
    </row>
    <row r="166" spans="1:63" hidden="1" x14ac:dyDescent="0.2">
      <c r="A166">
        <v>28026322</v>
      </c>
      <c r="B166" s="2" t="str">
        <f>HYPERLINK("http://www.windermere.com/index.cfm?fuseaction=Listing.ListingDetail&amp;ListingID=19376193","Active")</f>
        <v>Active</v>
      </c>
      <c r="D166" t="s">
        <v>184</v>
      </c>
      <c r="E166" t="s">
        <v>602</v>
      </c>
      <c r="F166" s="9">
        <v>398500</v>
      </c>
      <c r="G166" t="s">
        <v>137</v>
      </c>
      <c r="H166" s="1">
        <v>1390</v>
      </c>
      <c r="I166">
        <v>7000</v>
      </c>
      <c r="J166">
        <v>3</v>
      </c>
      <c r="K166">
        <v>1</v>
      </c>
      <c r="M166" s="2" t="str">
        <f>HYPERLINK("http://www.windermere.com/index.cfm?fuseaction=Listing.MapPropertyInteractive&amp;ListingID=19376193&amp;resize=true&amp;windowWidth=800&amp;windowHeight=600","Map")</f>
        <v>Map</v>
      </c>
      <c r="O166" s="2" t="str">
        <f>HYPERLINK("http://www.windermere.com/index.cfm?fuseaction=Listing.MultiImageViewer&amp;ListingID=19376193&amp;ln=28026322&amp;pub_mls=1","More")</f>
        <v>More</v>
      </c>
      <c r="P166" t="s">
        <v>44</v>
      </c>
      <c r="AI166" t="s">
        <v>66</v>
      </c>
      <c r="AJ166">
        <v>98125</v>
      </c>
      <c r="AS166" t="s">
        <v>603</v>
      </c>
      <c r="AT166">
        <v>19376193</v>
      </c>
      <c r="AU166" s="10">
        <v>39495</v>
      </c>
      <c r="BB166" t="s">
        <v>902</v>
      </c>
      <c r="BC166" s="6">
        <v>39493</v>
      </c>
      <c r="BG166">
        <v>2</v>
      </c>
      <c r="BH166" s="15">
        <f t="shared" ca="1" si="2"/>
        <v>1116</v>
      </c>
      <c r="BI166" s="15"/>
      <c r="BJ166" s="15"/>
    </row>
    <row r="167" spans="1:63" hidden="1" x14ac:dyDescent="0.2">
      <c r="A167">
        <v>27132490</v>
      </c>
      <c r="B167" s="2" t="str">
        <f>HYPERLINK("http://www.windermere.com/index.cfm?fuseaction=Listing.ListingDetail&amp;ListingID=18331929","Active")</f>
        <v>Active</v>
      </c>
      <c r="D167" t="s">
        <v>184</v>
      </c>
      <c r="E167" t="s">
        <v>185</v>
      </c>
      <c r="F167" s="9">
        <v>399000</v>
      </c>
      <c r="G167" t="s">
        <v>186</v>
      </c>
      <c r="H167" s="1">
        <v>1850</v>
      </c>
      <c r="I167">
        <v>9804</v>
      </c>
      <c r="J167">
        <v>3</v>
      </c>
      <c r="K167">
        <v>1</v>
      </c>
      <c r="M167" s="2" t="str">
        <f>HYPERLINK("http://www.windermere.com/index.cfm?fuseaction=Listing.MapPropertyInteractive&amp;ListingID=18331929&amp;resize=true&amp;windowWidth=800&amp;windowHeight=600","Map")</f>
        <v>Map</v>
      </c>
      <c r="O167" s="2" t="str">
        <f>HYPERLINK("http://www.windermere.com/index.cfm?fuseaction=Listing.MultiImageViewer&amp;ListingID=18331929&amp;ln=27132490&amp;pub_mls=1","More")</f>
        <v>More</v>
      </c>
      <c r="P167" t="s">
        <v>44</v>
      </c>
      <c r="AI167" t="s">
        <v>66</v>
      </c>
      <c r="AJ167">
        <v>98125</v>
      </c>
      <c r="AS167" t="s">
        <v>604</v>
      </c>
      <c r="AT167">
        <v>18331929</v>
      </c>
      <c r="AU167" s="10">
        <v>39495</v>
      </c>
      <c r="BB167" t="s">
        <v>902</v>
      </c>
      <c r="BC167" s="6">
        <v>39283</v>
      </c>
      <c r="BD167">
        <v>2</v>
      </c>
      <c r="BE167" s="5" t="s">
        <v>1248</v>
      </c>
      <c r="BG167">
        <v>212</v>
      </c>
      <c r="BH167" s="15">
        <f t="shared" ca="1" si="2"/>
        <v>1326</v>
      </c>
      <c r="BI167" s="15"/>
      <c r="BJ167" s="15"/>
    </row>
    <row r="168" spans="1:63" hidden="1" x14ac:dyDescent="0.2">
      <c r="A168">
        <v>27133411</v>
      </c>
      <c r="B168" s="2" t="str">
        <f>HYPERLINK("http://www.windermere.com/index.cfm?fuseaction=Listing.ListingDetail&amp;ListingID=18343551","Active")</f>
        <v>Active</v>
      </c>
      <c r="D168" t="s">
        <v>188</v>
      </c>
      <c r="E168" t="s">
        <v>189</v>
      </c>
      <c r="F168" s="9">
        <v>399000</v>
      </c>
      <c r="G168" t="s">
        <v>135</v>
      </c>
      <c r="H168" s="1">
        <v>1030</v>
      </c>
      <c r="I168">
        <v>8385</v>
      </c>
      <c r="J168">
        <v>3</v>
      </c>
      <c r="K168">
        <v>1</v>
      </c>
      <c r="M168" s="2" t="str">
        <f>HYPERLINK("http://www.windermere.com/index.cfm?fuseaction=Listing.MapPropertyInteractive&amp;ListingID=18343551&amp;resize=true&amp;windowWidth=800&amp;windowHeight=600","Map")</f>
        <v>Map</v>
      </c>
      <c r="O168" s="2" t="str">
        <f>HYPERLINK("http://www.windermere.com/index.cfm?fuseaction=Listing.MultiImageViewer&amp;ListingID=18343551&amp;ln=27133411&amp;pub_mls=1","More")</f>
        <v>More</v>
      </c>
      <c r="P168" t="s">
        <v>44</v>
      </c>
      <c r="AI168" t="s">
        <v>66</v>
      </c>
      <c r="AJ168">
        <v>98125</v>
      </c>
      <c r="AS168" t="s">
        <v>1044</v>
      </c>
      <c r="AT168">
        <v>18343551</v>
      </c>
      <c r="AU168" s="10">
        <v>39495</v>
      </c>
      <c r="BB168" t="s">
        <v>902</v>
      </c>
      <c r="BC168" s="6">
        <v>39286</v>
      </c>
      <c r="BD168">
        <v>2</v>
      </c>
      <c r="BE168" s="5" t="s">
        <v>1249</v>
      </c>
      <c r="BG168">
        <v>209</v>
      </c>
      <c r="BH168" s="15">
        <f t="shared" ca="1" si="2"/>
        <v>1323</v>
      </c>
      <c r="BI168" s="15"/>
      <c r="BJ168" s="15"/>
    </row>
    <row r="169" spans="1:63" hidden="1" x14ac:dyDescent="0.2">
      <c r="A169">
        <v>27184907</v>
      </c>
      <c r="B169" s="2" t="str">
        <f>HYPERLINK("http://www.windermere.com/index.cfm?fuseaction=Listing.ListingDetail&amp;ListingID=18799514","Subject To Inspection")</f>
        <v>Subject To Inspection</v>
      </c>
      <c r="D169" t="s">
        <v>55</v>
      </c>
      <c r="E169" t="s">
        <v>608</v>
      </c>
      <c r="F169" s="9">
        <v>399000</v>
      </c>
      <c r="G169" t="s">
        <v>147</v>
      </c>
      <c r="H169" s="1">
        <v>1654</v>
      </c>
      <c r="J169">
        <v>3</v>
      </c>
      <c r="K169">
        <v>3.5</v>
      </c>
      <c r="M169" s="2" t="str">
        <f>HYPERLINK("http://www.windermere.com/index.cfm?fuseaction=Listing.MapPropertyInteractive&amp;ListingID=18799514&amp;resize=true&amp;windowWidth=800&amp;windowHeight=600","Map")</f>
        <v>Map</v>
      </c>
      <c r="O169" s="2" t="str">
        <f>HYPERLINK("http://www.windermere.com/index.cfm?fuseaction=viewGallery.Home&amp;customTourID=196827&amp;wvt=0","More")</f>
        <v>More</v>
      </c>
      <c r="P169" t="s">
        <v>44</v>
      </c>
      <c r="AI169" t="s">
        <v>66</v>
      </c>
      <c r="AJ169">
        <v>98133</v>
      </c>
      <c r="AS169" t="s">
        <v>609</v>
      </c>
      <c r="AT169">
        <v>18799514</v>
      </c>
      <c r="AU169" s="10">
        <v>39495</v>
      </c>
      <c r="BB169" t="s">
        <v>902</v>
      </c>
      <c r="BC169" s="6">
        <v>39367</v>
      </c>
      <c r="BG169">
        <v>128</v>
      </c>
      <c r="BH169" s="15">
        <f t="shared" ca="1" si="2"/>
        <v>1242</v>
      </c>
      <c r="BI169" s="15"/>
      <c r="BJ169" s="15"/>
      <c r="BK169" t="str">
        <f>B169</f>
        <v>Subject To Inspection</v>
      </c>
    </row>
    <row r="170" spans="1:63" hidden="1" x14ac:dyDescent="0.2">
      <c r="A170">
        <v>28018456</v>
      </c>
      <c r="B170" s="2" t="str">
        <f>HYPERLINK("http://www.windermere.com/index.cfm?fuseaction=Listing.ListingDetail&amp;ListingID=19302977","Active")</f>
        <v>Active</v>
      </c>
      <c r="D170" t="s">
        <v>908</v>
      </c>
      <c r="E170" t="s">
        <v>605</v>
      </c>
      <c r="F170" s="11">
        <v>389000</v>
      </c>
      <c r="G170" t="s">
        <v>520</v>
      </c>
      <c r="H170" s="1">
        <v>1260</v>
      </c>
      <c r="I170">
        <v>9500</v>
      </c>
      <c r="J170">
        <v>3</v>
      </c>
      <c r="K170">
        <v>2</v>
      </c>
      <c r="M170" s="2" t="str">
        <f>HYPERLINK("http://www.windermere.com/index.cfm?fuseaction=Listing.MapPropertyInteractive&amp;ListingID=19302977&amp;resize=true&amp;windowWidth=800&amp;windowHeight=600","Map")</f>
        <v>Map</v>
      </c>
      <c r="O170" s="2" t="str">
        <f>HYPERLINK("http://www.windermere.com/index.cfm?fuseaction=Listing.MultiImageViewer&amp;ListingID=19302977&amp;ln=28018456&amp;pub_mls=1","More")</f>
        <v>More</v>
      </c>
      <c r="AI170" t="s">
        <v>66</v>
      </c>
      <c r="AJ170">
        <v>98125</v>
      </c>
      <c r="AS170" t="s">
        <v>606</v>
      </c>
      <c r="AT170">
        <v>19302977</v>
      </c>
      <c r="AU170" s="10">
        <v>39495</v>
      </c>
      <c r="BB170" t="s">
        <v>902</v>
      </c>
      <c r="BC170" s="6">
        <v>39478</v>
      </c>
      <c r="BG170">
        <v>17</v>
      </c>
      <c r="BH170" s="15">
        <f t="shared" ca="1" si="2"/>
        <v>1131</v>
      </c>
      <c r="BI170" s="15"/>
      <c r="BJ170" s="15"/>
    </row>
    <row r="171" spans="1:63" hidden="1" x14ac:dyDescent="0.2">
      <c r="A171">
        <v>27163660</v>
      </c>
      <c r="B171" s="2" t="str">
        <f>HYPERLINK("http://www.windermere.com/index.cfm?fuseaction=Listing.ListingDetail&amp;ListingID=18577293","Subject To Inspection")</f>
        <v>Subject To Inspection</v>
      </c>
      <c r="D171" t="s">
        <v>908</v>
      </c>
      <c r="E171" t="s">
        <v>612</v>
      </c>
      <c r="F171" s="9">
        <v>399500</v>
      </c>
      <c r="G171" t="s">
        <v>613</v>
      </c>
      <c r="H171" s="1">
        <v>1155</v>
      </c>
      <c r="I171">
        <v>13000</v>
      </c>
      <c r="J171">
        <v>3</v>
      </c>
      <c r="K171">
        <v>1</v>
      </c>
      <c r="M171" s="2" t="str">
        <f>HYPERLINK("http://www.windermere.com/index.cfm?fuseaction=Listing.MapPropertyInteractive&amp;ListingID=18577293&amp;resize=true&amp;windowWidth=800&amp;windowHeight=600","Map")</f>
        <v>Map</v>
      </c>
      <c r="O171" s="2" t="str">
        <f>HYPERLINK("http://www.windermere.com/index.cfm?fuseaction=Listing.MultiImageViewer&amp;ListingID=18577293&amp;ln=27163660&amp;pub_mls=1","More")</f>
        <v>More</v>
      </c>
      <c r="AI171" t="s">
        <v>66</v>
      </c>
      <c r="AJ171">
        <v>98125</v>
      </c>
      <c r="AS171" t="s">
        <v>614</v>
      </c>
      <c r="AT171">
        <v>18577293</v>
      </c>
      <c r="AU171" s="10">
        <v>39495</v>
      </c>
      <c r="BB171" t="s">
        <v>902</v>
      </c>
      <c r="BC171" s="6">
        <v>39331</v>
      </c>
      <c r="BD171">
        <v>1</v>
      </c>
      <c r="BE171" s="5" t="s">
        <v>1260</v>
      </c>
      <c r="BG171">
        <v>164</v>
      </c>
      <c r="BH171" s="15">
        <f t="shared" ca="1" si="2"/>
        <v>1278</v>
      </c>
      <c r="BI171" s="15"/>
      <c r="BJ171" s="15"/>
      <c r="BK171" t="str">
        <f>B171</f>
        <v>Subject To Inspection</v>
      </c>
    </row>
    <row r="172" spans="1:63" hidden="1" x14ac:dyDescent="0.2">
      <c r="A172">
        <v>28011168</v>
      </c>
      <c r="B172" s="2" t="str">
        <f>HYPERLINK("http://www.windermere.com/index.cfm?fuseaction=Listing.ListingDetail&amp;ListingID=19243145","Active")</f>
        <v>Active</v>
      </c>
      <c r="D172" t="s">
        <v>66</v>
      </c>
      <c r="E172" t="s">
        <v>610</v>
      </c>
      <c r="F172" s="9">
        <v>399500</v>
      </c>
      <c r="G172" t="s">
        <v>171</v>
      </c>
      <c r="H172" s="1">
        <v>1290</v>
      </c>
      <c r="I172">
        <v>7202</v>
      </c>
      <c r="J172">
        <v>3</v>
      </c>
      <c r="K172">
        <v>2</v>
      </c>
      <c r="M172" s="2" t="str">
        <f>HYPERLINK("http://www.windermere.com/index.cfm?fuseaction=Listing.MapPropertyInteractive&amp;ListingID=19243145&amp;resize=true&amp;windowWidth=800&amp;windowHeight=600","Map")</f>
        <v>Map</v>
      </c>
      <c r="O172" s="2" t="str">
        <f>HYPERLINK("http://www.windermere.com/index.cfm?fuseaction=Listing.MultiImageViewer&amp;ListingID=19243145&amp;ln=28011168&amp;pub_mls=1","More")</f>
        <v>More</v>
      </c>
      <c r="P172" t="s">
        <v>44</v>
      </c>
      <c r="AI172" t="s">
        <v>66</v>
      </c>
      <c r="AJ172">
        <v>98133</v>
      </c>
      <c r="AS172" t="s">
        <v>611</v>
      </c>
      <c r="AT172">
        <v>19243145</v>
      </c>
      <c r="AU172" s="10">
        <v>39495</v>
      </c>
      <c r="BB172" t="s">
        <v>902</v>
      </c>
      <c r="BC172" t="s">
        <v>1344</v>
      </c>
      <c r="BD172">
        <v>1</v>
      </c>
      <c r="BG172">
        <v>0</v>
      </c>
      <c r="BH172" s="15" t="e">
        <f t="shared" ca="1" si="2"/>
        <v>#VALUE!</v>
      </c>
      <c r="BI172" s="15"/>
      <c r="BJ172" s="15"/>
    </row>
    <row r="173" spans="1:63" hidden="1" x14ac:dyDescent="0.2">
      <c r="A173">
        <v>28017296</v>
      </c>
      <c r="B173" s="2" t="str">
        <f>HYPERLINK("http://www.windermere.com/index.cfm?fuseaction=Listing.ListingDetail&amp;ListingID=19330852","Subject To Inspection")</f>
        <v>Subject To Inspection</v>
      </c>
      <c r="D173" t="s">
        <v>617</v>
      </c>
      <c r="E173" t="s">
        <v>615</v>
      </c>
      <c r="F173" s="9">
        <v>399900</v>
      </c>
      <c r="G173" t="s">
        <v>130</v>
      </c>
      <c r="I173">
        <v>8100</v>
      </c>
      <c r="J173">
        <v>3</v>
      </c>
      <c r="K173">
        <v>1</v>
      </c>
      <c r="M173" s="2" t="str">
        <f>HYPERLINK("http://www.windermere.com/index.cfm?fuseaction=Listing.MapPropertyInteractive&amp;ListingID=19330852&amp;resize=true&amp;windowWidth=800&amp;windowHeight=600","Map")</f>
        <v>Map</v>
      </c>
      <c r="O173" s="2" t="str">
        <f>HYPERLINK("http://www.windermere.com/index.cfm?fuseaction=viewGallery.Home&amp;customTourID=206911&amp;wvt=0","More")</f>
        <v>More</v>
      </c>
      <c r="AI173" t="s">
        <v>66</v>
      </c>
      <c r="AJ173">
        <v>98177</v>
      </c>
      <c r="AS173" t="s">
        <v>616</v>
      </c>
      <c r="AT173">
        <v>19330852</v>
      </c>
      <c r="AU173" s="10">
        <v>39495</v>
      </c>
      <c r="BB173" t="s">
        <v>902</v>
      </c>
      <c r="BC173" s="6">
        <v>39484</v>
      </c>
      <c r="BG173">
        <v>11</v>
      </c>
      <c r="BH173" s="15">
        <f t="shared" ca="1" si="2"/>
        <v>1125</v>
      </c>
      <c r="BI173" s="15"/>
      <c r="BJ173" s="15"/>
      <c r="BK173" t="str">
        <f>B173</f>
        <v>Subject To Inspection</v>
      </c>
    </row>
    <row r="174" spans="1:63" hidden="1" x14ac:dyDescent="0.2">
      <c r="A174">
        <v>27159884</v>
      </c>
      <c r="B174" s="2" t="str">
        <f>HYPERLINK("http://www.windermere.com/index.cfm?fuseaction=Listing.ListingDetail&amp;ListingID=19060033","Subject To Inspection")</f>
        <v>Subject To Inspection</v>
      </c>
      <c r="D174" t="s">
        <v>55</v>
      </c>
      <c r="E174" t="s">
        <v>638</v>
      </c>
      <c r="F174" s="9">
        <v>399950</v>
      </c>
      <c r="G174" t="s">
        <v>147</v>
      </c>
      <c r="J174">
        <v>3</v>
      </c>
      <c r="K174">
        <v>2.5</v>
      </c>
      <c r="M174" s="2" t="str">
        <f>HYPERLINK("http://www.windermere.com/index.cfm?fuseaction=Listing.MapPropertyInteractive&amp;ListingID=19060033&amp;resize=true&amp;windowWidth=800&amp;windowHeight=600","Map")</f>
        <v>Map</v>
      </c>
      <c r="O174" s="2" t="str">
        <f>HYPERLINK("http://www.windermere.com/index.cfm?fuseaction=Listing.MultiImageViewer&amp;ListingID=19060033&amp;ln=27159884&amp;pub_mls=1","More")</f>
        <v>More</v>
      </c>
      <c r="P174" t="s">
        <v>44</v>
      </c>
      <c r="AI174" t="s">
        <v>66</v>
      </c>
      <c r="AJ174">
        <v>98103</v>
      </c>
      <c r="AS174" t="s">
        <v>639</v>
      </c>
      <c r="AT174">
        <v>19060033</v>
      </c>
      <c r="AU174" s="10">
        <v>39495</v>
      </c>
      <c r="BB174" t="s">
        <v>902</v>
      </c>
      <c r="BC174" s="6">
        <v>39325</v>
      </c>
      <c r="BD174">
        <v>3</v>
      </c>
      <c r="BE174" s="5" t="s">
        <v>1256</v>
      </c>
      <c r="BG174">
        <v>170</v>
      </c>
      <c r="BH174" s="15">
        <f t="shared" ca="1" si="2"/>
        <v>1284</v>
      </c>
      <c r="BI174" s="15"/>
      <c r="BJ174" s="15"/>
      <c r="BK174" t="str">
        <f>B174</f>
        <v>Subject To Inspection</v>
      </c>
    </row>
    <row r="175" spans="1:63" hidden="1" x14ac:dyDescent="0.2">
      <c r="A175">
        <v>27172694</v>
      </c>
      <c r="B175" s="2" t="str">
        <f>HYPERLINK("http://www.windermere.com/index.cfm?fuseaction=Listing.ListingDetail&amp;ListingID=18672447","Active")</f>
        <v>Active</v>
      </c>
      <c r="D175" t="s">
        <v>100</v>
      </c>
      <c r="E175" t="s">
        <v>620</v>
      </c>
      <c r="F175" s="11">
        <v>375000</v>
      </c>
      <c r="G175" t="s">
        <v>147</v>
      </c>
      <c r="H175" s="1">
        <v>1165</v>
      </c>
      <c r="J175">
        <v>2</v>
      </c>
      <c r="K175">
        <v>1.75</v>
      </c>
      <c r="M175" s="2" t="str">
        <f>HYPERLINK("http://www.windermere.com/index.cfm?fuseaction=Listing.MapPropertyInteractive&amp;ListingID=18672447&amp;resize=true&amp;windowWidth=800&amp;windowHeight=600","Map")</f>
        <v>Map</v>
      </c>
      <c r="O175" s="2" t="str">
        <f>HYPERLINK("http://www.windermere.com/index.cfm?fuseaction=Listing.MultiImageViewer&amp;ListingID=18672447&amp;ln=27172694&amp;pub_mls=1","More")</f>
        <v>More</v>
      </c>
      <c r="P175" t="s">
        <v>44</v>
      </c>
      <c r="AI175" t="s">
        <v>66</v>
      </c>
      <c r="AJ175">
        <v>98103</v>
      </c>
      <c r="AS175" t="s">
        <v>621</v>
      </c>
      <c r="AT175">
        <v>18672447</v>
      </c>
      <c r="AU175" s="10">
        <v>39495</v>
      </c>
      <c r="BB175" t="s">
        <v>902</v>
      </c>
      <c r="BC175" s="6">
        <v>39345</v>
      </c>
      <c r="BG175">
        <v>150</v>
      </c>
      <c r="BH175" s="15">
        <f t="shared" ca="1" si="2"/>
        <v>1264</v>
      </c>
      <c r="BI175" s="15"/>
      <c r="BJ175" s="15"/>
    </row>
    <row r="176" spans="1:63" hidden="1" x14ac:dyDescent="0.2">
      <c r="A176">
        <v>27172700</v>
      </c>
      <c r="B176" s="2" t="str">
        <f>HYPERLINK("http://www.windermere.com/index.cfm?fuseaction=Listing.ListingDetail&amp;ListingID=18672543","Active")</f>
        <v>Active</v>
      </c>
      <c r="D176" t="s">
        <v>100</v>
      </c>
      <c r="E176" t="s">
        <v>622</v>
      </c>
      <c r="F176" s="11">
        <v>375000</v>
      </c>
      <c r="G176" t="s">
        <v>147</v>
      </c>
      <c r="H176" s="1">
        <v>1165</v>
      </c>
      <c r="J176">
        <v>2</v>
      </c>
      <c r="K176">
        <v>1.75</v>
      </c>
      <c r="M176" s="2" t="str">
        <f>HYPERLINK("http://www.windermere.com/index.cfm?fuseaction=Listing.MapPropertyInteractive&amp;ListingID=18672543&amp;resize=true&amp;windowWidth=800&amp;windowHeight=600","Map")</f>
        <v>Map</v>
      </c>
      <c r="O176" s="2" t="str">
        <f>HYPERLINK("http://www.windermere.com/index.cfm?fuseaction=Listing.MultiImageViewer&amp;ListingID=18672543&amp;ln=27172700&amp;pub_mls=1","More")</f>
        <v>More</v>
      </c>
      <c r="P176" t="s">
        <v>44</v>
      </c>
      <c r="AI176" t="s">
        <v>66</v>
      </c>
      <c r="AJ176">
        <v>98103</v>
      </c>
      <c r="AS176" t="s">
        <v>623</v>
      </c>
      <c r="AT176">
        <v>18672543</v>
      </c>
      <c r="AU176" s="10">
        <v>39495</v>
      </c>
      <c r="BB176" t="s">
        <v>902</v>
      </c>
      <c r="BC176" s="6">
        <v>39345</v>
      </c>
      <c r="BG176">
        <v>150</v>
      </c>
      <c r="BH176" s="15">
        <f t="shared" ca="1" si="2"/>
        <v>1264</v>
      </c>
      <c r="BI176" s="15"/>
      <c r="BJ176" s="15"/>
    </row>
    <row r="177" spans="1:63" hidden="1" x14ac:dyDescent="0.2">
      <c r="A177">
        <v>27211153</v>
      </c>
      <c r="B177" s="2" t="str">
        <f>HYPERLINK("http://www.windermere.com/index.cfm?fuseaction=Listing.ListingDetail&amp;ListingID=19074895","Active")</f>
        <v>Active</v>
      </c>
      <c r="D177" t="s">
        <v>218</v>
      </c>
      <c r="E177" t="s">
        <v>630</v>
      </c>
      <c r="F177" s="9">
        <v>399950</v>
      </c>
      <c r="G177" t="s">
        <v>631</v>
      </c>
      <c r="H177" s="1">
        <v>1520</v>
      </c>
      <c r="J177">
        <v>3</v>
      </c>
      <c r="K177">
        <v>1.5</v>
      </c>
      <c r="M177" s="2" t="str">
        <f>HYPERLINK("http://www.windermere.com/index.cfm?fuseaction=Listing.MapPropertyInteractive&amp;ListingID=19074895&amp;resize=true&amp;windowWidth=800&amp;windowHeight=600","Map")</f>
        <v>Map</v>
      </c>
      <c r="O177" s="2" t="str">
        <f>HYPERLINK("http://www.windermere.com/index.cfm?fuseaction=Listing.MultiImageViewer&amp;ListingID=19074895&amp;ln=27211153&amp;pub_mls=1","More")</f>
        <v>More</v>
      </c>
      <c r="P177" t="s">
        <v>44</v>
      </c>
      <c r="AI177" t="s">
        <v>66</v>
      </c>
      <c r="AJ177">
        <v>98115</v>
      </c>
      <c r="AS177" t="s">
        <v>632</v>
      </c>
      <c r="AT177">
        <v>19074895</v>
      </c>
      <c r="AU177" s="10">
        <v>39495</v>
      </c>
      <c r="BB177" t="s">
        <v>902</v>
      </c>
      <c r="BC177" s="6">
        <v>39426</v>
      </c>
      <c r="BG177">
        <v>69</v>
      </c>
      <c r="BH177" s="15">
        <f t="shared" ca="1" si="2"/>
        <v>1183</v>
      </c>
      <c r="BI177" s="15"/>
      <c r="BJ177" s="15"/>
    </row>
    <row r="178" spans="1:63" hidden="1" x14ac:dyDescent="0.2">
      <c r="A178">
        <v>27212459</v>
      </c>
      <c r="B178" s="2" t="str">
        <f>HYPERLINK("http://www.windermere.com/index.cfm?fuseaction=Listing.ListingDetail&amp;ListingID=19088653","Active")</f>
        <v>Active</v>
      </c>
      <c r="D178" t="s">
        <v>100</v>
      </c>
      <c r="E178" t="s">
        <v>624</v>
      </c>
      <c r="F178" s="9">
        <v>399950</v>
      </c>
      <c r="G178" t="s">
        <v>147</v>
      </c>
      <c r="J178">
        <v>2</v>
      </c>
      <c r="K178">
        <v>1.5</v>
      </c>
      <c r="M178" s="2" t="str">
        <f>HYPERLINK("http://www.windermere.com/index.cfm?fuseaction=Listing.MapPropertyInteractive&amp;ListingID=19088653&amp;resize=true&amp;windowWidth=800&amp;windowHeight=600","Map")</f>
        <v>Map</v>
      </c>
      <c r="O178" s="2" t="str">
        <f>HYPERLINK("http://www.windermere.com/index.cfm?fuseaction=Listing.MultiImageViewer&amp;ListingID=19088653&amp;ln=27212459&amp;pub_mls=1","More")</f>
        <v>More</v>
      </c>
      <c r="AI178" t="s">
        <v>66</v>
      </c>
      <c r="AJ178">
        <v>98103</v>
      </c>
      <c r="AS178" t="s">
        <v>625</v>
      </c>
      <c r="AT178">
        <v>19088653</v>
      </c>
      <c r="AU178" s="10">
        <v>39495</v>
      </c>
      <c r="BB178" t="s">
        <v>902</v>
      </c>
      <c r="BC178" s="6">
        <v>39428</v>
      </c>
      <c r="BG178">
        <v>67</v>
      </c>
      <c r="BH178" s="15">
        <f t="shared" ca="1" si="2"/>
        <v>1181</v>
      </c>
      <c r="BI178" s="15"/>
      <c r="BJ178" s="15"/>
    </row>
    <row r="179" spans="1:63" hidden="1" x14ac:dyDescent="0.2">
      <c r="A179">
        <v>28005258</v>
      </c>
      <c r="B179" s="2" t="str">
        <f>HYPERLINK("http://www.windermere.com/index.cfm?fuseaction=Listing.ListingDetail&amp;ListingID=19190230","Active")</f>
        <v>Active</v>
      </c>
      <c r="D179" t="s">
        <v>55</v>
      </c>
      <c r="E179" t="s">
        <v>636</v>
      </c>
      <c r="F179" s="9">
        <v>399950</v>
      </c>
      <c r="G179" t="s">
        <v>146</v>
      </c>
      <c r="H179" s="1">
        <v>1650</v>
      </c>
      <c r="I179">
        <v>5528</v>
      </c>
      <c r="J179">
        <v>3</v>
      </c>
      <c r="K179">
        <v>1</v>
      </c>
      <c r="M179" s="2" t="str">
        <f>HYPERLINK("http://www.windermere.com/index.cfm?fuseaction=Listing.MapPropertyInteractive&amp;ListingID=19190230&amp;resize=true&amp;windowWidth=800&amp;windowHeight=600","Map")</f>
        <v>Map</v>
      </c>
      <c r="O179" s="2" t="str">
        <f>HYPERLINK("http://www.windermere.com/index.cfm?fuseaction=Listing.MultiImageViewer&amp;ListingID=19190230&amp;ln=28005258&amp;pub_mls=1","More")</f>
        <v>More</v>
      </c>
      <c r="AI179" t="s">
        <v>66</v>
      </c>
      <c r="AJ179">
        <v>98177</v>
      </c>
      <c r="AS179" t="s">
        <v>637</v>
      </c>
      <c r="AT179">
        <v>19190230</v>
      </c>
      <c r="AU179" s="10">
        <v>39495</v>
      </c>
      <c r="BB179" t="s">
        <v>902</v>
      </c>
      <c r="BC179" s="6">
        <v>39456</v>
      </c>
      <c r="BG179">
        <v>39</v>
      </c>
      <c r="BH179" s="15">
        <f t="shared" ca="1" si="2"/>
        <v>1153</v>
      </c>
      <c r="BI179" s="15"/>
      <c r="BJ179" s="15"/>
    </row>
    <row r="180" spans="1:63" hidden="1" x14ac:dyDescent="0.2">
      <c r="A180">
        <v>28011718</v>
      </c>
      <c r="B180" s="2" t="str">
        <f>HYPERLINK("http://www.windermere.com/index.cfm?fuseaction=Listing.ListingDetail&amp;ListingID=19252030","Active")</f>
        <v>Active</v>
      </c>
      <c r="D180" t="s">
        <v>192</v>
      </c>
      <c r="E180" t="s">
        <v>640</v>
      </c>
      <c r="F180" s="9">
        <v>399950</v>
      </c>
      <c r="G180" t="s">
        <v>137</v>
      </c>
      <c r="H180" s="1">
        <v>2210</v>
      </c>
      <c r="I180">
        <v>8560</v>
      </c>
      <c r="J180">
        <v>3</v>
      </c>
      <c r="K180">
        <v>1.75</v>
      </c>
      <c r="M180" s="2" t="str">
        <f>HYPERLINK("http://www.windermere.com/index.cfm?fuseaction=Listing.MapPropertyInteractive&amp;ListingID=19252030&amp;resize=true&amp;windowWidth=800&amp;windowHeight=600","Map")</f>
        <v>Map</v>
      </c>
      <c r="O180" s="2" t="str">
        <f>HYPERLINK("http://www.windermere.com/index.cfm?fuseaction=viewGallery.Home&amp;customTourID=204985&amp;wvt=0","More")</f>
        <v>More</v>
      </c>
      <c r="P180" t="s">
        <v>44</v>
      </c>
      <c r="AI180" t="s">
        <v>66</v>
      </c>
      <c r="AJ180">
        <v>98115</v>
      </c>
      <c r="AS180" t="s">
        <v>641</v>
      </c>
      <c r="AT180">
        <v>19252030</v>
      </c>
      <c r="AU180" s="10">
        <v>39495</v>
      </c>
      <c r="BB180" t="s">
        <v>902</v>
      </c>
      <c r="BC180" s="6">
        <v>39466</v>
      </c>
      <c r="BG180">
        <v>29</v>
      </c>
      <c r="BH180" s="15">
        <f t="shared" ca="1" si="2"/>
        <v>1143</v>
      </c>
      <c r="BI180" s="15"/>
      <c r="BJ180" s="15"/>
    </row>
    <row r="181" spans="1:63" hidden="1" x14ac:dyDescent="0.2">
      <c r="A181">
        <v>28014797</v>
      </c>
      <c r="B181" s="2" t="str">
        <f>HYPERLINK("http://www.windermere.com/index.cfm?fuseaction=Listing.ListingDetail&amp;ListingID=19283285","Subject To Inspection")</f>
        <v>Subject To Inspection</v>
      </c>
      <c r="D181" t="s">
        <v>55</v>
      </c>
      <c r="E181" t="s">
        <v>633</v>
      </c>
      <c r="F181" s="9">
        <v>399950</v>
      </c>
      <c r="G181" t="s">
        <v>634</v>
      </c>
      <c r="H181" s="1">
        <v>1870</v>
      </c>
      <c r="I181">
        <v>3396</v>
      </c>
      <c r="J181">
        <v>4</v>
      </c>
      <c r="K181">
        <v>2.75</v>
      </c>
      <c r="M181" s="2" t="str">
        <f>HYPERLINK("http://www.windermere.com/index.cfm?fuseaction=Listing.MapPropertyInteractive&amp;ListingID=19283285&amp;resize=true&amp;windowWidth=800&amp;windowHeight=600","Map")</f>
        <v>Map</v>
      </c>
      <c r="O181" s="2" t="str">
        <f>HYPERLINK("http://www.windermere.com/index.cfm?fuseaction=Listing.MultiImageViewer&amp;ListingID=19283285&amp;ln=28014797&amp;pub_mls=1","More")</f>
        <v>More</v>
      </c>
      <c r="P181" t="s">
        <v>44</v>
      </c>
      <c r="AI181" t="s">
        <v>66</v>
      </c>
      <c r="AJ181">
        <v>98133</v>
      </c>
      <c r="AS181" t="s">
        <v>635</v>
      </c>
      <c r="AT181">
        <v>19283285</v>
      </c>
      <c r="AU181" s="10">
        <v>39495</v>
      </c>
      <c r="BB181" t="s">
        <v>902</v>
      </c>
      <c r="BC181" s="6">
        <v>39473</v>
      </c>
      <c r="BG181">
        <v>22</v>
      </c>
      <c r="BH181" s="15">
        <f t="shared" ca="1" si="2"/>
        <v>1136</v>
      </c>
      <c r="BI181" s="15"/>
      <c r="BJ181" s="15"/>
      <c r="BK181" t="str">
        <f>B181</f>
        <v>Subject To Inspection</v>
      </c>
    </row>
    <row r="182" spans="1:63" hidden="1" x14ac:dyDescent="0.2">
      <c r="A182">
        <v>28016312</v>
      </c>
      <c r="B182" s="2" t="str">
        <f>HYPERLINK("http://www.windermere.com/index.cfm?fuseaction=Listing.ListingDetail&amp;ListingID=19285694","Subject To Inspection")</f>
        <v>Subject To Inspection</v>
      </c>
      <c r="D182" t="s">
        <v>184</v>
      </c>
      <c r="E182" t="s">
        <v>618</v>
      </c>
      <c r="F182" s="9">
        <v>399950</v>
      </c>
      <c r="G182" t="s">
        <v>147</v>
      </c>
      <c r="H182" s="1">
        <v>1860</v>
      </c>
      <c r="J182">
        <v>3</v>
      </c>
      <c r="K182">
        <v>2.5</v>
      </c>
      <c r="M182" s="2" t="str">
        <f>HYPERLINK("http://www.windermere.com/index.cfm?fuseaction=Listing.MapPropertyInteractive&amp;ListingID=19285694&amp;resize=true&amp;windowWidth=800&amp;windowHeight=600","Map")</f>
        <v>Map</v>
      </c>
      <c r="O182" s="2" t="str">
        <f>HYPERLINK("http://www.windermere.com/index.cfm?fuseaction=viewGallery.Home&amp;customTourID=191417&amp;wvt=0","More")</f>
        <v>More</v>
      </c>
      <c r="AI182" t="s">
        <v>66</v>
      </c>
      <c r="AJ182">
        <v>98125</v>
      </c>
      <c r="AS182" t="s">
        <v>619</v>
      </c>
      <c r="AT182">
        <v>19285694</v>
      </c>
      <c r="AU182" s="10">
        <v>39495</v>
      </c>
      <c r="BB182" t="s">
        <v>902</v>
      </c>
      <c r="BC182" s="6">
        <v>39474</v>
      </c>
      <c r="BG182">
        <v>21</v>
      </c>
      <c r="BH182" s="15">
        <f t="shared" ca="1" si="2"/>
        <v>1135</v>
      </c>
      <c r="BI182" s="15"/>
      <c r="BJ182" s="15"/>
      <c r="BK182" t="str">
        <f>B182</f>
        <v>Subject To Inspection</v>
      </c>
    </row>
    <row r="183" spans="1:63" hidden="1" x14ac:dyDescent="0.2">
      <c r="A183">
        <v>28023200</v>
      </c>
      <c r="B183" s="2" t="str">
        <f>HYPERLINK("http://www.windermere.com/index.cfm?fuseaction=Listing.ListingDetail&amp;ListingID=19338013","Active")</f>
        <v>Active</v>
      </c>
      <c r="D183" t="s">
        <v>63</v>
      </c>
      <c r="E183" t="s">
        <v>626</v>
      </c>
      <c r="F183" s="9">
        <v>399950</v>
      </c>
      <c r="G183" t="s">
        <v>239</v>
      </c>
      <c r="H183" s="1">
        <v>1250</v>
      </c>
      <c r="J183">
        <v>2</v>
      </c>
      <c r="K183">
        <v>2.5</v>
      </c>
      <c r="M183" s="2" t="str">
        <f>HYPERLINK("http://www.windermere.com/index.cfm?fuseaction=Listing.MapPropertyInteractive&amp;ListingID=19338013&amp;resize=true&amp;windowWidth=800&amp;windowHeight=600","Map")</f>
        <v>Map</v>
      </c>
      <c r="O183" s="2" t="str">
        <f>HYPERLINK("http://www.windermere.com/index.cfm?fuseaction=Listing.MultiImageViewer&amp;ListingID=19338013&amp;ln=28023200&amp;pub_mls=1","More")</f>
        <v>More</v>
      </c>
      <c r="P183" t="s">
        <v>44</v>
      </c>
      <c r="AI183" t="s">
        <v>66</v>
      </c>
      <c r="AJ183">
        <v>98107</v>
      </c>
      <c r="AS183" t="s">
        <v>627</v>
      </c>
      <c r="AT183">
        <v>19338013</v>
      </c>
      <c r="AU183" s="10">
        <v>39495</v>
      </c>
      <c r="BB183" t="s">
        <v>902</v>
      </c>
      <c r="BC183" s="6">
        <v>39485</v>
      </c>
      <c r="BG183">
        <v>10</v>
      </c>
      <c r="BH183" s="15">
        <f t="shared" ca="1" si="2"/>
        <v>1124</v>
      </c>
      <c r="BI183" s="15"/>
      <c r="BJ183" s="15"/>
    </row>
    <row r="184" spans="1:63" hidden="1" x14ac:dyDescent="0.2">
      <c r="A184">
        <v>28024806</v>
      </c>
      <c r="B184" s="2" t="str">
        <f>HYPERLINK("http://www.windermere.com/index.cfm?fuseaction=Listing.ListingDetail&amp;ListingID=19350453","Subject To Inspection")</f>
        <v>Subject To Inspection</v>
      </c>
      <c r="D184" t="s">
        <v>60</v>
      </c>
      <c r="E184" t="s">
        <v>628</v>
      </c>
      <c r="F184" s="9">
        <v>399950</v>
      </c>
      <c r="G184" t="s">
        <v>384</v>
      </c>
      <c r="H184" s="1">
        <v>2160</v>
      </c>
      <c r="J184">
        <v>3</v>
      </c>
      <c r="K184">
        <v>1</v>
      </c>
      <c r="M184" s="2" t="str">
        <f>HYPERLINK("http://www.windermere.com/index.cfm?fuseaction=Listing.MapPropertyInteractive&amp;ListingID=19350453&amp;resize=true&amp;windowWidth=800&amp;windowHeight=600","Map")</f>
        <v>Map</v>
      </c>
      <c r="P184" t="s">
        <v>44</v>
      </c>
      <c r="AI184" t="s">
        <v>66</v>
      </c>
      <c r="AJ184">
        <v>98105</v>
      </c>
      <c r="AS184" t="s">
        <v>629</v>
      </c>
      <c r="AT184">
        <v>19350453</v>
      </c>
      <c r="AU184" s="10">
        <v>39495</v>
      </c>
      <c r="BB184" t="s">
        <v>902</v>
      </c>
      <c r="BC184" s="6">
        <v>39489</v>
      </c>
      <c r="BG184">
        <v>6</v>
      </c>
      <c r="BH184" s="15">
        <f t="shared" ca="1" si="2"/>
        <v>1120</v>
      </c>
      <c r="BI184" s="15"/>
      <c r="BJ184" s="15"/>
      <c r="BK184" t="str">
        <f>B184</f>
        <v>Subject To Inspection</v>
      </c>
    </row>
    <row r="185" spans="1:63" hidden="1" x14ac:dyDescent="0.2">
      <c r="A185">
        <v>27173156</v>
      </c>
      <c r="B185" s="2" t="str">
        <f>HYPERLINK("http://www.windermere.com/index.cfm?fuseaction=Listing.ListingDetail&amp;ListingID=19104551","Active")</f>
        <v>Active</v>
      </c>
      <c r="D185" t="s">
        <v>184</v>
      </c>
      <c r="E185" t="s">
        <v>642</v>
      </c>
      <c r="F185" s="9">
        <v>399975</v>
      </c>
      <c r="G185" t="s">
        <v>643</v>
      </c>
      <c r="H185" s="1">
        <v>2012</v>
      </c>
      <c r="I185">
        <v>8160</v>
      </c>
      <c r="J185">
        <v>4</v>
      </c>
      <c r="K185">
        <v>1.5</v>
      </c>
      <c r="M185" s="2" t="str">
        <f>HYPERLINK("http://www.windermere.com/index.cfm?fuseaction=Listing.MapPropertyInteractive&amp;ListingID=19104551&amp;resize=true&amp;windowWidth=800&amp;windowHeight=600","Map")</f>
        <v>Map</v>
      </c>
      <c r="O185" s="2" t="str">
        <f>HYPERLINK("http://www.windermere.com/index.cfm?fuseaction=Listing.MultiImageViewer&amp;ListingID=19104551&amp;ln=27173156&amp;pub_mls=1","More")</f>
        <v>More</v>
      </c>
      <c r="AI185" t="s">
        <v>66</v>
      </c>
      <c r="AJ185">
        <v>98125</v>
      </c>
      <c r="AS185" t="s">
        <v>644</v>
      </c>
      <c r="AT185">
        <v>19104551</v>
      </c>
      <c r="AU185" s="10">
        <v>39495</v>
      </c>
      <c r="BB185" t="s">
        <v>902</v>
      </c>
      <c r="BC185" s="6">
        <v>39346</v>
      </c>
      <c r="BG185">
        <v>149</v>
      </c>
      <c r="BH185" s="15">
        <f t="shared" ca="1" si="2"/>
        <v>1263</v>
      </c>
      <c r="BI185" s="15"/>
      <c r="BJ185" s="15"/>
    </row>
    <row r="186" spans="1:63" hidden="1" x14ac:dyDescent="0.2">
      <c r="A186">
        <v>27167243</v>
      </c>
      <c r="B186" s="2" t="str">
        <f>HYPERLINK("http://www.windermere.com/index.cfm?fuseaction=Listing.ListingDetail&amp;ListingID=18621558","Active")</f>
        <v>Active</v>
      </c>
      <c r="D186" t="s">
        <v>63</v>
      </c>
      <c r="E186" t="s">
        <v>645</v>
      </c>
      <c r="F186" s="9">
        <v>399990</v>
      </c>
      <c r="G186" t="s">
        <v>147</v>
      </c>
      <c r="H186" s="1">
        <v>1349</v>
      </c>
      <c r="J186">
        <v>2</v>
      </c>
      <c r="K186">
        <v>2.5</v>
      </c>
      <c r="M186" s="2" t="str">
        <f>HYPERLINK("http://www.windermere.com/index.cfm?fuseaction=Listing.MapPropertyInteractive&amp;ListingID=18621558&amp;resize=true&amp;windowWidth=800&amp;windowHeight=600","Map")</f>
        <v>Map</v>
      </c>
      <c r="O186" s="2" t="str">
        <f>HYPERLINK("http://www.windermere.com/index.cfm?fuseaction=Listing.MultiImageViewer&amp;ListingID=18621558&amp;ln=27167243&amp;pub_mls=1","More")</f>
        <v>More</v>
      </c>
      <c r="AI186" t="s">
        <v>66</v>
      </c>
      <c r="AJ186">
        <v>98107</v>
      </c>
      <c r="AS186" t="s">
        <v>646</v>
      </c>
      <c r="AT186">
        <v>18621558</v>
      </c>
      <c r="AU186" s="10">
        <v>39495</v>
      </c>
      <c r="BB186" t="s">
        <v>902</v>
      </c>
      <c r="BC186" s="6">
        <v>39337</v>
      </c>
      <c r="BG186">
        <v>158</v>
      </c>
      <c r="BH186" s="15">
        <f t="shared" ca="1" si="2"/>
        <v>1272</v>
      </c>
      <c r="BI186" s="15"/>
      <c r="BJ186" s="15"/>
    </row>
    <row r="187" spans="1:63" hidden="1" x14ac:dyDescent="0.2">
      <c r="A187">
        <v>27100755</v>
      </c>
      <c r="B187" s="2" t="str">
        <f>HYPERLINK("http://www.windermere.com/index.cfm?fuseaction=Listing.ListingDetail&amp;ListingID=18039221","")</f>
        <v/>
      </c>
      <c r="D187" t="s">
        <v>1047</v>
      </c>
      <c r="E187" t="s">
        <v>1048</v>
      </c>
      <c r="F187" s="9">
        <v>399999</v>
      </c>
      <c r="G187" t="s">
        <v>176</v>
      </c>
      <c r="I187">
        <v>6052</v>
      </c>
      <c r="J187">
        <v>2</v>
      </c>
      <c r="K187">
        <v>1</v>
      </c>
      <c r="M187" s="2" t="str">
        <f>HYPERLINK("http://www.windermere.com/index.cfm?fuseaction=Listing.MapPropertyInteractive&amp;ListingID=18039221&amp;resize=true&amp;windowWidth=800&amp;windowHeight=600","Map")</f>
        <v>Map</v>
      </c>
      <c r="O187" s="2" t="str">
        <f>HYPERLINK("http://www.windermere.com/index.cfm?fuseaction=Listing.MultiImageViewer&amp;ListingID=18039221&amp;ln=27100755&amp;pub_mls=1","More")</f>
        <v>More</v>
      </c>
      <c r="AI187" t="s">
        <v>66</v>
      </c>
      <c r="AJ187">
        <v>98115</v>
      </c>
      <c r="AS187" t="s">
        <v>1049</v>
      </c>
      <c r="AT187">
        <v>18039221</v>
      </c>
      <c r="AU187" s="10">
        <v>39495</v>
      </c>
      <c r="BB187" t="s">
        <v>902</v>
      </c>
      <c r="BC187" t="s">
        <v>1344</v>
      </c>
      <c r="BD187">
        <v>1</v>
      </c>
      <c r="BG187">
        <v>0</v>
      </c>
      <c r="BH187" s="15" t="e">
        <f t="shared" ca="1" si="2"/>
        <v>#VALUE!</v>
      </c>
      <c r="BI187" s="15"/>
      <c r="BJ187" s="15"/>
      <c r="BK187" t="str">
        <f>B187</f>
        <v/>
      </c>
    </row>
    <row r="188" spans="1:63" hidden="1" x14ac:dyDescent="0.2">
      <c r="A188">
        <v>28015518</v>
      </c>
      <c r="B188" s="2" t="str">
        <f>HYPERLINK("http://www.windermere.com/index.cfm?fuseaction=Listing.ListingDetail&amp;ListingID=19278247","Subject To Inspection")</f>
        <v>Subject To Inspection</v>
      </c>
      <c r="D188" t="s">
        <v>194</v>
      </c>
      <c r="E188" t="s">
        <v>1045</v>
      </c>
      <c r="F188" s="9">
        <v>399999</v>
      </c>
      <c r="G188" t="s">
        <v>125</v>
      </c>
      <c r="H188" s="1">
        <v>1020</v>
      </c>
      <c r="I188">
        <v>6000</v>
      </c>
      <c r="J188">
        <v>2</v>
      </c>
      <c r="K188">
        <v>1</v>
      </c>
      <c r="M188" s="2" t="str">
        <f>HYPERLINK("http://www.windermere.com/index.cfm?fuseaction=Listing.MapPropertyInteractive&amp;ListingID=19278247&amp;resize=true&amp;windowWidth=800&amp;windowHeight=600","Map")</f>
        <v>Map</v>
      </c>
      <c r="O188" s="2" t="str">
        <f>HYPERLINK("http://www.windermere.com/index.cfm?fuseaction=Listing.MultiImageViewer&amp;ListingID=19278247&amp;ln=28015518&amp;pub_mls=1","More")</f>
        <v>More</v>
      </c>
      <c r="P188" t="s">
        <v>44</v>
      </c>
      <c r="AI188" t="s">
        <v>66</v>
      </c>
      <c r="AJ188">
        <v>98115</v>
      </c>
      <c r="AS188" t="s">
        <v>1046</v>
      </c>
      <c r="AT188">
        <v>19278247</v>
      </c>
      <c r="AU188" s="10">
        <v>39495</v>
      </c>
      <c r="BB188" t="s">
        <v>902</v>
      </c>
      <c r="BC188" s="6">
        <v>39472</v>
      </c>
      <c r="BG188">
        <v>23</v>
      </c>
      <c r="BH188" s="15">
        <f t="shared" ca="1" si="2"/>
        <v>1137</v>
      </c>
      <c r="BI188" s="15"/>
      <c r="BJ188" s="15"/>
      <c r="BK188" t="str">
        <f>B188</f>
        <v>Subject To Inspection</v>
      </c>
    </row>
    <row r="189" spans="1:63" hidden="1" x14ac:dyDescent="0.2">
      <c r="A189">
        <v>28018523</v>
      </c>
      <c r="B189" s="2" t="str">
        <f>HYPERLINK("http://www.windermere.com/index.cfm?fuseaction=Listing.ListingDetail&amp;ListingID=19303929","Active")</f>
        <v>Active</v>
      </c>
      <c r="D189" t="s">
        <v>908</v>
      </c>
      <c r="E189" t="s">
        <v>655</v>
      </c>
      <c r="F189" s="11">
        <v>350000</v>
      </c>
      <c r="G189" t="s">
        <v>607</v>
      </c>
      <c r="H189" s="1">
        <v>2440</v>
      </c>
      <c r="I189">
        <v>7395</v>
      </c>
      <c r="J189">
        <v>4</v>
      </c>
      <c r="K189">
        <v>2.25</v>
      </c>
      <c r="M189" s="2" t="str">
        <f>HYPERLINK("http://www.windermere.com/index.cfm?fuseaction=Listing.MapPropertyInteractive&amp;ListingID=19303929&amp;resize=true&amp;windowWidth=800&amp;windowHeight=600","Map")</f>
        <v>Map</v>
      </c>
      <c r="O189" s="2" t="str">
        <f>HYPERLINK("http://www.windermere.com/index.cfm?fuseaction=Listing.MultiImageViewer&amp;ListingID=19303929&amp;ln=28018523&amp;pub_mls=1","More")</f>
        <v>More</v>
      </c>
      <c r="P189" t="s">
        <v>44</v>
      </c>
      <c r="AI189" t="s">
        <v>66</v>
      </c>
      <c r="AJ189">
        <v>98133</v>
      </c>
      <c r="AS189" t="s">
        <v>656</v>
      </c>
      <c r="AT189">
        <v>19303929</v>
      </c>
      <c r="AU189" s="10">
        <v>39495</v>
      </c>
      <c r="BB189" t="s">
        <v>902</v>
      </c>
      <c r="BC189" s="6">
        <v>39478</v>
      </c>
      <c r="BG189">
        <v>17</v>
      </c>
      <c r="BH189" s="15">
        <f t="shared" ca="1" si="2"/>
        <v>1131</v>
      </c>
      <c r="BI189" s="15"/>
      <c r="BJ189" s="15"/>
    </row>
    <row r="190" spans="1:63" hidden="1" x14ac:dyDescent="0.2">
      <c r="A190">
        <v>28021013</v>
      </c>
      <c r="B190" s="2" t="str">
        <f>HYPERLINK("http://www.windermere.com/index.cfm?fuseaction=Listing.ListingDetail&amp;ListingID=19326790","Active")</f>
        <v>Active</v>
      </c>
      <c r="C190">
        <v>705</v>
      </c>
      <c r="D190" t="s">
        <v>63</v>
      </c>
      <c r="E190" t="s">
        <v>232</v>
      </c>
      <c r="F190" s="9">
        <v>400000</v>
      </c>
      <c r="G190" t="s">
        <v>124</v>
      </c>
      <c r="I190">
        <v>3000</v>
      </c>
      <c r="J190">
        <v>2</v>
      </c>
      <c r="K190">
        <v>1</v>
      </c>
      <c r="M190" s="2" t="str">
        <f>HYPERLINK("http://www.windermere.com/index.cfm?fuseaction=Listing.MapPropertyInteractive&amp;ListingID=19326790&amp;resize=true&amp;windowWidth=800&amp;windowHeight=600","Map")</f>
        <v>Map</v>
      </c>
      <c r="N190" s="2" t="str">
        <f>HYPERLINK("http://locmedia.nwmls.com/DO_NOT_LINK/bigphoto/013/28021013.jpg?tsp=20080205132648","Photo")</f>
        <v>Photo</v>
      </c>
      <c r="O190" s="2" t="str">
        <f>HYPERLINK("http://www.windermere.com/index.cfm?fuseaction=Listing.MultiImageViewer&amp;ListingID=19326790&amp;ln=28021013&amp;pub_mls=1","More")</f>
        <v>More</v>
      </c>
      <c r="Q190" t="s">
        <v>45</v>
      </c>
      <c r="R190" t="s">
        <v>46</v>
      </c>
      <c r="S190" t="s">
        <v>53</v>
      </c>
      <c r="T190" t="s">
        <v>50</v>
      </c>
      <c r="U190" t="s">
        <v>44</v>
      </c>
      <c r="X190" t="s">
        <v>47</v>
      </c>
      <c r="Y190" t="s">
        <v>48</v>
      </c>
      <c r="Z190" t="s">
        <v>919</v>
      </c>
      <c r="AA190" t="s">
        <v>920</v>
      </c>
      <c r="AB190">
        <v>2007</v>
      </c>
      <c r="AC190">
        <v>2613</v>
      </c>
      <c r="AD190" t="s">
        <v>921</v>
      </c>
      <c r="AF190" t="s">
        <v>59</v>
      </c>
      <c r="AG190">
        <v>47.680506999999999</v>
      </c>
      <c r="AH190">
        <v>-122.367285</v>
      </c>
      <c r="AI190" t="s">
        <v>66</v>
      </c>
      <c r="AJ190">
        <v>98117</v>
      </c>
      <c r="AK190" t="s">
        <v>41</v>
      </c>
      <c r="AL190" t="s">
        <v>40</v>
      </c>
      <c r="AM190" t="s">
        <v>40</v>
      </c>
      <c r="AO190">
        <v>6.9000000000000006E-2</v>
      </c>
      <c r="AP190" t="s">
        <v>922</v>
      </c>
      <c r="AQ190">
        <v>534</v>
      </c>
      <c r="AR190" t="s">
        <v>92</v>
      </c>
      <c r="AS190" t="s">
        <v>292</v>
      </c>
      <c r="AT190">
        <v>19326790</v>
      </c>
      <c r="AU190" s="10">
        <v>39495</v>
      </c>
      <c r="BA190" t="s">
        <v>902</v>
      </c>
      <c r="BB190" t="s">
        <v>902</v>
      </c>
      <c r="BC190" s="6">
        <v>39483</v>
      </c>
      <c r="BG190">
        <v>12</v>
      </c>
      <c r="BH190" s="15">
        <f t="shared" ca="1" si="2"/>
        <v>1126</v>
      </c>
      <c r="BI190" s="15"/>
      <c r="BJ190" s="15"/>
    </row>
    <row r="191" spans="1:63" hidden="1" x14ac:dyDescent="0.2">
      <c r="A191">
        <v>28021123</v>
      </c>
      <c r="B191" s="2" t="str">
        <f>HYPERLINK("http://www.windermere.com/index.cfm?fuseaction=Listing.ListingDetail&amp;ListingID=19322649","Active")</f>
        <v>Active</v>
      </c>
      <c r="C191">
        <v>705</v>
      </c>
      <c r="D191" t="s">
        <v>63</v>
      </c>
      <c r="E191" t="s">
        <v>647</v>
      </c>
      <c r="F191" s="9">
        <v>400000</v>
      </c>
      <c r="G191" t="s">
        <v>430</v>
      </c>
      <c r="H191" s="1">
        <v>1340</v>
      </c>
      <c r="I191">
        <v>3000</v>
      </c>
      <c r="J191">
        <v>2</v>
      </c>
      <c r="K191">
        <v>1</v>
      </c>
      <c r="M191" s="2" t="str">
        <f>HYPERLINK("http://www.windermere.com/index.cfm?fuseaction=Listing.MapPropertyInteractive&amp;ListingID=19322649&amp;resize=true&amp;windowWidth=800&amp;windowHeight=600","Map")</f>
        <v>Map</v>
      </c>
      <c r="N191" s="2" t="str">
        <f>HYPERLINK("http://locmedia.nwmls.com/DO_NOT_LINK/bigphoto/123/28021123.jpg?tsp=20080204155025","Photo")</f>
        <v>Photo</v>
      </c>
      <c r="O191" s="2" t="str">
        <f>HYPERLINK("http://www.windermere.com/index.cfm?fuseaction=Listing.MultiImageViewer&amp;ListingID=19322649&amp;ln=28021123&amp;pub_mls=1","More")</f>
        <v>More</v>
      </c>
      <c r="Q191" t="s">
        <v>56</v>
      </c>
      <c r="R191" t="s">
        <v>72</v>
      </c>
      <c r="S191" t="s">
        <v>58</v>
      </c>
      <c r="T191" t="s">
        <v>77</v>
      </c>
      <c r="U191" t="s">
        <v>44</v>
      </c>
      <c r="X191" t="s">
        <v>47</v>
      </c>
      <c r="Y191" t="s">
        <v>48</v>
      </c>
      <c r="Z191" t="s">
        <v>225</v>
      </c>
      <c r="AB191">
        <v>2007</v>
      </c>
      <c r="AC191">
        <v>2937</v>
      </c>
      <c r="AD191" t="s">
        <v>916</v>
      </c>
      <c r="AE191" t="s">
        <v>110</v>
      </c>
      <c r="AG191">
        <v>47.660032000000001</v>
      </c>
      <c r="AH191">
        <v>-122.361898</v>
      </c>
      <c r="AI191" t="s">
        <v>66</v>
      </c>
      <c r="AJ191">
        <v>98107</v>
      </c>
      <c r="AK191" t="s">
        <v>41</v>
      </c>
      <c r="AL191" t="s">
        <v>40</v>
      </c>
      <c r="AM191" t="s">
        <v>40</v>
      </c>
      <c r="AO191">
        <v>6.9000000000000006E-2</v>
      </c>
      <c r="AP191" t="s">
        <v>917</v>
      </c>
      <c r="AQ191">
        <v>534</v>
      </c>
      <c r="AR191" t="s">
        <v>918</v>
      </c>
      <c r="AS191" t="s">
        <v>648</v>
      </c>
      <c r="AT191">
        <v>19322649</v>
      </c>
      <c r="AU191" s="10">
        <v>39495</v>
      </c>
      <c r="BA191" t="s">
        <v>902</v>
      </c>
      <c r="BB191" t="s">
        <v>902</v>
      </c>
      <c r="BC191" s="6">
        <v>39482</v>
      </c>
      <c r="BG191">
        <v>13</v>
      </c>
      <c r="BH191" s="15">
        <f t="shared" ca="1" si="2"/>
        <v>1127</v>
      </c>
      <c r="BI191" s="15"/>
      <c r="BJ191" s="15"/>
    </row>
    <row r="192" spans="1:63" hidden="1" x14ac:dyDescent="0.2">
      <c r="A192">
        <v>28023330</v>
      </c>
      <c r="B192" s="2" t="str">
        <f>HYPERLINK("http://www.windermere.com/index.cfm?fuseaction=Listing.ListingDetail&amp;ListingID=19342125","Active")</f>
        <v>Active</v>
      </c>
      <c r="C192">
        <v>705</v>
      </c>
      <c r="D192" t="s">
        <v>70</v>
      </c>
      <c r="E192" t="s">
        <v>657</v>
      </c>
      <c r="F192" s="9">
        <v>400000</v>
      </c>
      <c r="G192" t="s">
        <v>126</v>
      </c>
      <c r="H192" s="1">
        <v>1110</v>
      </c>
      <c r="I192">
        <v>7943</v>
      </c>
      <c r="J192">
        <v>3</v>
      </c>
      <c r="K192">
        <v>1</v>
      </c>
      <c r="L192">
        <v>1</v>
      </c>
      <c r="M192" s="2" t="str">
        <f>HYPERLINK("http://www.windermere.com/index.cfm?fuseaction=Listing.MapPropertyInteractive&amp;ListingID=19342125&amp;resize=true&amp;windowWidth=800&amp;windowHeight=600","Map")</f>
        <v>Map</v>
      </c>
      <c r="N192" s="2" t="str">
        <f>HYPERLINK("http://locmedia.nwmls.com/DO_NOT_LINK/bigphoto/330/28023330.jpg?tsp=20080208115857","Photo")</f>
        <v>Photo</v>
      </c>
      <c r="O192" s="2" t="str">
        <f>HYPERLINK("http://www.windermere.com/index.cfm?fuseaction=Listing.MultiImageViewer&amp;ListingID=19342125&amp;ln=28023330&amp;pub_mls=1","More")</f>
        <v>More</v>
      </c>
      <c r="Q192" t="s">
        <v>56</v>
      </c>
      <c r="R192" t="s">
        <v>67</v>
      </c>
      <c r="S192" t="s">
        <v>58</v>
      </c>
      <c r="T192" t="s">
        <v>77</v>
      </c>
      <c r="U192" t="s">
        <v>44</v>
      </c>
      <c r="X192" t="s">
        <v>47</v>
      </c>
      <c r="Y192" t="s">
        <v>48</v>
      </c>
      <c r="Z192" t="s">
        <v>103</v>
      </c>
      <c r="AA192" t="s">
        <v>224</v>
      </c>
      <c r="AB192">
        <v>2007</v>
      </c>
      <c r="AC192">
        <v>3049</v>
      </c>
      <c r="AD192" t="s">
        <v>923</v>
      </c>
      <c r="AE192" t="s">
        <v>110</v>
      </c>
      <c r="AF192" t="s">
        <v>924</v>
      </c>
      <c r="AG192">
        <v>47.714644</v>
      </c>
      <c r="AH192">
        <v>-122.350216</v>
      </c>
      <c r="AI192" t="s">
        <v>66</v>
      </c>
      <c r="AJ192">
        <v>98133</v>
      </c>
      <c r="AK192" t="s">
        <v>41</v>
      </c>
      <c r="AL192" t="s">
        <v>40</v>
      </c>
      <c r="AM192" t="s">
        <v>40</v>
      </c>
      <c r="AO192">
        <v>0.182</v>
      </c>
      <c r="AP192" t="s">
        <v>925</v>
      </c>
      <c r="AQ192">
        <v>504</v>
      </c>
      <c r="AR192" t="s">
        <v>71</v>
      </c>
      <c r="AS192" t="s">
        <v>658</v>
      </c>
      <c r="AT192">
        <v>19342125</v>
      </c>
      <c r="AU192" s="10">
        <v>39495</v>
      </c>
      <c r="BA192" t="s">
        <v>902</v>
      </c>
      <c r="BB192" t="s">
        <v>902</v>
      </c>
      <c r="BC192" s="6">
        <v>39486</v>
      </c>
      <c r="BG192">
        <v>9</v>
      </c>
      <c r="BH192" s="15">
        <f t="shared" ca="1" si="2"/>
        <v>1123</v>
      </c>
      <c r="BI192" s="15"/>
      <c r="BJ192" s="15"/>
    </row>
    <row r="193" spans="1:62" hidden="1" x14ac:dyDescent="0.2">
      <c r="A193">
        <v>28026262</v>
      </c>
      <c r="B193" s="13" t="str">
        <f>HYPERLINK("http://www.windermere.com/index.cfm?fuseaction=Listing.ListingDetail&amp;ListingID=19360801","Subject To Inspection")</f>
        <v>Subject To Inspection</v>
      </c>
      <c r="D193" t="s">
        <v>109</v>
      </c>
      <c r="E193" t="s">
        <v>649</v>
      </c>
      <c r="F193" s="9">
        <v>400000</v>
      </c>
      <c r="G193" t="s">
        <v>650</v>
      </c>
      <c r="H193" s="1">
        <v>1450</v>
      </c>
      <c r="I193">
        <v>3354</v>
      </c>
      <c r="J193">
        <v>3</v>
      </c>
      <c r="M193" s="2" t="str">
        <f>HYPERLINK("http://www.windermere.com/index.cfm?fuseaction=Listing.MapPropertyInteractive&amp;ListingID=19360801&amp;resize=true&amp;windowWidth=800&amp;windowHeight=600","Map")</f>
        <v>Map</v>
      </c>
      <c r="P193" t="s">
        <v>44</v>
      </c>
      <c r="AI193" t="s">
        <v>66</v>
      </c>
      <c r="AJ193">
        <v>98103</v>
      </c>
      <c r="AS193" t="s">
        <v>651</v>
      </c>
      <c r="AT193">
        <v>19360801</v>
      </c>
      <c r="AU193" s="10">
        <v>39495</v>
      </c>
      <c r="BB193" t="s">
        <v>902</v>
      </c>
      <c r="BC193" s="6">
        <v>39491</v>
      </c>
      <c r="BG193">
        <v>4</v>
      </c>
      <c r="BH193" s="15">
        <f t="shared" ca="1" si="2"/>
        <v>1118</v>
      </c>
      <c r="BI193" s="15"/>
      <c r="BJ193" s="15"/>
    </row>
    <row r="194" spans="1:62" hidden="1" x14ac:dyDescent="0.2">
      <c r="A194">
        <v>28026361</v>
      </c>
      <c r="B194" s="2" t="str">
        <f>HYPERLINK("http://www.windermere.com/index.cfm?fuseaction=Listing.ListingDetail&amp;ListingID=19362856","Active")</f>
        <v>Active</v>
      </c>
      <c r="D194" t="s">
        <v>192</v>
      </c>
      <c r="E194" t="s">
        <v>652</v>
      </c>
      <c r="F194" s="9">
        <v>400000</v>
      </c>
      <c r="G194" t="s">
        <v>653</v>
      </c>
      <c r="H194" s="1">
        <v>2370</v>
      </c>
      <c r="I194">
        <v>6361</v>
      </c>
      <c r="J194">
        <v>3</v>
      </c>
      <c r="K194">
        <v>2.5</v>
      </c>
      <c r="M194" s="2" t="str">
        <f>HYPERLINK("http://www.windermere.com/index.cfm?fuseaction=Listing.MapPropertyInteractive&amp;ListingID=19362856&amp;resize=true&amp;windowWidth=800&amp;windowHeight=600","Map")</f>
        <v>Map</v>
      </c>
      <c r="AI194" t="s">
        <v>66</v>
      </c>
      <c r="AJ194">
        <v>98125</v>
      </c>
      <c r="AS194" t="s">
        <v>654</v>
      </c>
      <c r="AT194">
        <v>19362856</v>
      </c>
      <c r="AU194" s="10">
        <v>39495</v>
      </c>
      <c r="BB194" t="s">
        <v>902</v>
      </c>
      <c r="BC194" s="6">
        <v>39491</v>
      </c>
      <c r="BG194">
        <v>4</v>
      </c>
      <c r="BH194" s="15">
        <f t="shared" ca="1" si="2"/>
        <v>1118</v>
      </c>
      <c r="BI194" s="15"/>
      <c r="BJ194" s="15"/>
    </row>
    <row r="195" spans="1:62" hidden="1" x14ac:dyDescent="0.2">
      <c r="A195">
        <v>27164890</v>
      </c>
      <c r="B195" s="2" t="str">
        <f>HYPERLINK("http://www.windermere.com/index.cfm?fuseaction=Listing.ListingDetail&amp;ListingID=18588767","Active")</f>
        <v>Active</v>
      </c>
      <c r="D195" t="s">
        <v>190</v>
      </c>
      <c r="E195" t="s">
        <v>663</v>
      </c>
      <c r="F195" s="9">
        <v>405000</v>
      </c>
      <c r="G195" t="s">
        <v>664</v>
      </c>
      <c r="H195" s="1">
        <v>1350</v>
      </c>
      <c r="J195">
        <v>3</v>
      </c>
      <c r="K195">
        <v>2.25</v>
      </c>
      <c r="M195" s="2" t="str">
        <f>HYPERLINK("http://www.windermere.com/index.cfm?fuseaction=Listing.MapPropertyInteractive&amp;ListingID=18588767&amp;resize=true&amp;windowWidth=800&amp;windowHeight=600","Map")</f>
        <v>Map</v>
      </c>
      <c r="O195" s="2" t="str">
        <f>HYPERLINK("http://www.windermere.com/index.cfm?fuseaction=Listing.MultiImageViewer&amp;ListingID=18588767&amp;ln=27164890&amp;pub_mls=1","More")</f>
        <v>More</v>
      </c>
      <c r="AI195" t="s">
        <v>66</v>
      </c>
      <c r="AJ195">
        <v>98115</v>
      </c>
      <c r="AS195" t="s">
        <v>665</v>
      </c>
      <c r="AT195">
        <v>18588767</v>
      </c>
      <c r="AU195" s="10">
        <v>39495</v>
      </c>
      <c r="BB195" t="s">
        <v>902</v>
      </c>
      <c r="BC195" s="6">
        <v>39333</v>
      </c>
      <c r="BD195">
        <v>-2</v>
      </c>
      <c r="BE195" s="5" t="s">
        <v>1261</v>
      </c>
      <c r="BG195">
        <v>162</v>
      </c>
      <c r="BH195" s="15">
        <f t="shared" ref="BH195:BH258" ca="1" si="3">TODAY()-BC195</f>
        <v>1276</v>
      </c>
      <c r="BI195" s="15"/>
      <c r="BJ195" s="15"/>
    </row>
    <row r="196" spans="1:62" hidden="1" x14ac:dyDescent="0.2">
      <c r="A196">
        <v>27189674</v>
      </c>
      <c r="B196" s="2" t="str">
        <f>HYPERLINK("http://www.windermere.com/index.cfm?fuseaction=Listing.ListingDetail&amp;ListingID=18844703","Active")</f>
        <v>Active</v>
      </c>
      <c r="D196" t="s">
        <v>99</v>
      </c>
      <c r="E196" t="s">
        <v>290</v>
      </c>
      <c r="F196" s="9">
        <v>405000</v>
      </c>
      <c r="G196" t="s">
        <v>240</v>
      </c>
      <c r="H196" s="1">
        <v>1600</v>
      </c>
      <c r="J196">
        <v>3</v>
      </c>
      <c r="K196">
        <v>3.25</v>
      </c>
      <c r="M196" s="2" t="str">
        <f>HYPERLINK("http://www.windermere.com/index.cfm?fuseaction=Listing.MapPropertyInteractive&amp;ListingID=18844703&amp;resize=true&amp;windowWidth=800&amp;windowHeight=600","Map")</f>
        <v>Map</v>
      </c>
      <c r="O196" s="2" t="str">
        <f>HYPERLINK("http://www.windermere.com/index.cfm?fuseaction=Listing.MultiImageViewer&amp;ListingID=18844703&amp;ln=27189674&amp;pub_mls=1","More")</f>
        <v>More</v>
      </c>
      <c r="P196" t="s">
        <v>44</v>
      </c>
      <c r="AI196" t="s">
        <v>66</v>
      </c>
      <c r="AJ196">
        <v>98117</v>
      </c>
      <c r="AS196" t="s">
        <v>291</v>
      </c>
      <c r="AT196">
        <v>18844703</v>
      </c>
      <c r="AU196" s="10">
        <v>39495</v>
      </c>
      <c r="BB196" t="s">
        <v>902</v>
      </c>
      <c r="BC196" s="6">
        <v>39375</v>
      </c>
      <c r="BG196">
        <v>120</v>
      </c>
      <c r="BH196" s="15">
        <f t="shared" ca="1" si="3"/>
        <v>1234</v>
      </c>
      <c r="BI196" s="15"/>
      <c r="BJ196" s="15"/>
    </row>
    <row r="197" spans="1:62" hidden="1" x14ac:dyDescent="0.2">
      <c r="A197">
        <v>27214047</v>
      </c>
      <c r="B197" s="2" t="str">
        <f>HYPERLINK("http://www.windermere.com/index.cfm?fuseaction=Listing.ListingDetail&amp;ListingID=19106819","Active")</f>
        <v>Active</v>
      </c>
      <c r="D197" t="s">
        <v>226</v>
      </c>
      <c r="E197" t="s">
        <v>659</v>
      </c>
      <c r="F197" s="11">
        <v>399000</v>
      </c>
      <c r="G197" t="s">
        <v>147</v>
      </c>
      <c r="H197" s="1">
        <v>1258</v>
      </c>
      <c r="J197">
        <v>2</v>
      </c>
      <c r="K197">
        <v>1.5</v>
      </c>
      <c r="M197" s="2" t="str">
        <f>HYPERLINK("http://www.windermere.com/index.cfm?fuseaction=Listing.MapPropertyInteractive&amp;ListingID=19106819&amp;resize=true&amp;windowWidth=800&amp;windowHeight=600","Map")</f>
        <v>Map</v>
      </c>
      <c r="O197" s="2" t="str">
        <f>HYPERLINK("http://www.windermere.com/index.cfm?fuseaction=Listing.MultiImageViewer&amp;ListingID=19106819&amp;ln=27214047&amp;pub_mls=1","More")</f>
        <v>More</v>
      </c>
      <c r="P197" t="s">
        <v>44</v>
      </c>
      <c r="AI197" t="s">
        <v>66</v>
      </c>
      <c r="AJ197">
        <v>98105</v>
      </c>
      <c r="AS197" t="s">
        <v>660</v>
      </c>
      <c r="AT197">
        <v>19106819</v>
      </c>
      <c r="AU197" s="10">
        <v>39495</v>
      </c>
      <c r="BB197" t="s">
        <v>902</v>
      </c>
      <c r="BC197" s="6">
        <v>39434</v>
      </c>
      <c r="BG197">
        <v>61</v>
      </c>
      <c r="BH197" s="15">
        <f t="shared" ca="1" si="3"/>
        <v>1175</v>
      </c>
      <c r="BI197" s="15"/>
      <c r="BJ197" s="15"/>
    </row>
    <row r="198" spans="1:62" hidden="1" x14ac:dyDescent="0.2">
      <c r="A198">
        <v>28012494</v>
      </c>
      <c r="B198" s="2" t="str">
        <f>HYPERLINK("http://www.windermere.com/index.cfm?fuseaction=Listing.ListingDetail&amp;ListingID=19254875","Active")</f>
        <v>Active</v>
      </c>
      <c r="D198" t="s">
        <v>226</v>
      </c>
      <c r="E198" t="s">
        <v>661</v>
      </c>
      <c r="F198" s="9">
        <v>405000</v>
      </c>
      <c r="G198" t="s">
        <v>147</v>
      </c>
      <c r="H198" s="1">
        <v>1326</v>
      </c>
      <c r="J198">
        <v>2</v>
      </c>
      <c r="K198">
        <v>1.5</v>
      </c>
      <c r="M198" s="2" t="str">
        <f>HYPERLINK("http://www.windermere.com/index.cfm?fuseaction=Listing.MapPropertyInteractive&amp;ListingID=19254875&amp;resize=true&amp;windowWidth=800&amp;windowHeight=600","Map")</f>
        <v>Map</v>
      </c>
      <c r="O198" s="2" t="str">
        <f>HYPERLINK("http://www.windermere.com/index.cfm?fuseaction=Listing.MultiImageViewer&amp;ListingID=19254875&amp;ln=28012494&amp;pub_mls=1","More")</f>
        <v>More</v>
      </c>
      <c r="P198" t="s">
        <v>44</v>
      </c>
      <c r="AI198" t="s">
        <v>66</v>
      </c>
      <c r="AJ198">
        <v>98105</v>
      </c>
      <c r="AS198" t="s">
        <v>662</v>
      </c>
      <c r="AT198">
        <v>19254875</v>
      </c>
      <c r="AU198" s="10">
        <v>39495</v>
      </c>
      <c r="BB198" t="s">
        <v>902</v>
      </c>
      <c r="BC198" s="6">
        <v>39467</v>
      </c>
      <c r="BG198">
        <v>28</v>
      </c>
      <c r="BH198" s="15">
        <f t="shared" ca="1" si="3"/>
        <v>1142</v>
      </c>
      <c r="BI198" s="15"/>
      <c r="BJ198" s="15"/>
    </row>
    <row r="199" spans="1:62" hidden="1" x14ac:dyDescent="0.2">
      <c r="A199">
        <v>27105286</v>
      </c>
      <c r="B199" s="2" t="str">
        <f>HYPERLINK("http://www.windermere.com/index.cfm?fuseaction=Listing.ListingDetail&amp;ListingID=18076483","Active")</f>
        <v>Active</v>
      </c>
      <c r="D199" t="s">
        <v>63</v>
      </c>
      <c r="E199" t="s">
        <v>288</v>
      </c>
      <c r="F199" s="9">
        <v>409000</v>
      </c>
      <c r="G199" t="s">
        <v>280</v>
      </c>
      <c r="I199">
        <v>3311</v>
      </c>
      <c r="J199">
        <v>4</v>
      </c>
      <c r="K199">
        <v>1</v>
      </c>
      <c r="M199" s="2" t="str">
        <f>HYPERLINK("http://www.windermere.com/index.cfm?fuseaction=Listing.MapPropertyInteractive&amp;ListingID=18076483&amp;resize=true&amp;windowWidth=800&amp;windowHeight=600","Map")</f>
        <v>Map</v>
      </c>
      <c r="O199" s="2" t="str">
        <f>HYPERLINK("http://www.windermere.com/index.cfm?fuseaction=Listing.MultiImageViewer&amp;ListingID=18076483&amp;ln=27105286&amp;pub_mls=1","More")</f>
        <v>More</v>
      </c>
      <c r="P199" t="s">
        <v>44</v>
      </c>
      <c r="AI199" t="s">
        <v>66</v>
      </c>
      <c r="AJ199">
        <v>98117</v>
      </c>
      <c r="AS199" t="s">
        <v>289</v>
      </c>
      <c r="AT199">
        <v>18076483</v>
      </c>
      <c r="AU199" s="10">
        <v>39495</v>
      </c>
      <c r="BB199" t="s">
        <v>902</v>
      </c>
      <c r="BC199" s="6">
        <v>39245</v>
      </c>
      <c r="BD199">
        <v>-2</v>
      </c>
      <c r="BE199" s="5" t="s">
        <v>1244</v>
      </c>
      <c r="BG199">
        <v>250</v>
      </c>
      <c r="BH199" s="15">
        <f t="shared" ca="1" si="3"/>
        <v>1364</v>
      </c>
      <c r="BI199" s="15"/>
      <c r="BJ199" s="15"/>
    </row>
    <row r="200" spans="1:62" hidden="1" x14ac:dyDescent="0.2">
      <c r="A200">
        <v>27215720</v>
      </c>
      <c r="B200" s="2" t="str">
        <f>HYPERLINK("http://www.windermere.com/index.cfm?fuseaction=Listing.ListingDetail&amp;ListingID=19128158","Active")</f>
        <v>Active</v>
      </c>
      <c r="D200" t="s">
        <v>55</v>
      </c>
      <c r="E200" t="s">
        <v>668</v>
      </c>
      <c r="F200" s="9">
        <v>409000</v>
      </c>
      <c r="G200" t="s">
        <v>172</v>
      </c>
      <c r="H200" s="1">
        <v>1000</v>
      </c>
      <c r="I200">
        <v>3060</v>
      </c>
      <c r="J200">
        <v>2</v>
      </c>
      <c r="K200">
        <v>1</v>
      </c>
      <c r="M200" s="2" t="str">
        <f>HYPERLINK("http://www.windermere.com/index.cfm?fuseaction=Listing.MapPropertyInteractive&amp;ListingID=19128158&amp;resize=true&amp;windowWidth=800&amp;windowHeight=600","Map")</f>
        <v>Map</v>
      </c>
      <c r="O200" s="2" t="str">
        <f>HYPERLINK("http://www.windermere.com/index.cfm?fuseaction=Listing.MultiImageViewer&amp;ListingID=19128158&amp;ln=27215720&amp;pub_mls=1","More")</f>
        <v>More</v>
      </c>
      <c r="AI200" t="s">
        <v>66</v>
      </c>
      <c r="AJ200">
        <v>98103</v>
      </c>
      <c r="AS200" t="s">
        <v>669</v>
      </c>
      <c r="AT200">
        <v>19128158</v>
      </c>
      <c r="AU200" s="10">
        <v>39495</v>
      </c>
      <c r="BB200" t="s">
        <v>902</v>
      </c>
      <c r="BC200" s="6">
        <v>39442</v>
      </c>
      <c r="BG200">
        <v>53</v>
      </c>
      <c r="BH200" s="15">
        <f t="shared" ca="1" si="3"/>
        <v>1167</v>
      </c>
      <c r="BI200" s="15"/>
      <c r="BJ200" s="15"/>
    </row>
    <row r="201" spans="1:62" hidden="1" x14ac:dyDescent="0.2">
      <c r="A201">
        <v>28025815</v>
      </c>
      <c r="B201" s="2" t="str">
        <f>HYPERLINK("http://www.windermere.com/index.cfm?fuseaction=Listing.ListingDetail&amp;ListingID=19365708","Active")</f>
        <v>Active</v>
      </c>
      <c r="D201" t="s">
        <v>218</v>
      </c>
      <c r="E201" t="s">
        <v>666</v>
      </c>
      <c r="F201" s="9">
        <v>409000</v>
      </c>
      <c r="G201" t="s">
        <v>130</v>
      </c>
      <c r="H201" s="1">
        <v>1093</v>
      </c>
      <c r="I201">
        <v>4794</v>
      </c>
      <c r="J201">
        <v>3</v>
      </c>
      <c r="K201">
        <v>1</v>
      </c>
      <c r="M201" s="2" t="str">
        <f>HYPERLINK("http://www.windermere.com/index.cfm?fuseaction=Listing.MapPropertyInteractive&amp;ListingID=19365708&amp;resize=true&amp;windowWidth=800&amp;windowHeight=600","Map")</f>
        <v>Map</v>
      </c>
      <c r="O201" s="2" t="str">
        <f>HYPERLINK("http://www.windermere.com/index.cfm?fuseaction=Listing.MultiImageViewer&amp;ListingID=19365708&amp;ln=28025815&amp;pub_mls=1","More")</f>
        <v>More</v>
      </c>
      <c r="AI201" t="s">
        <v>66</v>
      </c>
      <c r="AJ201">
        <v>98115</v>
      </c>
      <c r="AS201" t="s">
        <v>667</v>
      </c>
      <c r="AT201">
        <v>19365708</v>
      </c>
      <c r="AU201" s="10">
        <v>39495</v>
      </c>
      <c r="BB201" t="s">
        <v>902</v>
      </c>
      <c r="BC201" s="6">
        <v>39491</v>
      </c>
      <c r="BG201">
        <v>4</v>
      </c>
      <c r="BH201" s="15">
        <f t="shared" ca="1" si="3"/>
        <v>1118</v>
      </c>
      <c r="BI201" s="15"/>
      <c r="BJ201" s="15"/>
    </row>
    <row r="202" spans="1:62" hidden="1" x14ac:dyDescent="0.2">
      <c r="A202">
        <v>27179196</v>
      </c>
      <c r="B202" s="2" t="str">
        <f>HYPERLINK("http://www.windermere.com/index.cfm?fuseaction=Listing.ListingDetail&amp;ListingID=18761619","Active")</f>
        <v>Active</v>
      </c>
      <c r="D202" t="s">
        <v>63</v>
      </c>
      <c r="E202" t="s">
        <v>674</v>
      </c>
      <c r="F202" s="9">
        <v>409950</v>
      </c>
      <c r="G202" t="s">
        <v>147</v>
      </c>
      <c r="J202">
        <v>3</v>
      </c>
      <c r="K202">
        <v>3</v>
      </c>
      <c r="M202" s="2" t="str">
        <f>HYPERLINK("http://www.windermere.com/index.cfm?fuseaction=Listing.MapPropertyInteractive&amp;ListingID=18761619&amp;resize=true&amp;windowWidth=800&amp;windowHeight=600","Map")</f>
        <v>Map</v>
      </c>
      <c r="O202" s="2" t="str">
        <f>HYPERLINK("http://www.windermere.com/index.cfm?fuseaction=Listing.MultiImageViewer&amp;ListingID=18761619&amp;ln=27179196&amp;pub_mls=1","More")</f>
        <v>More</v>
      </c>
      <c r="P202" t="s">
        <v>44</v>
      </c>
      <c r="AI202" t="s">
        <v>66</v>
      </c>
      <c r="AJ202">
        <v>98107</v>
      </c>
      <c r="AS202" t="s">
        <v>675</v>
      </c>
      <c r="AT202">
        <v>18761619</v>
      </c>
      <c r="AU202" s="10">
        <v>39495</v>
      </c>
      <c r="BB202" t="s">
        <v>902</v>
      </c>
      <c r="BC202" s="6">
        <v>39359</v>
      </c>
      <c r="BG202">
        <v>136</v>
      </c>
      <c r="BH202" s="15">
        <f t="shared" ca="1" si="3"/>
        <v>1250</v>
      </c>
      <c r="BI202" s="15"/>
      <c r="BJ202" s="15"/>
    </row>
    <row r="203" spans="1:62" hidden="1" x14ac:dyDescent="0.2">
      <c r="A203">
        <v>27196500</v>
      </c>
      <c r="B203" s="2" t="str">
        <f>HYPERLINK("http://www.windermere.com/index.cfm?fuseaction=Listing.ListingDetail&amp;ListingID=18907358","Active")</f>
        <v>Active</v>
      </c>
      <c r="D203" t="s">
        <v>60</v>
      </c>
      <c r="E203" t="s">
        <v>670</v>
      </c>
      <c r="F203" s="9">
        <v>409950</v>
      </c>
      <c r="G203" t="s">
        <v>147</v>
      </c>
      <c r="H203" s="1">
        <v>1295</v>
      </c>
      <c r="J203">
        <v>2</v>
      </c>
      <c r="K203">
        <v>1.5</v>
      </c>
      <c r="M203" s="2" t="str">
        <f>HYPERLINK("http://www.windermere.com/index.cfm?fuseaction=Listing.MapPropertyInteractive&amp;ListingID=18907358&amp;resize=true&amp;windowWidth=800&amp;windowHeight=600","Map")</f>
        <v>Map</v>
      </c>
      <c r="O203" s="2" t="str">
        <f>HYPERLINK("http://www.windermere.com/index.cfm?fuseaction=Listing.MultiImageViewer&amp;ListingID=18907358&amp;ln=27196500&amp;pub_mls=1","More")</f>
        <v>More</v>
      </c>
      <c r="P203" t="s">
        <v>44</v>
      </c>
      <c r="AI203" t="s">
        <v>66</v>
      </c>
      <c r="AJ203">
        <v>98115</v>
      </c>
      <c r="AS203" t="s">
        <v>671</v>
      </c>
      <c r="AT203">
        <v>18907358</v>
      </c>
      <c r="AU203" s="10">
        <v>39495</v>
      </c>
      <c r="BB203" t="s">
        <v>902</v>
      </c>
      <c r="BC203" s="6">
        <v>39388</v>
      </c>
      <c r="BG203">
        <v>107</v>
      </c>
      <c r="BH203" s="15">
        <f t="shared" ca="1" si="3"/>
        <v>1221</v>
      </c>
      <c r="BI203" s="15"/>
      <c r="BJ203" s="15"/>
    </row>
    <row r="204" spans="1:62" hidden="1" x14ac:dyDescent="0.2">
      <c r="A204">
        <v>27210417</v>
      </c>
      <c r="B204" s="2" t="str">
        <f>HYPERLINK("http://www.windermere.com/index.cfm?fuseaction=Listing.ListingDetail&amp;ListingID=19065829","Active")</f>
        <v>Active</v>
      </c>
      <c r="D204" t="s">
        <v>100</v>
      </c>
      <c r="E204" t="s">
        <v>676</v>
      </c>
      <c r="F204" s="11">
        <v>399950</v>
      </c>
      <c r="G204" t="s">
        <v>191</v>
      </c>
      <c r="H204">
        <v>800</v>
      </c>
      <c r="I204">
        <v>3880</v>
      </c>
      <c r="J204">
        <v>2</v>
      </c>
      <c r="K204">
        <v>1</v>
      </c>
      <c r="M204" s="2" t="str">
        <f>HYPERLINK("http://www.windermere.com/index.cfm?fuseaction=Listing.MapPropertyInteractive&amp;ListingID=19065829&amp;resize=true&amp;windowWidth=800&amp;windowHeight=600","Map")</f>
        <v>Map</v>
      </c>
      <c r="O204" s="2" t="str">
        <f>HYPERLINK("http://www.windermere.com/index.cfm?fuseaction=Listing.MultiImageViewer&amp;ListingID=19065829&amp;ln=27210417&amp;pub_mls=1","More")</f>
        <v>More</v>
      </c>
      <c r="AI204" t="s">
        <v>66</v>
      </c>
      <c r="AJ204">
        <v>98103</v>
      </c>
      <c r="AS204" t="s">
        <v>677</v>
      </c>
      <c r="AT204">
        <v>19065829</v>
      </c>
      <c r="AU204" s="10">
        <v>39495</v>
      </c>
      <c r="BB204" t="s">
        <v>902</v>
      </c>
      <c r="BC204" s="6">
        <v>39423</v>
      </c>
      <c r="BD204">
        <v>3</v>
      </c>
      <c r="BE204" t="s">
        <v>1371</v>
      </c>
      <c r="BG204">
        <v>72</v>
      </c>
      <c r="BH204" s="15">
        <f t="shared" ca="1" si="3"/>
        <v>1186</v>
      </c>
      <c r="BI204" s="15"/>
      <c r="BJ204" s="15"/>
    </row>
    <row r="205" spans="1:62" hidden="1" x14ac:dyDescent="0.2">
      <c r="A205">
        <v>27210670</v>
      </c>
      <c r="B205" s="2" t="str">
        <f>HYPERLINK("http://www.windermere.com/index.cfm?fuseaction=Listing.ListingDetail&amp;ListingID=19066064","Active")</f>
        <v>Active</v>
      </c>
      <c r="D205" t="s">
        <v>63</v>
      </c>
      <c r="E205" t="s">
        <v>286</v>
      </c>
      <c r="F205" s="9">
        <v>409950</v>
      </c>
      <c r="G205" t="s">
        <v>239</v>
      </c>
      <c r="H205" s="1">
        <v>1450</v>
      </c>
      <c r="J205">
        <v>3</v>
      </c>
      <c r="K205">
        <v>2.5</v>
      </c>
      <c r="M205" s="2" t="str">
        <f>HYPERLINK("http://www.windermere.com/index.cfm?fuseaction=Listing.MapPropertyInteractive&amp;ListingID=19066064&amp;resize=true&amp;windowWidth=800&amp;windowHeight=600","Map")</f>
        <v>Map</v>
      </c>
      <c r="O205" s="2" t="str">
        <f>HYPERLINK("http://www.windermere.com/index.cfm?fuseaction=Listing.MultiImageViewer&amp;ListingID=19066064&amp;ln=27210670&amp;pub_mls=1","More")</f>
        <v>More</v>
      </c>
      <c r="P205" t="s">
        <v>44</v>
      </c>
      <c r="AI205" t="s">
        <v>66</v>
      </c>
      <c r="AJ205">
        <v>98117</v>
      </c>
      <c r="AS205" t="s">
        <v>287</v>
      </c>
      <c r="AT205">
        <v>19066064</v>
      </c>
      <c r="AU205" s="10">
        <v>39495</v>
      </c>
      <c r="BB205" t="s">
        <v>902</v>
      </c>
      <c r="BC205" s="6">
        <v>39423</v>
      </c>
      <c r="BG205">
        <v>72</v>
      </c>
      <c r="BH205" s="15">
        <f t="shared" ca="1" si="3"/>
        <v>1186</v>
      </c>
      <c r="BI205" s="15"/>
      <c r="BJ205" s="15"/>
    </row>
    <row r="206" spans="1:62" hidden="1" x14ac:dyDescent="0.2">
      <c r="A206">
        <v>27216348</v>
      </c>
      <c r="B206" s="2" t="str">
        <f>HYPERLINK("http://www.windermere.com/index.cfm?fuseaction=Listing.ListingDetail&amp;ListingID=19136885","Active")</f>
        <v>Active</v>
      </c>
      <c r="D206" t="s">
        <v>63</v>
      </c>
      <c r="E206" t="s">
        <v>672</v>
      </c>
      <c r="F206" s="11">
        <v>399950</v>
      </c>
      <c r="G206" t="s">
        <v>147</v>
      </c>
      <c r="J206">
        <v>3</v>
      </c>
      <c r="K206">
        <v>3</v>
      </c>
      <c r="M206" s="2" t="str">
        <f>HYPERLINK("http://www.windermere.com/index.cfm?fuseaction=Listing.MapPropertyInteractive&amp;ListingID=19136885&amp;resize=true&amp;windowWidth=800&amp;windowHeight=600","Map")</f>
        <v>Map</v>
      </c>
      <c r="O206" s="2" t="str">
        <f>HYPERLINK("http://www.windermere.com/index.cfm?fuseaction=Listing.MultiImageViewer&amp;ListingID=19136885&amp;ln=27216348&amp;pub_mls=1","More")</f>
        <v>More</v>
      </c>
      <c r="P206" t="s">
        <v>44</v>
      </c>
      <c r="AI206" t="s">
        <v>66</v>
      </c>
      <c r="AJ206">
        <v>98107</v>
      </c>
      <c r="AS206" t="s">
        <v>673</v>
      </c>
      <c r="AT206">
        <v>19136885</v>
      </c>
      <c r="AU206" s="10">
        <v>39495</v>
      </c>
      <c r="BB206" t="s">
        <v>902</v>
      </c>
      <c r="BC206" s="6">
        <v>39445</v>
      </c>
      <c r="BG206">
        <v>50</v>
      </c>
      <c r="BH206" s="15">
        <f t="shared" ca="1" si="3"/>
        <v>1164</v>
      </c>
      <c r="BI206" s="15"/>
      <c r="BJ206" s="15"/>
    </row>
    <row r="207" spans="1:62" hidden="1" x14ac:dyDescent="0.2">
      <c r="A207">
        <v>28005248</v>
      </c>
      <c r="B207" s="2" t="str">
        <f>HYPERLINK("http://www.windermere.com/index.cfm?fuseaction=Listing.ListingDetail&amp;ListingID=19182427","Active")</f>
        <v>Active</v>
      </c>
      <c r="D207" t="s">
        <v>63</v>
      </c>
      <c r="E207" t="s">
        <v>678</v>
      </c>
      <c r="F207" s="9">
        <v>409950</v>
      </c>
      <c r="G207" t="s">
        <v>239</v>
      </c>
      <c r="H207" s="1">
        <v>1490</v>
      </c>
      <c r="J207">
        <v>3</v>
      </c>
      <c r="K207">
        <v>2.5</v>
      </c>
      <c r="M207" s="2" t="str">
        <f>HYPERLINK("http://www.windermere.com/index.cfm?fuseaction=Listing.MapPropertyInteractive&amp;ListingID=19182427&amp;resize=true&amp;windowWidth=800&amp;windowHeight=600","Map")</f>
        <v>Map</v>
      </c>
      <c r="O207" s="2" t="str">
        <f>HYPERLINK("http://www.windermere.com/index.cfm?fuseaction=Listing.MultiImageViewer&amp;ListingID=19182427&amp;ln=28005248&amp;pub_mls=1","More")</f>
        <v>More</v>
      </c>
      <c r="P207" t="s">
        <v>44</v>
      </c>
      <c r="AI207" t="s">
        <v>66</v>
      </c>
      <c r="AJ207">
        <v>98107</v>
      </c>
      <c r="AS207" t="s">
        <v>679</v>
      </c>
      <c r="AT207">
        <v>19182427</v>
      </c>
      <c r="AU207" s="10">
        <v>39495</v>
      </c>
      <c r="BB207" t="s">
        <v>902</v>
      </c>
      <c r="BC207" s="6">
        <v>39455</v>
      </c>
      <c r="BG207">
        <v>40</v>
      </c>
      <c r="BH207" s="15">
        <f t="shared" ca="1" si="3"/>
        <v>1154</v>
      </c>
      <c r="BI207" s="15"/>
      <c r="BJ207" s="15"/>
    </row>
    <row r="208" spans="1:62" hidden="1" x14ac:dyDescent="0.2">
      <c r="A208">
        <v>28006354</v>
      </c>
      <c r="B208" s="2" t="str">
        <f>HYPERLINK("http://www.windermere.com/index.cfm?fuseaction=Listing.ListingDetail&amp;ListingID=19194143","Active")</f>
        <v>Active</v>
      </c>
      <c r="D208" t="s">
        <v>70</v>
      </c>
      <c r="E208" t="s">
        <v>682</v>
      </c>
      <c r="F208" s="9">
        <v>409950</v>
      </c>
      <c r="G208" t="s">
        <v>157</v>
      </c>
      <c r="H208" s="1">
        <v>1640</v>
      </c>
      <c r="I208">
        <v>8400</v>
      </c>
      <c r="J208">
        <v>3</v>
      </c>
      <c r="K208">
        <v>1.75</v>
      </c>
      <c r="M208" s="2" t="str">
        <f>HYPERLINK("http://www.windermere.com/index.cfm?fuseaction=Listing.MapPropertyInteractive&amp;ListingID=19194143&amp;resize=true&amp;windowWidth=800&amp;windowHeight=600","Map")</f>
        <v>Map</v>
      </c>
      <c r="O208" s="2" t="str">
        <f>HYPERLINK("http://www.windermere.com/index.cfm?fuseaction=Listing.MultiImageViewer&amp;ListingID=19194143&amp;ln=28006354&amp;pub_mls=1","More")</f>
        <v>More</v>
      </c>
      <c r="P208" t="s">
        <v>44</v>
      </c>
      <c r="AI208" t="s">
        <v>66</v>
      </c>
      <c r="AJ208">
        <v>98133</v>
      </c>
      <c r="AS208" t="s">
        <v>683</v>
      </c>
      <c r="AT208">
        <v>19194143</v>
      </c>
      <c r="AU208" s="10">
        <v>39495</v>
      </c>
      <c r="BB208" t="s">
        <v>902</v>
      </c>
      <c r="BC208" s="6">
        <v>39457</v>
      </c>
      <c r="BG208">
        <v>38</v>
      </c>
      <c r="BH208" s="15">
        <f t="shared" ca="1" si="3"/>
        <v>1152</v>
      </c>
      <c r="BI208" s="15"/>
      <c r="BJ208" s="15"/>
    </row>
    <row r="209" spans="1:63" hidden="1" x14ac:dyDescent="0.2">
      <c r="A209">
        <v>28027240</v>
      </c>
      <c r="B209" s="2" t="str">
        <f>HYPERLINK("http://www.windermere.com/index.cfm?fuseaction=Listing.ListingDetail&amp;ListingID=19371422","Active")</f>
        <v>Active</v>
      </c>
      <c r="D209" t="s">
        <v>100</v>
      </c>
      <c r="E209" t="s">
        <v>680</v>
      </c>
      <c r="F209" s="9">
        <v>409950</v>
      </c>
      <c r="G209" t="s">
        <v>147</v>
      </c>
      <c r="J209">
        <v>2</v>
      </c>
      <c r="K209">
        <v>1.5</v>
      </c>
      <c r="M209" s="2" t="str">
        <f>HYPERLINK("http://www.windermere.com/index.cfm?fuseaction=Listing.MapPropertyInteractive&amp;ListingID=19371422&amp;resize=true&amp;windowWidth=800&amp;windowHeight=600","Map")</f>
        <v>Map</v>
      </c>
      <c r="O209" s="2" t="str">
        <f>HYPERLINK("http://www.windermere.com/index.cfm?fuseaction=Listing.MultiImageViewer&amp;ListingID=19371422&amp;ln=28027240&amp;pub_mls=1","More")</f>
        <v>More</v>
      </c>
      <c r="AI209" t="s">
        <v>66</v>
      </c>
      <c r="AJ209">
        <v>98103</v>
      </c>
      <c r="AS209" t="s">
        <v>681</v>
      </c>
      <c r="AT209">
        <v>19371422</v>
      </c>
      <c r="AU209" s="10">
        <v>39495</v>
      </c>
      <c r="BB209" t="s">
        <v>902</v>
      </c>
      <c r="BC209" s="6">
        <v>39492</v>
      </c>
      <c r="BG209">
        <v>3</v>
      </c>
      <c r="BH209" s="15">
        <f t="shared" ca="1" si="3"/>
        <v>1117</v>
      </c>
      <c r="BI209" s="15"/>
      <c r="BJ209" s="15"/>
    </row>
    <row r="210" spans="1:63" hidden="1" x14ac:dyDescent="0.2">
      <c r="A210">
        <v>28008313</v>
      </c>
      <c r="B210" s="2" t="str">
        <f>HYPERLINK("http://www.windermere.com/index.cfm?fuseaction=Listing.ListingDetail&amp;ListingID=19220500","Active")</f>
        <v>Active</v>
      </c>
      <c r="D210" t="s">
        <v>194</v>
      </c>
      <c r="E210" t="s">
        <v>1050</v>
      </c>
      <c r="F210" s="11">
        <v>399950</v>
      </c>
      <c r="G210" t="s">
        <v>156</v>
      </c>
      <c r="J210">
        <v>3</v>
      </c>
      <c r="K210">
        <v>1</v>
      </c>
      <c r="M210" s="2" t="str">
        <f>HYPERLINK("http://www.windermere.com/index.cfm?fuseaction=Listing.MapPropertyInteractive&amp;ListingID=19220500&amp;resize=true&amp;windowWidth=800&amp;windowHeight=600","Map")</f>
        <v>Map</v>
      </c>
      <c r="O210" s="2" t="str">
        <f>HYPERLINK("http://www.windermere.com/index.cfm?fuseaction=viewGallery.Home&amp;customTourID=195130&amp;wvt=0","More")</f>
        <v>More</v>
      </c>
      <c r="AI210" t="s">
        <v>66</v>
      </c>
      <c r="AJ210">
        <v>98115</v>
      </c>
      <c r="AS210" t="s">
        <v>1051</v>
      </c>
      <c r="AT210">
        <v>19220500</v>
      </c>
      <c r="AU210" s="10">
        <v>39495</v>
      </c>
      <c r="BB210" t="s">
        <v>902</v>
      </c>
      <c r="BC210" s="6">
        <v>39461</v>
      </c>
      <c r="BD210">
        <v>2</v>
      </c>
      <c r="BE210" t="s">
        <v>1307</v>
      </c>
      <c r="BG210">
        <v>34</v>
      </c>
      <c r="BH210" s="15">
        <f t="shared" ca="1" si="3"/>
        <v>1148</v>
      </c>
      <c r="BI210" s="15"/>
      <c r="BJ210" s="15"/>
    </row>
    <row r="211" spans="1:63" hidden="1" x14ac:dyDescent="0.2">
      <c r="A211">
        <v>28024167</v>
      </c>
      <c r="B211" s="2" t="str">
        <f>HYPERLINK("http://www.windermere.com/index.cfm?fuseaction=Listing.ListingDetail&amp;ListingID=19344194","Active")</f>
        <v>Active</v>
      </c>
      <c r="D211" t="s">
        <v>99</v>
      </c>
      <c r="E211" t="s">
        <v>284</v>
      </c>
      <c r="F211" s="9">
        <v>414500</v>
      </c>
      <c r="G211" t="s">
        <v>157</v>
      </c>
      <c r="H211" s="1">
        <v>1830</v>
      </c>
      <c r="I211">
        <v>5423</v>
      </c>
      <c r="J211">
        <v>4</v>
      </c>
      <c r="K211">
        <v>2</v>
      </c>
      <c r="M211" s="2" t="str">
        <f>HYPERLINK("http://www.windermere.com/index.cfm?fuseaction=Listing.MapPropertyInteractive&amp;ListingID=19344194&amp;resize=true&amp;windowWidth=800&amp;windowHeight=600","Map")</f>
        <v>Map</v>
      </c>
      <c r="O211" s="2" t="str">
        <f>HYPERLINK("http://www.windermere.com/index.cfm?fuseaction=Listing.MultiImageViewer&amp;ListingID=19344194&amp;ln=28024167&amp;pub_mls=1","More")</f>
        <v>More</v>
      </c>
      <c r="P211" t="s">
        <v>44</v>
      </c>
      <c r="AI211" t="s">
        <v>66</v>
      </c>
      <c r="AJ211">
        <v>98117</v>
      </c>
      <c r="AS211" t="s">
        <v>285</v>
      </c>
      <c r="AT211">
        <v>19344194</v>
      </c>
      <c r="AU211" s="10">
        <v>39495</v>
      </c>
      <c r="BB211" t="s">
        <v>902</v>
      </c>
      <c r="BC211" s="6">
        <v>39486</v>
      </c>
      <c r="BG211">
        <v>9</v>
      </c>
      <c r="BH211" s="15">
        <f t="shared" ca="1" si="3"/>
        <v>1123</v>
      </c>
      <c r="BI211" s="15"/>
      <c r="BJ211" s="15"/>
    </row>
    <row r="212" spans="1:63" hidden="1" x14ac:dyDescent="0.2">
      <c r="A212">
        <v>27171459</v>
      </c>
      <c r="B212" s="2" t="str">
        <f>HYPERLINK("http://www.windermere.com/index.cfm?fuseaction=Listing.ListingDetail&amp;ListingID=18667036","Contingent")</f>
        <v>Contingent</v>
      </c>
      <c r="D212" t="s">
        <v>188</v>
      </c>
      <c r="E212" t="s">
        <v>1052</v>
      </c>
      <c r="F212" s="9">
        <v>419000</v>
      </c>
      <c r="G212" t="s">
        <v>162</v>
      </c>
      <c r="H212" s="1">
        <v>2060</v>
      </c>
      <c r="I212">
        <v>6588</v>
      </c>
      <c r="J212">
        <v>3</v>
      </c>
      <c r="K212">
        <v>1</v>
      </c>
      <c r="M212" s="2" t="str">
        <f>HYPERLINK("http://www.windermere.com/index.cfm?fuseaction=Listing.MapPropertyInteractive&amp;ListingID=18667036&amp;resize=true&amp;windowWidth=800&amp;windowHeight=600","Map")</f>
        <v>Map</v>
      </c>
      <c r="O212" s="2" t="str">
        <f>HYPERLINK("http://www.windermere.com/index.cfm?fuseaction=Listing.MultiImageViewer&amp;ListingID=18667036&amp;ln=27171459&amp;pub_mls=1","More")</f>
        <v>More</v>
      </c>
      <c r="P212" t="s">
        <v>44</v>
      </c>
      <c r="AI212" t="s">
        <v>66</v>
      </c>
      <c r="AJ212">
        <v>98125</v>
      </c>
      <c r="AS212" t="s">
        <v>1053</v>
      </c>
      <c r="AT212">
        <v>18667036</v>
      </c>
      <c r="AU212" s="10">
        <v>39495</v>
      </c>
      <c r="BB212" t="s">
        <v>902</v>
      </c>
      <c r="BC212" s="6">
        <v>39345</v>
      </c>
      <c r="BG212">
        <v>150</v>
      </c>
      <c r="BH212" s="15">
        <f t="shared" ca="1" si="3"/>
        <v>1264</v>
      </c>
      <c r="BI212" s="15"/>
      <c r="BJ212" s="15"/>
      <c r="BK212" t="str">
        <f>B212</f>
        <v>Contingent</v>
      </c>
    </row>
    <row r="213" spans="1:63" hidden="1" x14ac:dyDescent="0.2">
      <c r="A213">
        <v>27187381</v>
      </c>
      <c r="B213" s="13" t="str">
        <f>HYPERLINK("http://www.windermere.com/index.cfm?fuseaction=Listing.ListingDetail&amp;ListingID=18819961","Subject To Inspection")</f>
        <v>Subject To Inspection</v>
      </c>
      <c r="C213">
        <v>705</v>
      </c>
      <c r="D213" t="s">
        <v>70</v>
      </c>
      <c r="E213" t="s">
        <v>688</v>
      </c>
      <c r="F213" s="9">
        <v>419000</v>
      </c>
      <c r="G213" t="s">
        <v>132</v>
      </c>
      <c r="H213" s="1">
        <v>1230</v>
      </c>
      <c r="I213">
        <v>4800</v>
      </c>
      <c r="J213">
        <v>2</v>
      </c>
      <c r="K213">
        <v>2</v>
      </c>
      <c r="L213">
        <v>1</v>
      </c>
      <c r="M213" s="2" t="str">
        <f>HYPERLINK("http://www.windermere.com/index.cfm?fuseaction=Listing.MapPropertyInteractive&amp;ListingID=18819961&amp;resize=true&amp;windowWidth=800&amp;windowHeight=600","Map")</f>
        <v>Map</v>
      </c>
      <c r="N213" s="2" t="str">
        <f>HYPERLINK("http://locmedia.nwmls.com/DO_NOT_LINK/bigphoto/381/27187381.jpg?tsp=20071023113846","Photo")</f>
        <v>Photo</v>
      </c>
      <c r="O213" s="2" t="str">
        <f>HYPERLINK("http://www.windermere.com/index.cfm?fuseaction=Listing.MultiImageViewer&amp;ListingID=18819961&amp;ln=27187381&amp;pub_mls=1","More")</f>
        <v>More</v>
      </c>
      <c r="P213" t="s">
        <v>44</v>
      </c>
      <c r="Q213" t="s">
        <v>926</v>
      </c>
      <c r="R213" t="s">
        <v>57</v>
      </c>
      <c r="S213" t="s">
        <v>58</v>
      </c>
      <c r="T213" t="s">
        <v>50</v>
      </c>
      <c r="U213" t="s">
        <v>44</v>
      </c>
      <c r="V213" t="s">
        <v>927</v>
      </c>
      <c r="X213" t="s">
        <v>47</v>
      </c>
      <c r="Y213" t="s">
        <v>48</v>
      </c>
      <c r="Z213" t="s">
        <v>928</v>
      </c>
      <c r="AB213">
        <v>2006</v>
      </c>
      <c r="AC213">
        <v>2998</v>
      </c>
      <c r="AD213" t="s">
        <v>929</v>
      </c>
      <c r="AE213" t="s">
        <v>930</v>
      </c>
      <c r="AF213" t="s">
        <v>931</v>
      </c>
      <c r="AG213">
        <v>47.714475</v>
      </c>
      <c r="AH213">
        <v>-122.35021399999999</v>
      </c>
      <c r="AI213" t="s">
        <v>66</v>
      </c>
      <c r="AJ213">
        <v>98133</v>
      </c>
      <c r="AK213" t="s">
        <v>41</v>
      </c>
      <c r="AL213">
        <v>9</v>
      </c>
      <c r="AM213" t="s">
        <v>40</v>
      </c>
      <c r="AO213">
        <v>0.11</v>
      </c>
      <c r="AP213" t="s">
        <v>932</v>
      </c>
      <c r="AQ213">
        <v>504</v>
      </c>
      <c r="AR213" t="s">
        <v>71</v>
      </c>
      <c r="AS213" t="s">
        <v>689</v>
      </c>
      <c r="AT213">
        <v>18819961</v>
      </c>
      <c r="AU213" s="10">
        <v>39495</v>
      </c>
      <c r="BA213" t="s">
        <v>902</v>
      </c>
      <c r="BB213" t="s">
        <v>902</v>
      </c>
      <c r="BC213" s="6">
        <v>39371</v>
      </c>
      <c r="BD213">
        <v>2</v>
      </c>
      <c r="BE213" t="s">
        <v>1337</v>
      </c>
      <c r="BG213">
        <v>124</v>
      </c>
      <c r="BH213" s="15">
        <f t="shared" ca="1" si="3"/>
        <v>1238</v>
      </c>
      <c r="BI213" s="15"/>
      <c r="BJ213" s="15"/>
    </row>
    <row r="214" spans="1:63" hidden="1" x14ac:dyDescent="0.2">
      <c r="A214">
        <v>28004081</v>
      </c>
      <c r="B214" s="2" t="str">
        <f>HYPERLINK("http://www.windermere.com/index.cfm?fuseaction=Listing.ListingDetail&amp;ListingID=19174355","Active")</f>
        <v>Active</v>
      </c>
      <c r="D214" t="s">
        <v>199</v>
      </c>
      <c r="E214" t="s">
        <v>686</v>
      </c>
      <c r="F214" s="9">
        <v>419000</v>
      </c>
      <c r="G214" t="s">
        <v>168</v>
      </c>
      <c r="H214" s="1">
        <v>1840</v>
      </c>
      <c r="I214">
        <v>6343</v>
      </c>
      <c r="J214">
        <v>4</v>
      </c>
      <c r="K214">
        <v>2</v>
      </c>
      <c r="M214" s="2" t="str">
        <f>HYPERLINK("http://www.windermere.com/index.cfm?fuseaction=Listing.MapPropertyInteractive&amp;ListingID=19174355&amp;resize=true&amp;windowWidth=800&amp;windowHeight=600","Map")</f>
        <v>Map</v>
      </c>
      <c r="O214" s="2" t="str">
        <f>HYPERLINK("http://www.windermere.com/index.cfm?fuseaction=Listing.MultiImageViewer&amp;ListingID=19174355&amp;ln=28004081&amp;pub_mls=1","More")</f>
        <v>More</v>
      </c>
      <c r="AI214" t="s">
        <v>66</v>
      </c>
      <c r="AJ214">
        <v>98125</v>
      </c>
      <c r="AS214" t="s">
        <v>687</v>
      </c>
      <c r="AT214">
        <v>19174355</v>
      </c>
      <c r="AU214" s="10">
        <v>39495</v>
      </c>
      <c r="BB214" t="s">
        <v>902</v>
      </c>
      <c r="BC214" s="6">
        <v>39454</v>
      </c>
      <c r="BG214">
        <v>41</v>
      </c>
      <c r="BH214" s="15">
        <f t="shared" ca="1" si="3"/>
        <v>1155</v>
      </c>
      <c r="BI214" s="15"/>
      <c r="BJ214" s="15"/>
    </row>
    <row r="215" spans="1:63" hidden="1" x14ac:dyDescent="0.2">
      <c r="A215">
        <v>28014970</v>
      </c>
      <c r="B215" s="13" t="str">
        <f>HYPERLINK("http://www.windermere.com/index.cfm?fuseaction=Listing.ListingDetail&amp;ListingID=19280733","Subject To Inspection")</f>
        <v>Subject To Inspection</v>
      </c>
      <c r="D215" t="s">
        <v>218</v>
      </c>
      <c r="E215" t="s">
        <v>684</v>
      </c>
      <c r="F215" s="9">
        <v>419000</v>
      </c>
      <c r="G215" t="s">
        <v>394</v>
      </c>
      <c r="H215" s="1">
        <v>1810</v>
      </c>
      <c r="I215">
        <v>1454</v>
      </c>
      <c r="J215">
        <v>3</v>
      </c>
      <c r="K215">
        <v>3.5</v>
      </c>
      <c r="M215" s="2" t="str">
        <f>HYPERLINK("http://www.windermere.com/index.cfm?fuseaction=Listing.MapPropertyInteractive&amp;ListingID=19280733&amp;resize=true&amp;windowWidth=800&amp;windowHeight=600","Map")</f>
        <v>Map</v>
      </c>
      <c r="O215" s="2" t="str">
        <f>HYPERLINK("http://www.windermere.com/index.cfm?fuseaction=Listing.MultiImageViewer&amp;ListingID=19280733&amp;ln=28014970&amp;pub_mls=1","More")</f>
        <v>More</v>
      </c>
      <c r="P215" t="s">
        <v>44</v>
      </c>
      <c r="AI215" t="s">
        <v>66</v>
      </c>
      <c r="AJ215">
        <v>98115</v>
      </c>
      <c r="AS215" t="s">
        <v>685</v>
      </c>
      <c r="AT215">
        <v>19280733</v>
      </c>
      <c r="AU215" s="10">
        <v>39495</v>
      </c>
      <c r="BB215" t="s">
        <v>902</v>
      </c>
      <c r="BC215" s="6">
        <v>39472</v>
      </c>
      <c r="BD215">
        <v>-3</v>
      </c>
      <c r="BE215" t="s">
        <v>1372</v>
      </c>
      <c r="BG215">
        <v>23</v>
      </c>
      <c r="BH215" s="15">
        <f t="shared" ca="1" si="3"/>
        <v>1137</v>
      </c>
      <c r="BI215" s="15"/>
      <c r="BJ215" s="15"/>
    </row>
    <row r="216" spans="1:63" hidden="1" x14ac:dyDescent="0.2">
      <c r="A216">
        <v>28024362</v>
      </c>
      <c r="B216" s="2" t="str">
        <f>HYPERLINK("http://www.windermere.com/index.cfm?fuseaction=Listing.ListingDetail&amp;ListingID=19346825","Active")</f>
        <v>Active</v>
      </c>
      <c r="D216" t="s">
        <v>100</v>
      </c>
      <c r="E216" t="s">
        <v>690</v>
      </c>
      <c r="F216" s="9">
        <v>419500</v>
      </c>
      <c r="G216" t="s">
        <v>147</v>
      </c>
      <c r="H216" s="1">
        <v>1230</v>
      </c>
      <c r="J216">
        <v>2</v>
      </c>
      <c r="K216">
        <v>2.5</v>
      </c>
      <c r="M216" s="2" t="str">
        <f>HYPERLINK("http://www.windermere.com/index.cfm?fuseaction=Listing.MapPropertyInteractive&amp;ListingID=19346825&amp;resize=true&amp;windowWidth=800&amp;windowHeight=600","Map")</f>
        <v>Map</v>
      </c>
      <c r="O216" s="2" t="str">
        <f>HYPERLINK("http://www.windermere.com/index.cfm?fuseaction=Listing.MultiImageViewer&amp;ListingID=19346825&amp;ln=28024362&amp;pub_mls=1","More")</f>
        <v>More</v>
      </c>
      <c r="P216" t="s">
        <v>44</v>
      </c>
      <c r="AI216" t="s">
        <v>66</v>
      </c>
      <c r="AJ216">
        <v>98103</v>
      </c>
      <c r="AS216" t="s">
        <v>691</v>
      </c>
      <c r="AT216">
        <v>19346825</v>
      </c>
      <c r="AU216" s="10">
        <v>39495</v>
      </c>
      <c r="BB216" t="s">
        <v>902</v>
      </c>
      <c r="BC216" s="6">
        <v>39487</v>
      </c>
      <c r="BG216">
        <v>8</v>
      </c>
      <c r="BH216" s="15">
        <f t="shared" ca="1" si="3"/>
        <v>1122</v>
      </c>
      <c r="BI216" s="15"/>
      <c r="BJ216" s="15"/>
    </row>
    <row r="217" spans="1:63" hidden="1" x14ac:dyDescent="0.2">
      <c r="A217">
        <v>27172676</v>
      </c>
      <c r="B217" s="13" t="str">
        <f>HYPERLINK("http://www.windermere.com/index.cfm?fuseaction=Listing.ListingDetail&amp;ListingID=18672444","Subject To Inspection")</f>
        <v>Subject To Inspection</v>
      </c>
      <c r="D217" t="s">
        <v>100</v>
      </c>
      <c r="E217" t="s">
        <v>692</v>
      </c>
      <c r="F217" s="9">
        <v>419950</v>
      </c>
      <c r="G217" t="s">
        <v>147</v>
      </c>
      <c r="H217" s="1">
        <v>1140</v>
      </c>
      <c r="J217">
        <v>2</v>
      </c>
      <c r="K217">
        <v>1.5</v>
      </c>
      <c r="M217" s="2" t="str">
        <f>HYPERLINK("http://www.windermere.com/index.cfm?fuseaction=Listing.MapPropertyInteractive&amp;ListingID=18672444&amp;resize=true&amp;windowWidth=800&amp;windowHeight=600","Map")</f>
        <v>Map</v>
      </c>
      <c r="O217" s="2" t="str">
        <f>HYPERLINK("http://www.windermere.com/index.cfm?fuseaction=Listing.MultiImageViewer&amp;ListingID=18672444&amp;ln=27172676&amp;pub_mls=1","More")</f>
        <v>More</v>
      </c>
      <c r="P217" t="s">
        <v>44</v>
      </c>
      <c r="AI217" t="s">
        <v>66</v>
      </c>
      <c r="AJ217">
        <v>98103</v>
      </c>
      <c r="AS217" t="s">
        <v>693</v>
      </c>
      <c r="AT217">
        <v>18672444</v>
      </c>
      <c r="AU217" s="10">
        <v>39495</v>
      </c>
      <c r="BB217" t="s">
        <v>902</v>
      </c>
      <c r="BC217" s="6">
        <v>39345</v>
      </c>
      <c r="BG217">
        <v>150</v>
      </c>
      <c r="BH217" s="15">
        <f t="shared" ca="1" si="3"/>
        <v>1264</v>
      </c>
      <c r="BI217" s="15"/>
      <c r="BJ217" s="15"/>
    </row>
    <row r="218" spans="1:63" hidden="1" x14ac:dyDescent="0.2">
      <c r="A218">
        <v>27197076</v>
      </c>
      <c r="B218" s="2" t="str">
        <f>HYPERLINK("http://www.windermere.com/index.cfm?fuseaction=Listing.ListingDetail&amp;ListingID=18915737","Active")</f>
        <v>Active</v>
      </c>
      <c r="D218" t="s">
        <v>60</v>
      </c>
      <c r="E218" t="s">
        <v>694</v>
      </c>
      <c r="F218" s="9">
        <v>419950</v>
      </c>
      <c r="G218" t="s">
        <v>147</v>
      </c>
      <c r="H218" s="1">
        <v>1285</v>
      </c>
      <c r="J218">
        <v>2</v>
      </c>
      <c r="K218">
        <v>2.5</v>
      </c>
      <c r="M218" s="2" t="str">
        <f>HYPERLINK("http://www.windermere.com/index.cfm?fuseaction=Listing.MapPropertyInteractive&amp;ListingID=18915737&amp;resize=true&amp;windowWidth=800&amp;windowHeight=600","Map")</f>
        <v>Map</v>
      </c>
      <c r="O218" s="2" t="str">
        <f>HYPERLINK("http://www.windermere.com/index.cfm?fuseaction=Listing.MultiImageViewer&amp;ListingID=18915737&amp;ln=27197076&amp;pub_mls=1","More")</f>
        <v>More</v>
      </c>
      <c r="P218" t="s">
        <v>44</v>
      </c>
      <c r="AI218" t="s">
        <v>66</v>
      </c>
      <c r="AJ218">
        <v>98115</v>
      </c>
      <c r="AS218" t="s">
        <v>695</v>
      </c>
      <c r="AT218">
        <v>18915737</v>
      </c>
      <c r="AU218" s="10">
        <v>39495</v>
      </c>
      <c r="BB218" t="s">
        <v>902</v>
      </c>
      <c r="BC218" s="6">
        <v>39391</v>
      </c>
      <c r="BG218">
        <v>104</v>
      </c>
      <c r="BH218" s="15">
        <f t="shared" ca="1" si="3"/>
        <v>1218</v>
      </c>
      <c r="BI218" s="15"/>
      <c r="BJ218" s="15"/>
    </row>
    <row r="219" spans="1:63" hidden="1" x14ac:dyDescent="0.2">
      <c r="A219">
        <v>28019953</v>
      </c>
      <c r="B219" s="2" t="str">
        <f>HYPERLINK("http://www.windermere.com/index.cfm?fuseaction=Listing.ListingDetail&amp;ListingID=19312784","Active")</f>
        <v>Active</v>
      </c>
      <c r="C219">
        <v>710</v>
      </c>
      <c r="D219" t="s">
        <v>188</v>
      </c>
      <c r="E219" t="s">
        <v>209</v>
      </c>
      <c r="F219" s="9">
        <v>419950</v>
      </c>
      <c r="G219" t="s">
        <v>176</v>
      </c>
      <c r="H219" s="1">
        <v>2540</v>
      </c>
      <c r="I219">
        <v>4950</v>
      </c>
      <c r="J219">
        <v>3</v>
      </c>
      <c r="K219">
        <v>2.75</v>
      </c>
      <c r="L219">
        <v>2</v>
      </c>
      <c r="M219" s="2" t="str">
        <f>HYPERLINK("http://www.windermere.com/index.cfm?fuseaction=Listing.MapPropertyInteractive&amp;ListingID=19312784&amp;resize=true&amp;windowWidth=800&amp;windowHeight=600","Map")</f>
        <v>Map</v>
      </c>
      <c r="N219" s="2" t="str">
        <f>HYPERLINK("http://locmedia.nwmls.com/DO_NOT_LINK/bigphoto/953/28019953.jpg?tsp=20080201191711","Photo")</f>
        <v>Photo</v>
      </c>
      <c r="O219" s="2" t="str">
        <f>HYPERLINK("http://www.windermere.com/index.cfm?fuseaction=Listing.MultiImageViewer&amp;ListingID=19312784&amp;ln=28019953&amp;pub_mls=1","More")</f>
        <v>More</v>
      </c>
      <c r="Q219" t="s">
        <v>82</v>
      </c>
      <c r="R219" t="s">
        <v>72</v>
      </c>
      <c r="S219" t="s">
        <v>53</v>
      </c>
      <c r="T219" t="s">
        <v>77</v>
      </c>
      <c r="X219" t="s">
        <v>47</v>
      </c>
      <c r="Y219" t="s">
        <v>48</v>
      </c>
      <c r="Z219" t="s">
        <v>103</v>
      </c>
      <c r="AB219">
        <v>2007</v>
      </c>
      <c r="AC219">
        <v>3200</v>
      </c>
      <c r="AD219" t="s">
        <v>981</v>
      </c>
      <c r="AE219" t="s">
        <v>210</v>
      </c>
      <c r="AF219" t="s">
        <v>75</v>
      </c>
      <c r="AG219">
        <v>47.713189</v>
      </c>
      <c r="AH219">
        <v>-122.294954</v>
      </c>
      <c r="AI219" t="s">
        <v>66</v>
      </c>
      <c r="AJ219">
        <v>98125</v>
      </c>
      <c r="AK219" t="s">
        <v>41</v>
      </c>
      <c r="AL219" t="s">
        <v>40</v>
      </c>
      <c r="AM219" t="s">
        <v>40</v>
      </c>
      <c r="AO219">
        <v>0.114</v>
      </c>
      <c r="AP219" t="s">
        <v>982</v>
      </c>
      <c r="AQ219">
        <v>505</v>
      </c>
      <c r="AR219" t="s">
        <v>211</v>
      </c>
      <c r="AS219" t="s">
        <v>1054</v>
      </c>
      <c r="AT219">
        <v>19312784</v>
      </c>
      <c r="AU219" s="10">
        <v>39495</v>
      </c>
      <c r="BA219" t="s">
        <v>902</v>
      </c>
      <c r="BB219" t="s">
        <v>902</v>
      </c>
      <c r="BC219" s="6">
        <v>39479</v>
      </c>
      <c r="BG219">
        <v>16</v>
      </c>
      <c r="BH219" s="15">
        <f t="shared" ca="1" si="3"/>
        <v>1130</v>
      </c>
      <c r="BI219" s="15"/>
      <c r="BJ219" s="15"/>
    </row>
    <row r="220" spans="1:63" hidden="1" x14ac:dyDescent="0.2">
      <c r="A220">
        <v>28021761</v>
      </c>
      <c r="B220" s="2" t="str">
        <f>HYPERLINK("http://www.windermere.com/index.cfm?fuseaction=Listing.ListingDetail&amp;ListingID=19327024","Active")</f>
        <v>Active</v>
      </c>
      <c r="C220">
        <v>710</v>
      </c>
      <c r="D220" t="s">
        <v>199</v>
      </c>
      <c r="E220" t="s">
        <v>696</v>
      </c>
      <c r="F220" s="9">
        <v>419950</v>
      </c>
      <c r="G220" t="s">
        <v>156</v>
      </c>
      <c r="H220" s="1">
        <v>2200</v>
      </c>
      <c r="I220">
        <v>4684</v>
      </c>
      <c r="J220">
        <v>4</v>
      </c>
      <c r="K220">
        <v>1.75</v>
      </c>
      <c r="L220">
        <v>2</v>
      </c>
      <c r="M220" s="2" t="str">
        <f>HYPERLINK("http://www.windermere.com/index.cfm?fuseaction=Listing.MapPropertyInteractive&amp;ListingID=19327024&amp;resize=true&amp;windowWidth=800&amp;windowHeight=600","Map")</f>
        <v>Map</v>
      </c>
      <c r="N220" s="2" t="str">
        <f>HYPERLINK("http://locmedia.nwmls.com/DO_NOT_LINK/bigphoto/761/28021761.jpg?tsp=20080206124209","Photo")</f>
        <v>Photo</v>
      </c>
      <c r="O220" s="2" t="str">
        <f>HYPERLINK("http://www.windermere.com/index.cfm?fuseaction=Listing.MultiImageViewer&amp;ListingID=19327024&amp;ln=28021761&amp;pub_mls=1","More")</f>
        <v>More</v>
      </c>
      <c r="Q220" t="s">
        <v>56</v>
      </c>
      <c r="R220" t="s">
        <v>67</v>
      </c>
      <c r="S220" t="s">
        <v>212</v>
      </c>
      <c r="T220" t="s">
        <v>62</v>
      </c>
      <c r="U220" t="s">
        <v>44</v>
      </c>
      <c r="X220" t="s">
        <v>47</v>
      </c>
      <c r="Y220" t="s">
        <v>48</v>
      </c>
      <c r="Z220" t="s">
        <v>68</v>
      </c>
      <c r="AA220" t="s">
        <v>107</v>
      </c>
      <c r="AB220">
        <v>2007</v>
      </c>
      <c r="AC220">
        <v>2770</v>
      </c>
      <c r="AD220" t="s">
        <v>978</v>
      </c>
      <c r="AE220" t="s">
        <v>51</v>
      </c>
      <c r="AF220" t="s">
        <v>979</v>
      </c>
      <c r="AG220">
        <v>47.727043000000002</v>
      </c>
      <c r="AH220">
        <v>-122.304028</v>
      </c>
      <c r="AI220" t="s">
        <v>66</v>
      </c>
      <c r="AJ220">
        <v>98125</v>
      </c>
      <c r="AK220" t="s">
        <v>41</v>
      </c>
      <c r="AL220">
        <v>8</v>
      </c>
      <c r="AM220" t="s">
        <v>40</v>
      </c>
      <c r="AO220">
        <v>0.108</v>
      </c>
      <c r="AP220" t="s">
        <v>980</v>
      </c>
      <c r="AQ220">
        <v>505</v>
      </c>
      <c r="AR220" t="s">
        <v>105</v>
      </c>
      <c r="AS220" t="s">
        <v>697</v>
      </c>
      <c r="AT220">
        <v>19327024</v>
      </c>
      <c r="AU220" s="10">
        <v>39495</v>
      </c>
      <c r="BA220" t="s">
        <v>902</v>
      </c>
      <c r="BB220" t="s">
        <v>902</v>
      </c>
      <c r="BC220" s="6">
        <v>39483</v>
      </c>
      <c r="BG220">
        <v>12</v>
      </c>
      <c r="BH220" s="15">
        <f t="shared" ca="1" si="3"/>
        <v>1126</v>
      </c>
      <c r="BI220" s="15"/>
      <c r="BJ220" s="15"/>
    </row>
    <row r="221" spans="1:63" hidden="1" x14ac:dyDescent="0.2">
      <c r="A221">
        <v>28003703</v>
      </c>
      <c r="B221" s="2" t="str">
        <f>HYPERLINK("http://www.windermere.com/index.cfm?fuseaction=Listing.ListingDetail&amp;ListingID=19172134","Active")</f>
        <v>Active</v>
      </c>
      <c r="D221" t="s">
        <v>63</v>
      </c>
      <c r="E221" t="s">
        <v>698</v>
      </c>
      <c r="F221" s="9">
        <v>420000</v>
      </c>
      <c r="G221" t="s">
        <v>147</v>
      </c>
      <c r="J221">
        <v>2</v>
      </c>
      <c r="K221">
        <v>1.5</v>
      </c>
      <c r="M221" s="2" t="str">
        <f>HYPERLINK("http://www.windermere.com/index.cfm?fuseaction=Listing.MapPropertyInteractive&amp;ListingID=19172134&amp;resize=true&amp;windowWidth=800&amp;windowHeight=600","Map")</f>
        <v>Map</v>
      </c>
      <c r="O221" s="2" t="str">
        <f>HYPERLINK("http://www.windermere.com/index.cfm?fuseaction=Listing.MultiImageViewer&amp;ListingID=19172134&amp;ln=28003703&amp;pub_mls=1","More")</f>
        <v>More</v>
      </c>
      <c r="AI221" t="s">
        <v>66</v>
      </c>
      <c r="AJ221">
        <v>98107</v>
      </c>
      <c r="AS221" t="s">
        <v>699</v>
      </c>
      <c r="AT221">
        <v>19172134</v>
      </c>
      <c r="AU221" s="10">
        <v>39495</v>
      </c>
      <c r="BB221" t="s">
        <v>902</v>
      </c>
      <c r="BC221" s="6">
        <v>39453</v>
      </c>
      <c r="BG221">
        <v>42</v>
      </c>
      <c r="BH221" s="15">
        <f t="shared" ca="1" si="3"/>
        <v>1156</v>
      </c>
      <c r="BI221" s="15"/>
      <c r="BJ221" s="15"/>
    </row>
    <row r="222" spans="1:63" hidden="1" x14ac:dyDescent="0.2">
      <c r="A222">
        <v>28023230</v>
      </c>
      <c r="B222" s="2" t="str">
        <f>HYPERLINK("http://www.windermere.com/index.cfm?fuseaction=Listing.ListingDetail&amp;ListingID=19341714","Active")</f>
        <v>Active</v>
      </c>
      <c r="C222">
        <v>705</v>
      </c>
      <c r="D222" t="s">
        <v>63</v>
      </c>
      <c r="E222" t="s">
        <v>700</v>
      </c>
      <c r="F222" s="9">
        <v>420000</v>
      </c>
      <c r="G222" t="s">
        <v>162</v>
      </c>
      <c r="H222" s="1">
        <v>1700</v>
      </c>
      <c r="I222">
        <v>3135</v>
      </c>
      <c r="J222">
        <v>3</v>
      </c>
      <c r="K222">
        <v>1.5</v>
      </c>
      <c r="L222">
        <v>1</v>
      </c>
      <c r="M222" s="2" t="str">
        <f>HYPERLINK("http://www.windermere.com/index.cfm?fuseaction=Listing.MapPropertyInteractive&amp;ListingID=19341714&amp;resize=true&amp;windowWidth=800&amp;windowHeight=600","Map")</f>
        <v>Map</v>
      </c>
      <c r="N222" s="2" t="str">
        <f>HYPERLINK("http://locmedia.nwmls.com/DO_NOT_LINK/bigphoto/230/28023230.jpg?tsp=20080209142617","Photo")</f>
        <v>Photo</v>
      </c>
      <c r="O222" s="2" t="str">
        <f>HYPERLINK("http://www.windermere.com/index.cfm?fuseaction=Listing.MultiImageViewer&amp;ListingID=19341714&amp;ln=28023230&amp;pub_mls=1","More")</f>
        <v>More</v>
      </c>
      <c r="P222" t="s">
        <v>44</v>
      </c>
      <c r="Q222" t="s">
        <v>56</v>
      </c>
      <c r="R222" t="s">
        <v>67</v>
      </c>
      <c r="S222" t="s">
        <v>933</v>
      </c>
      <c r="T222" t="s">
        <v>54</v>
      </c>
      <c r="U222" t="s">
        <v>44</v>
      </c>
      <c r="X222" t="s">
        <v>47</v>
      </c>
      <c r="Y222" t="s">
        <v>48</v>
      </c>
      <c r="Z222" t="s">
        <v>87</v>
      </c>
      <c r="AA222" t="s">
        <v>33</v>
      </c>
      <c r="AB222">
        <v>2007</v>
      </c>
      <c r="AC222">
        <v>3104</v>
      </c>
      <c r="AD222" t="s">
        <v>934</v>
      </c>
      <c r="AF222" t="s">
        <v>111</v>
      </c>
      <c r="AG222">
        <v>47.669441999999997</v>
      </c>
      <c r="AH222">
        <v>-122.370991</v>
      </c>
      <c r="AI222" t="s">
        <v>66</v>
      </c>
      <c r="AJ222">
        <v>98107</v>
      </c>
      <c r="AK222" t="s">
        <v>41</v>
      </c>
      <c r="AL222" t="s">
        <v>40</v>
      </c>
      <c r="AM222" t="s">
        <v>40</v>
      </c>
      <c r="AO222">
        <v>7.1999999999999995E-2</v>
      </c>
      <c r="AP222" t="s">
        <v>935</v>
      </c>
      <c r="AQ222">
        <v>534</v>
      </c>
      <c r="AR222" t="s">
        <v>936</v>
      </c>
      <c r="AS222" t="s">
        <v>701</v>
      </c>
      <c r="AT222">
        <v>19341714</v>
      </c>
      <c r="AU222" s="10">
        <v>39495</v>
      </c>
      <c r="BA222" t="s">
        <v>902</v>
      </c>
      <c r="BB222" t="s">
        <v>902</v>
      </c>
      <c r="BC222" s="6">
        <v>39486</v>
      </c>
      <c r="BG222">
        <v>9</v>
      </c>
      <c r="BH222" s="15">
        <f t="shared" ca="1" si="3"/>
        <v>1123</v>
      </c>
      <c r="BI222" s="15"/>
      <c r="BJ222" s="15"/>
    </row>
    <row r="223" spans="1:63" hidden="1" x14ac:dyDescent="0.2">
      <c r="A223">
        <v>28028089</v>
      </c>
      <c r="B223" s="13" t="str">
        <f>HYPERLINK("http://www.windermere.com/index.cfm?fuseaction=Listing.ListingDetail&amp;ListingID=19377990","Subject To Inspection")</f>
        <v>Subject To Inspection</v>
      </c>
      <c r="D223" t="s">
        <v>63</v>
      </c>
      <c r="E223" t="s">
        <v>282</v>
      </c>
      <c r="F223" s="9">
        <v>424500</v>
      </c>
      <c r="G223" t="s">
        <v>239</v>
      </c>
      <c r="H223" s="1">
        <v>1500</v>
      </c>
      <c r="J223">
        <v>3</v>
      </c>
      <c r="K223">
        <v>3.25</v>
      </c>
      <c r="M223" s="2" t="str">
        <f>HYPERLINK("http://www.windermere.com/index.cfm?fuseaction=Listing.MapPropertyInteractive&amp;ListingID=19377990&amp;resize=true&amp;windowWidth=800&amp;windowHeight=600","Map")</f>
        <v>Map</v>
      </c>
      <c r="O223" s="2" t="str">
        <f>HYPERLINK("http://www.windermere.com/index.cfm?fuseaction=Listing.MultiImageViewer&amp;ListingID=19377990&amp;ln=28028089&amp;pub_mls=1","More")</f>
        <v>More</v>
      </c>
      <c r="P223" t="s">
        <v>44</v>
      </c>
      <c r="AI223" t="s">
        <v>66</v>
      </c>
      <c r="AJ223">
        <v>98117</v>
      </c>
      <c r="AS223" t="s">
        <v>283</v>
      </c>
      <c r="AT223">
        <v>19377990</v>
      </c>
      <c r="AU223" s="10">
        <v>39495</v>
      </c>
      <c r="BB223" t="s">
        <v>902</v>
      </c>
      <c r="BC223" s="6">
        <v>39493</v>
      </c>
      <c r="BD223">
        <v>-3</v>
      </c>
      <c r="BE223" t="s">
        <v>1338</v>
      </c>
      <c r="BG223" s="5">
        <v>2</v>
      </c>
      <c r="BH223" s="15">
        <f t="shared" ca="1" si="3"/>
        <v>1116</v>
      </c>
      <c r="BI223" s="15"/>
      <c r="BJ223" s="15"/>
    </row>
    <row r="224" spans="1:63" hidden="1" x14ac:dyDescent="0.2">
      <c r="A224">
        <v>28000429</v>
      </c>
      <c r="B224" s="2" t="str">
        <f>HYPERLINK("http://www.windermere.com/index.cfm?fuseaction=Listing.ListingDetail&amp;ListingID=19145144","Active")</f>
        <v>Active</v>
      </c>
      <c r="D224" t="s">
        <v>204</v>
      </c>
      <c r="E224" s="3" t="s">
        <v>1479</v>
      </c>
      <c r="F224" s="11">
        <v>399950</v>
      </c>
      <c r="G224" t="s">
        <v>147</v>
      </c>
      <c r="H224" s="1">
        <v>1822</v>
      </c>
      <c r="J224">
        <v>3</v>
      </c>
      <c r="K224">
        <v>3</v>
      </c>
      <c r="M224" s="2" t="str">
        <f>HYPERLINK("http://www.windermere.com/index.cfm?fuseaction=Listing.MapPropertyInteractive&amp;ListingID=19145144&amp;resize=true&amp;windowWidth=800&amp;windowHeight=600","Map")</f>
        <v>Map</v>
      </c>
      <c r="O224" s="2" t="str">
        <f>HYPERLINK("http://www.windermere.com/index.cfm?fuseaction=Listing.MultiImageViewer&amp;ListingID=19145144&amp;ln=28000429&amp;pub_mls=1","More")</f>
        <v>More</v>
      </c>
      <c r="AI224" t="s">
        <v>66</v>
      </c>
      <c r="AJ224">
        <v>98125</v>
      </c>
      <c r="AS224" t="s">
        <v>702</v>
      </c>
      <c r="AT224">
        <v>19145144</v>
      </c>
      <c r="AU224" s="10">
        <v>39495</v>
      </c>
      <c r="BB224" t="s">
        <v>902</v>
      </c>
      <c r="BC224" s="6">
        <v>39449</v>
      </c>
      <c r="BD224">
        <v>-3</v>
      </c>
      <c r="BE224" t="s">
        <v>1494</v>
      </c>
      <c r="BG224" s="5">
        <v>46</v>
      </c>
      <c r="BH224" s="15">
        <f t="shared" ca="1" si="3"/>
        <v>1160</v>
      </c>
      <c r="BI224" s="15"/>
      <c r="BJ224" s="15"/>
    </row>
    <row r="225" spans="1:62" hidden="1" x14ac:dyDescent="0.2">
      <c r="A225">
        <v>28008476</v>
      </c>
      <c r="B225" s="2" t="str">
        <f>HYPERLINK("http://www.windermere.com/index.cfm?fuseaction=Listing.ListingDetail&amp;ListingID=19221188","Active")</f>
        <v>Active</v>
      </c>
      <c r="D225" t="s">
        <v>60</v>
      </c>
      <c r="E225" t="s">
        <v>703</v>
      </c>
      <c r="F225" s="9">
        <v>424950</v>
      </c>
      <c r="G225" t="s">
        <v>239</v>
      </c>
      <c r="H225" s="12">
        <v>1800</v>
      </c>
      <c r="I225">
        <v>1120</v>
      </c>
      <c r="J225">
        <v>3</v>
      </c>
      <c r="K225">
        <v>3</v>
      </c>
      <c r="M225" s="2" t="str">
        <f>HYPERLINK("http://www.windermere.com/index.cfm?fuseaction=Listing.MapPropertyInteractive&amp;ListingID=19221188&amp;resize=true&amp;windowWidth=800&amp;windowHeight=600","Map")</f>
        <v>Map</v>
      </c>
      <c r="P225" t="s">
        <v>44</v>
      </c>
      <c r="AI225" t="s">
        <v>66</v>
      </c>
      <c r="AJ225">
        <v>98103</v>
      </c>
      <c r="AS225" t="s">
        <v>704</v>
      </c>
      <c r="AT225">
        <v>19221188</v>
      </c>
      <c r="AU225" s="10">
        <v>39495</v>
      </c>
      <c r="BB225" t="s">
        <v>902</v>
      </c>
      <c r="BC225" s="6">
        <v>39461</v>
      </c>
      <c r="BG225">
        <v>34</v>
      </c>
      <c r="BH225" s="15">
        <f t="shared" ca="1" si="3"/>
        <v>1148</v>
      </c>
      <c r="BI225" s="15"/>
      <c r="BJ225" s="15"/>
    </row>
    <row r="226" spans="1:62" hidden="1" x14ac:dyDescent="0.2">
      <c r="A226">
        <v>28019710</v>
      </c>
      <c r="B226" s="2" t="str">
        <f>HYPERLINK("http://www.windermere.com/index.cfm?fuseaction=Listing.ListingDetail&amp;ListingID=19311311","Active")</f>
        <v>Active</v>
      </c>
      <c r="D226" t="s">
        <v>194</v>
      </c>
      <c r="E226" t="s">
        <v>197</v>
      </c>
      <c r="F226" s="9">
        <v>424950</v>
      </c>
      <c r="G226" t="s">
        <v>124</v>
      </c>
      <c r="H226">
        <v>930</v>
      </c>
      <c r="I226">
        <v>8280</v>
      </c>
      <c r="J226">
        <v>2</v>
      </c>
      <c r="K226">
        <v>1</v>
      </c>
      <c r="M226" s="2" t="str">
        <f>HYPERLINK("http://www.windermere.com/index.cfm?fuseaction=Listing.MapPropertyInteractive&amp;ListingID=19311311&amp;resize=true&amp;windowWidth=800&amp;windowHeight=600","Map")</f>
        <v>Map</v>
      </c>
      <c r="O226" s="2" t="str">
        <f>HYPERLINK("http://www.windermere.com/index.cfm?fuseaction=Listing.MultiImageViewer&amp;ListingID=19311311&amp;ln=28019710&amp;pub_mls=1","More")</f>
        <v>More</v>
      </c>
      <c r="AI226" t="s">
        <v>66</v>
      </c>
      <c r="AJ226">
        <v>98125</v>
      </c>
      <c r="AS226" t="s">
        <v>1055</v>
      </c>
      <c r="AT226">
        <v>19311311</v>
      </c>
      <c r="AU226" s="10">
        <v>39495</v>
      </c>
      <c r="BB226" t="s">
        <v>902</v>
      </c>
      <c r="BC226" s="6">
        <v>39479</v>
      </c>
      <c r="BG226">
        <v>16</v>
      </c>
      <c r="BH226" s="15">
        <f t="shared" ca="1" si="3"/>
        <v>1130</v>
      </c>
      <c r="BI226" s="15"/>
      <c r="BJ226" s="15"/>
    </row>
    <row r="227" spans="1:62" hidden="1" x14ac:dyDescent="0.2">
      <c r="A227">
        <v>28012553</v>
      </c>
      <c r="B227" s="2" t="str">
        <f>HYPERLINK("http://www.windermere.com/index.cfm?fuseaction=Listing.ListingDetail&amp;ListingID=19255159","Active")</f>
        <v>Active</v>
      </c>
      <c r="D227" t="s">
        <v>88</v>
      </c>
      <c r="E227" t="s">
        <v>707</v>
      </c>
      <c r="F227" s="9">
        <v>425000</v>
      </c>
      <c r="G227" t="s">
        <v>708</v>
      </c>
      <c r="H227" s="1">
        <v>1920</v>
      </c>
      <c r="J227">
        <v>2</v>
      </c>
      <c r="K227">
        <v>1</v>
      </c>
      <c r="M227" s="2" t="str">
        <f>HYPERLINK("http://www.windermere.com/index.cfm?fuseaction=Listing.MapPropertyInteractive&amp;ListingID=19255159&amp;resize=true&amp;windowWidth=800&amp;windowHeight=600","Map")</f>
        <v>Map</v>
      </c>
      <c r="O227" s="2" t="str">
        <f>HYPERLINK("http://www.windermere.com/index.cfm?fuseaction=viewGallery.Home&amp;customTourID=204986&amp;wvt=0","More")</f>
        <v>More</v>
      </c>
      <c r="AI227" t="s">
        <v>66</v>
      </c>
      <c r="AJ227">
        <v>98103</v>
      </c>
      <c r="AS227" t="s">
        <v>709</v>
      </c>
      <c r="AT227">
        <v>19255159</v>
      </c>
      <c r="AU227" s="10">
        <v>39495</v>
      </c>
      <c r="BB227" t="s">
        <v>902</v>
      </c>
      <c r="BC227" s="6">
        <v>39467</v>
      </c>
      <c r="BG227">
        <v>28</v>
      </c>
      <c r="BH227" s="15">
        <f t="shared" ca="1" si="3"/>
        <v>1142</v>
      </c>
      <c r="BI227" s="15"/>
      <c r="BJ227" s="15"/>
    </row>
    <row r="228" spans="1:62" hidden="1" x14ac:dyDescent="0.2">
      <c r="A228">
        <v>28013811</v>
      </c>
      <c r="B228" s="2" t="str">
        <f>HYPERLINK("http://www.windermere.com/index.cfm?fuseaction=Listing.ListingDetail&amp;ListingID=19267253","Active")</f>
        <v>Active</v>
      </c>
      <c r="D228" t="s">
        <v>99</v>
      </c>
      <c r="E228" t="s">
        <v>145</v>
      </c>
      <c r="F228" s="11">
        <v>400000</v>
      </c>
      <c r="G228" t="s">
        <v>146</v>
      </c>
      <c r="H228" s="1">
        <v>1380</v>
      </c>
      <c r="I228">
        <v>5400</v>
      </c>
      <c r="J228">
        <v>2</v>
      </c>
      <c r="K228">
        <v>2.25</v>
      </c>
      <c r="M228" s="2" t="str">
        <f>HYPERLINK("http://www.windermere.com/index.cfm?fuseaction=Listing.MapPropertyInteractive&amp;ListingID=19267253&amp;resize=true&amp;windowWidth=800&amp;windowHeight=600","Map")</f>
        <v>Map</v>
      </c>
      <c r="O228" s="2" t="str">
        <f>HYPERLINK("http://www.windermere.com/index.cfm?fuseaction=Listing.MultiImageViewer&amp;ListingID=19267253&amp;ln=28013811&amp;pub_mls=1","More")</f>
        <v>More</v>
      </c>
      <c r="AI228" t="s">
        <v>66</v>
      </c>
      <c r="AJ228">
        <v>98117</v>
      </c>
      <c r="AS228" t="s">
        <v>303</v>
      </c>
      <c r="AT228">
        <v>19267253</v>
      </c>
      <c r="AU228" s="10">
        <v>39495</v>
      </c>
      <c r="BB228" t="s">
        <v>902</v>
      </c>
      <c r="BC228" s="6">
        <v>39470</v>
      </c>
      <c r="BG228">
        <v>25</v>
      </c>
      <c r="BH228" s="15">
        <f t="shared" ca="1" si="3"/>
        <v>1139</v>
      </c>
      <c r="BI228" s="15"/>
      <c r="BJ228" s="15"/>
    </row>
    <row r="229" spans="1:62" hidden="1" x14ac:dyDescent="0.2">
      <c r="A229">
        <v>28014246</v>
      </c>
      <c r="B229" s="2" t="str">
        <f>HYPERLINK("http://www.windermere.com/index.cfm?fuseaction=Listing.ListingDetail&amp;ListingID=19275831","Active")</f>
        <v>Active</v>
      </c>
      <c r="D229" t="s">
        <v>213</v>
      </c>
      <c r="E229" t="s">
        <v>1056</v>
      </c>
      <c r="F229" s="9">
        <v>425000</v>
      </c>
      <c r="G229" t="s">
        <v>1057</v>
      </c>
      <c r="H229" s="1">
        <v>2180</v>
      </c>
      <c r="I229">
        <v>4120</v>
      </c>
      <c r="J229">
        <v>4</v>
      </c>
      <c r="K229">
        <v>1.75</v>
      </c>
      <c r="M229" s="2" t="str">
        <f>HYPERLINK("http://www.windermere.com/index.cfm?fuseaction=Listing.MapPropertyInteractive&amp;ListingID=19275831&amp;resize=true&amp;windowWidth=800&amp;windowHeight=600","Map")</f>
        <v>Map</v>
      </c>
      <c r="O229" s="2" t="str">
        <f>HYPERLINK("http://www.windermere.com/index.cfm?fuseaction=viewGallery.Home&amp;customTourID=205538&amp;wvt=0","More")</f>
        <v>More</v>
      </c>
      <c r="AI229" t="s">
        <v>66</v>
      </c>
      <c r="AJ229">
        <v>98125</v>
      </c>
      <c r="AS229" t="s">
        <v>1058</v>
      </c>
      <c r="AT229">
        <v>19275831</v>
      </c>
      <c r="AU229" s="10">
        <v>39495</v>
      </c>
      <c r="BB229" t="s">
        <v>902</v>
      </c>
      <c r="BC229" s="6">
        <v>39471</v>
      </c>
      <c r="BG229">
        <v>24</v>
      </c>
      <c r="BH229" s="15">
        <f t="shared" ca="1" si="3"/>
        <v>1138</v>
      </c>
      <c r="BI229" s="15"/>
      <c r="BJ229" s="15"/>
    </row>
    <row r="230" spans="1:62" hidden="1" x14ac:dyDescent="0.2">
      <c r="A230">
        <v>28019939</v>
      </c>
      <c r="B230" s="2" t="str">
        <f>HYPERLINK("http://www.windermere.com/index.cfm?fuseaction=Listing.ListingDetail&amp;ListingID=19315502","Active")</f>
        <v>Active</v>
      </c>
      <c r="C230">
        <v>710</v>
      </c>
      <c r="D230" t="s">
        <v>908</v>
      </c>
      <c r="E230" t="s">
        <v>710</v>
      </c>
      <c r="F230" s="9">
        <v>425000</v>
      </c>
      <c r="G230" t="s">
        <v>409</v>
      </c>
      <c r="H230" s="1">
        <v>1640</v>
      </c>
      <c r="I230">
        <v>6600</v>
      </c>
      <c r="J230">
        <v>3</v>
      </c>
      <c r="K230">
        <v>1.75</v>
      </c>
      <c r="L230">
        <v>1</v>
      </c>
      <c r="M230" s="2" t="str">
        <f>HYPERLINK("http://www.windermere.com/index.cfm?fuseaction=Listing.MapPropertyInteractive&amp;ListingID=19315502&amp;resize=true&amp;windowWidth=800&amp;windowHeight=600","Map")</f>
        <v>Map</v>
      </c>
      <c r="N230" s="2" t="str">
        <f>HYPERLINK("http://locmedia.nwmls.com/DO_NOT_LINK/bigphoto/939/28019939.jpg?tsp=20080202225008","Photo")</f>
        <v>Photo</v>
      </c>
      <c r="O230" s="2" t="str">
        <f>HYPERLINK("http://www.windermere.com/index.cfm?fuseaction=Listing.MultiImageViewer&amp;ListingID=19315502&amp;ln=28019939&amp;pub_mls=1","More")</f>
        <v>More</v>
      </c>
      <c r="Q230" t="s">
        <v>198</v>
      </c>
      <c r="R230" t="s">
        <v>67</v>
      </c>
      <c r="S230" t="s">
        <v>983</v>
      </c>
      <c r="T230" t="s">
        <v>54</v>
      </c>
      <c r="U230" t="s">
        <v>44</v>
      </c>
      <c r="X230" t="s">
        <v>47</v>
      </c>
      <c r="Y230" t="s">
        <v>48</v>
      </c>
      <c r="Z230" t="s">
        <v>85</v>
      </c>
      <c r="AB230">
        <v>2007</v>
      </c>
      <c r="AC230">
        <v>2761</v>
      </c>
      <c r="AD230" t="s">
        <v>984</v>
      </c>
      <c r="AF230" t="s">
        <v>985</v>
      </c>
      <c r="AG230">
        <v>47.713388000000002</v>
      </c>
      <c r="AH230">
        <v>-122.32479499999999</v>
      </c>
      <c r="AI230" t="s">
        <v>66</v>
      </c>
      <c r="AJ230">
        <v>98125</v>
      </c>
      <c r="AK230" t="s">
        <v>41</v>
      </c>
      <c r="AL230">
        <v>3</v>
      </c>
      <c r="AM230" t="s">
        <v>40</v>
      </c>
      <c r="AO230">
        <v>0.152</v>
      </c>
      <c r="AP230" t="s">
        <v>986</v>
      </c>
      <c r="AQ230">
        <v>505</v>
      </c>
      <c r="AR230" t="s">
        <v>987</v>
      </c>
      <c r="AS230" t="s">
        <v>711</v>
      </c>
      <c r="AT230">
        <v>19315502</v>
      </c>
      <c r="AU230" s="10">
        <v>39495</v>
      </c>
      <c r="BA230" t="s">
        <v>902</v>
      </c>
      <c r="BB230" t="s">
        <v>902</v>
      </c>
      <c r="BC230" s="6">
        <v>39480</v>
      </c>
      <c r="BG230">
        <v>15</v>
      </c>
      <c r="BH230" s="15">
        <f t="shared" ca="1" si="3"/>
        <v>1129</v>
      </c>
      <c r="BI230" s="15"/>
      <c r="BJ230" s="15"/>
    </row>
    <row r="231" spans="1:62" hidden="1" x14ac:dyDescent="0.2">
      <c r="A231">
        <v>28022244</v>
      </c>
      <c r="B231" s="13" t="str">
        <f>HYPERLINK("http://www.windermere.com/index.cfm?fuseaction=Listing.ListingDetail&amp;ListingID=19331172","Subject To Inspection")</f>
        <v>Subject To Inspection</v>
      </c>
      <c r="C231">
        <v>705</v>
      </c>
      <c r="D231" t="s">
        <v>99</v>
      </c>
      <c r="E231" t="s">
        <v>301</v>
      </c>
      <c r="F231" s="9">
        <v>425000</v>
      </c>
      <c r="G231" t="s">
        <v>233</v>
      </c>
      <c r="H231" s="1">
        <v>1650</v>
      </c>
      <c r="I231">
        <v>6788</v>
      </c>
      <c r="J231">
        <v>3</v>
      </c>
      <c r="K231">
        <v>1.5</v>
      </c>
      <c r="L231">
        <v>2</v>
      </c>
      <c r="M231" s="2" t="str">
        <f>HYPERLINK("http://www.windermere.com/index.cfm?fuseaction=Listing.MapPropertyInteractive&amp;ListingID=19331172&amp;resize=true&amp;windowWidth=800&amp;windowHeight=600","Map")</f>
        <v>Map</v>
      </c>
      <c r="N231" s="2" t="str">
        <f>HYPERLINK("http://locmedia.nwmls.com/DO_NOT_LINK/bigphoto/244/28022244.jpg?tsp=20080206135406","Photo")</f>
        <v>Photo</v>
      </c>
      <c r="O231" s="2" t="str">
        <f>HYPERLINK("http://www.windermere.com/index.cfm?fuseaction=Listing.MultiImageViewer&amp;ListingID=19331172&amp;ln=28022244&amp;pub_mls=1","More")</f>
        <v>More</v>
      </c>
      <c r="Q231" t="s">
        <v>56</v>
      </c>
      <c r="R231" t="s">
        <v>72</v>
      </c>
      <c r="S231" t="s">
        <v>76</v>
      </c>
      <c r="T231" t="s">
        <v>77</v>
      </c>
      <c r="U231" t="s">
        <v>44</v>
      </c>
      <c r="V231">
        <v>28</v>
      </c>
      <c r="X231" t="s">
        <v>47</v>
      </c>
      <c r="Y231" t="s">
        <v>48</v>
      </c>
      <c r="Z231" t="s">
        <v>937</v>
      </c>
      <c r="AA231" t="s">
        <v>96</v>
      </c>
      <c r="AB231">
        <v>2007</v>
      </c>
      <c r="AC231">
        <v>3021</v>
      </c>
      <c r="AD231" t="s">
        <v>938</v>
      </c>
      <c r="AE231" t="s">
        <v>51</v>
      </c>
      <c r="AF231" t="s">
        <v>939</v>
      </c>
      <c r="AG231">
        <v>47.695498000000001</v>
      </c>
      <c r="AH231">
        <v>-122.367361</v>
      </c>
      <c r="AI231" t="s">
        <v>66</v>
      </c>
      <c r="AJ231">
        <v>98117</v>
      </c>
      <c r="AK231" t="s">
        <v>41</v>
      </c>
      <c r="AL231">
        <v>4</v>
      </c>
      <c r="AM231" t="s">
        <v>40</v>
      </c>
      <c r="AO231">
        <v>0.156</v>
      </c>
      <c r="AP231" t="s">
        <v>940</v>
      </c>
      <c r="AQ231">
        <v>504</v>
      </c>
      <c r="AR231" t="s">
        <v>91</v>
      </c>
      <c r="AS231" t="s">
        <v>302</v>
      </c>
      <c r="AT231">
        <v>19331172</v>
      </c>
      <c r="AU231" s="10">
        <v>39495</v>
      </c>
      <c r="BA231" t="s">
        <v>902</v>
      </c>
      <c r="BB231" t="s">
        <v>902</v>
      </c>
      <c r="BC231" s="6">
        <v>39484</v>
      </c>
      <c r="BD231">
        <v>2</v>
      </c>
      <c r="BE231" t="s">
        <v>1339</v>
      </c>
      <c r="BG231">
        <v>11</v>
      </c>
      <c r="BH231" s="15">
        <f t="shared" ca="1" si="3"/>
        <v>1125</v>
      </c>
      <c r="BI231" s="15"/>
      <c r="BJ231" s="15"/>
    </row>
    <row r="232" spans="1:62" hidden="1" x14ac:dyDescent="0.2">
      <c r="A232">
        <v>28028065</v>
      </c>
      <c r="B232" s="13" t="str">
        <f>HYPERLINK("http://www.windermere.com/index.cfm?fuseaction=Listing.ListingDetail&amp;ListingID=19378564","Subject To Inspection")</f>
        <v>Subject To Inspection</v>
      </c>
      <c r="D232" t="s">
        <v>194</v>
      </c>
      <c r="E232" t="s">
        <v>705</v>
      </c>
      <c r="F232" s="9">
        <v>425000</v>
      </c>
      <c r="G232" t="s">
        <v>168</v>
      </c>
      <c r="H232" s="1">
        <v>1250</v>
      </c>
      <c r="I232">
        <v>8293</v>
      </c>
      <c r="J232">
        <v>2</v>
      </c>
      <c r="K232">
        <v>1</v>
      </c>
      <c r="M232" s="2" t="str">
        <f>HYPERLINK("http://www.windermere.com/index.cfm?fuseaction=Listing.MapPropertyInteractive&amp;ListingID=19378564&amp;resize=true&amp;windowWidth=800&amp;windowHeight=600","Map")</f>
        <v>Map</v>
      </c>
      <c r="O232" s="2" t="str">
        <f>HYPERLINK("http://www.windermere.com/index.cfm?fuseaction=viewGallery.Home&amp;customTourID=207795&amp;wvt=0","More")</f>
        <v>More</v>
      </c>
      <c r="AI232" t="s">
        <v>66</v>
      </c>
      <c r="AJ232">
        <v>98115</v>
      </c>
      <c r="AS232" t="s">
        <v>706</v>
      </c>
      <c r="AT232">
        <v>19378564</v>
      </c>
      <c r="AU232" s="10">
        <v>39495</v>
      </c>
      <c r="BB232" t="s">
        <v>902</v>
      </c>
      <c r="BC232" s="6">
        <v>39493</v>
      </c>
      <c r="BD232">
        <v>3</v>
      </c>
      <c r="BE232" t="s">
        <v>1308</v>
      </c>
      <c r="BG232">
        <v>2</v>
      </c>
      <c r="BH232" s="15">
        <f t="shared" ca="1" si="3"/>
        <v>1116</v>
      </c>
      <c r="BI232" s="15"/>
      <c r="BJ232" s="15"/>
    </row>
    <row r="233" spans="1:62" hidden="1" x14ac:dyDescent="0.2">
      <c r="A233">
        <v>27211711</v>
      </c>
      <c r="B233" s="2" t="str">
        <f>HYPERLINK("http://www.windermere.com/index.cfm?fuseaction=Listing.ListingDetail&amp;ListingID=19082312","Active")</f>
        <v>Active</v>
      </c>
      <c r="D233" t="s">
        <v>109</v>
      </c>
      <c r="E233" t="s">
        <v>712</v>
      </c>
      <c r="F233" s="9">
        <v>425950</v>
      </c>
      <c r="G233" t="s">
        <v>142</v>
      </c>
      <c r="H233" s="1">
        <v>1370</v>
      </c>
      <c r="I233">
        <v>5031</v>
      </c>
      <c r="J233">
        <v>3</v>
      </c>
      <c r="K233">
        <v>1</v>
      </c>
      <c r="M233" s="2" t="str">
        <f>HYPERLINK("http://www.windermere.com/index.cfm?fuseaction=Listing.MapPropertyInteractive&amp;ListingID=19082312&amp;resize=true&amp;windowWidth=800&amp;windowHeight=600","Map")</f>
        <v>Map</v>
      </c>
      <c r="O233" s="2" t="str">
        <f>HYPERLINK("http://www.windermere.com/index.cfm?fuseaction=Listing.MultiImageViewer&amp;ListingID=19082312&amp;ln=27211711&amp;pub_mls=1","More")</f>
        <v>More</v>
      </c>
      <c r="P233" t="s">
        <v>44</v>
      </c>
      <c r="AI233" t="s">
        <v>66</v>
      </c>
      <c r="AJ233">
        <v>98015</v>
      </c>
      <c r="AS233" t="s">
        <v>713</v>
      </c>
      <c r="AT233">
        <v>19082312</v>
      </c>
      <c r="AU233" s="10">
        <v>39495</v>
      </c>
      <c r="BB233" t="s">
        <v>902</v>
      </c>
      <c r="BC233" s="6">
        <v>39427</v>
      </c>
      <c r="BG233">
        <v>68</v>
      </c>
      <c r="BH233" s="15">
        <f t="shared" ca="1" si="3"/>
        <v>1182</v>
      </c>
      <c r="BI233" s="15"/>
      <c r="BJ233" s="15"/>
    </row>
    <row r="234" spans="1:62" hidden="1" x14ac:dyDescent="0.2">
      <c r="A234">
        <v>27213586</v>
      </c>
      <c r="B234" s="2" t="str">
        <f>HYPERLINK("http://www.windermere.com/index.cfm?fuseaction=Listing.ListingDetail&amp;ListingID=19102324","Active")</f>
        <v>Active</v>
      </c>
      <c r="D234" t="s">
        <v>202</v>
      </c>
      <c r="E234" t="s">
        <v>714</v>
      </c>
      <c r="F234" s="9">
        <v>426950</v>
      </c>
      <c r="G234" t="s">
        <v>124</v>
      </c>
      <c r="H234" s="1">
        <v>1610</v>
      </c>
      <c r="I234">
        <v>7500</v>
      </c>
      <c r="J234">
        <v>3</v>
      </c>
      <c r="K234">
        <v>1</v>
      </c>
      <c r="M234" s="2" t="str">
        <f>HYPERLINK("http://www.windermere.com/index.cfm?fuseaction=Listing.MapPropertyInteractive&amp;ListingID=19102324&amp;resize=true&amp;windowWidth=800&amp;windowHeight=600","Map")</f>
        <v>Map</v>
      </c>
      <c r="O234" s="2" t="str">
        <f>HYPERLINK("http://www.windermere.com/index.cfm?fuseaction=Listing.MultiImageViewer&amp;ListingID=19102324&amp;ln=27213586&amp;pub_mls=1","More")</f>
        <v>More</v>
      </c>
      <c r="AI234" t="s">
        <v>66</v>
      </c>
      <c r="AJ234">
        <v>98125</v>
      </c>
      <c r="AS234" t="s">
        <v>715</v>
      </c>
      <c r="AT234">
        <v>19102324</v>
      </c>
      <c r="AU234" s="10">
        <v>39495</v>
      </c>
      <c r="BB234" t="s">
        <v>902</v>
      </c>
      <c r="BC234" s="6">
        <v>39432</v>
      </c>
      <c r="BG234">
        <v>63</v>
      </c>
      <c r="BH234" s="15">
        <f t="shared" ca="1" si="3"/>
        <v>1177</v>
      </c>
      <c r="BI234" s="15"/>
      <c r="BJ234" s="15"/>
    </row>
    <row r="235" spans="1:62" hidden="1" x14ac:dyDescent="0.2">
      <c r="A235">
        <v>28020999</v>
      </c>
      <c r="B235" s="2" t="str">
        <f>HYPERLINK("http://www.windermere.com/index.cfm?fuseaction=Listing.ListingDetail&amp;ListingID=19321801","Active")</f>
        <v>Active</v>
      </c>
      <c r="C235">
        <v>705</v>
      </c>
      <c r="D235" t="s">
        <v>66</v>
      </c>
      <c r="E235" t="s">
        <v>299</v>
      </c>
      <c r="F235" s="9">
        <v>428000</v>
      </c>
      <c r="G235" t="s">
        <v>191</v>
      </c>
      <c r="H235" s="1">
        <v>1960</v>
      </c>
      <c r="I235">
        <v>4800</v>
      </c>
      <c r="J235">
        <v>3</v>
      </c>
      <c r="K235">
        <v>2.5</v>
      </c>
      <c r="L235">
        <v>1</v>
      </c>
      <c r="M235" s="2" t="str">
        <f>HYPERLINK("http://www.windermere.com/index.cfm?fuseaction=Listing.MapPropertyInteractive&amp;ListingID=19321801&amp;resize=true&amp;windowWidth=800&amp;windowHeight=600","Map")</f>
        <v>Map</v>
      </c>
      <c r="N235" s="2" t="str">
        <f>HYPERLINK("http://locmedia.nwmls.com/DO_NOT_LINK/bigphoto/999/28020999.jpg?tsp=20080204204440","Photo")</f>
        <v>Photo</v>
      </c>
      <c r="O235" s="2" t="str">
        <f>HYPERLINK("http://www.windermere.com/index.cfm?fuseaction=Listing.MultiImageViewer&amp;ListingID=19321801&amp;ln=28020999&amp;pub_mls=1","More")</f>
        <v>More</v>
      </c>
      <c r="Q235" t="s">
        <v>56</v>
      </c>
      <c r="R235" t="s">
        <v>94</v>
      </c>
      <c r="S235" t="s">
        <v>58</v>
      </c>
      <c r="T235" t="s">
        <v>62</v>
      </c>
      <c r="U235" t="s">
        <v>44</v>
      </c>
      <c r="X235" t="s">
        <v>47</v>
      </c>
      <c r="Y235" t="s">
        <v>48</v>
      </c>
      <c r="Z235" t="s">
        <v>108</v>
      </c>
      <c r="AA235" t="s">
        <v>33</v>
      </c>
      <c r="AB235">
        <v>2007</v>
      </c>
      <c r="AC235">
        <v>3865</v>
      </c>
      <c r="AD235" t="s">
        <v>941</v>
      </c>
      <c r="AE235" t="s">
        <v>110</v>
      </c>
      <c r="AF235" t="s">
        <v>75</v>
      </c>
      <c r="AG235">
        <v>47.686495999999998</v>
      </c>
      <c r="AH235">
        <v>-122.378922</v>
      </c>
      <c r="AI235" t="s">
        <v>66</v>
      </c>
      <c r="AJ235">
        <v>98117</v>
      </c>
      <c r="AK235" t="s">
        <v>41</v>
      </c>
      <c r="AL235">
        <v>4</v>
      </c>
      <c r="AM235" t="s">
        <v>40</v>
      </c>
      <c r="AO235">
        <v>0.11</v>
      </c>
      <c r="AP235" t="s">
        <v>942</v>
      </c>
      <c r="AQ235">
        <v>534</v>
      </c>
      <c r="AR235" t="s">
        <v>64</v>
      </c>
      <c r="AS235" t="s">
        <v>300</v>
      </c>
      <c r="AT235">
        <v>19321801</v>
      </c>
      <c r="AU235" s="10">
        <v>39495</v>
      </c>
      <c r="BA235" t="s">
        <v>902</v>
      </c>
      <c r="BB235" t="s">
        <v>902</v>
      </c>
      <c r="BC235" s="6">
        <v>39482</v>
      </c>
      <c r="BG235">
        <v>13</v>
      </c>
      <c r="BH235" s="15">
        <f t="shared" ca="1" si="3"/>
        <v>1127</v>
      </c>
      <c r="BI235" s="15"/>
      <c r="BJ235" s="15"/>
    </row>
    <row r="236" spans="1:62" hidden="1" x14ac:dyDescent="0.2">
      <c r="A236">
        <v>28023571</v>
      </c>
      <c r="B236" s="2" t="str">
        <f>HYPERLINK("http://www.windermere.com/index.cfm?fuseaction=Listing.ListingDetail&amp;ListingID=19340919","Active")</f>
        <v>Active</v>
      </c>
      <c r="D236" t="s">
        <v>63</v>
      </c>
      <c r="E236" t="s">
        <v>717</v>
      </c>
      <c r="F236" s="9">
        <v>429000</v>
      </c>
      <c r="G236" t="s">
        <v>664</v>
      </c>
      <c r="H236" s="1">
        <v>1525</v>
      </c>
      <c r="I236">
        <v>1473</v>
      </c>
      <c r="J236">
        <v>3</v>
      </c>
      <c r="K236">
        <v>2.25</v>
      </c>
      <c r="M236" s="2" t="str">
        <f>HYPERLINK("http://www.windermere.com/index.cfm?fuseaction=Listing.MapPropertyInteractive&amp;ListingID=19340919&amp;resize=true&amp;windowWidth=800&amp;windowHeight=600","Map")</f>
        <v>Map</v>
      </c>
      <c r="O236" s="2" t="str">
        <f>HYPERLINK("http://www.windermere.com/index.cfm?fuseaction=Listing.MultiImageViewer&amp;ListingID=19340919&amp;ln=28023571&amp;pub_mls=1","More")</f>
        <v>More</v>
      </c>
      <c r="AI236" t="s">
        <v>66</v>
      </c>
      <c r="AJ236">
        <v>98107</v>
      </c>
      <c r="AS236" t="s">
        <v>718</v>
      </c>
      <c r="AT236">
        <v>19340919</v>
      </c>
      <c r="AU236" s="10">
        <v>39495</v>
      </c>
      <c r="BB236" t="s">
        <v>902</v>
      </c>
      <c r="BC236" s="6">
        <v>39486</v>
      </c>
      <c r="BG236">
        <v>9</v>
      </c>
      <c r="BH236" s="15">
        <f t="shared" ca="1" si="3"/>
        <v>1123</v>
      </c>
      <c r="BI236" s="15"/>
      <c r="BJ236" s="15"/>
    </row>
    <row r="237" spans="1:62" hidden="1" x14ac:dyDescent="0.2">
      <c r="A237">
        <v>28025980</v>
      </c>
      <c r="B237" s="2" t="str">
        <f>HYPERLINK("http://www.windermere.com/index.cfm?fuseaction=Listing.ListingDetail&amp;ListingID=19357984","Active")</f>
        <v>Active</v>
      </c>
      <c r="D237" t="s">
        <v>194</v>
      </c>
      <c r="E237" s="3" t="s">
        <v>1296</v>
      </c>
      <c r="F237" s="9">
        <v>429000</v>
      </c>
      <c r="G237" t="s">
        <v>161</v>
      </c>
      <c r="H237" s="1">
        <v>2030</v>
      </c>
      <c r="I237">
        <v>5209</v>
      </c>
      <c r="J237">
        <v>3</v>
      </c>
      <c r="K237">
        <v>1.75</v>
      </c>
      <c r="M237" s="2" t="str">
        <f>HYPERLINK("http://www.windermere.com/index.cfm?fuseaction=Listing.MapPropertyInteractive&amp;ListingID=19357984&amp;resize=true&amp;windowWidth=800&amp;windowHeight=600","Map")</f>
        <v>Map</v>
      </c>
      <c r="O237" s="2" t="str">
        <f>HYPERLINK("http://www.windermere.com/index.cfm?fuseaction=viewGallery.Home&amp;customTourID=205644&amp;wvt=0","More")</f>
        <v>More</v>
      </c>
      <c r="AI237" t="s">
        <v>66</v>
      </c>
      <c r="AJ237">
        <v>98115</v>
      </c>
      <c r="AS237" t="s">
        <v>716</v>
      </c>
      <c r="AT237">
        <v>19357984</v>
      </c>
      <c r="AU237" s="10">
        <v>39495</v>
      </c>
      <c r="BB237" t="s">
        <v>902</v>
      </c>
      <c r="BC237" s="6">
        <v>39490</v>
      </c>
      <c r="BG237">
        <v>5</v>
      </c>
      <c r="BH237" s="15">
        <f t="shared" ca="1" si="3"/>
        <v>1119</v>
      </c>
      <c r="BI237" s="15"/>
      <c r="BJ237" s="15"/>
    </row>
    <row r="238" spans="1:62" hidden="1" x14ac:dyDescent="0.2">
      <c r="A238">
        <v>27186914</v>
      </c>
      <c r="B238" s="2" t="str">
        <f>HYPERLINK("http://www.windermere.com/index.cfm?fuseaction=Listing.ListingDetail&amp;ListingID=18817368","Active")</f>
        <v>Active</v>
      </c>
      <c r="D238" t="s">
        <v>63</v>
      </c>
      <c r="E238" t="s">
        <v>141</v>
      </c>
      <c r="F238" s="9">
        <v>429500</v>
      </c>
      <c r="G238" t="s">
        <v>142</v>
      </c>
      <c r="H238" s="1">
        <v>1350</v>
      </c>
      <c r="I238">
        <v>5100</v>
      </c>
      <c r="J238">
        <v>2</v>
      </c>
      <c r="K238">
        <v>1</v>
      </c>
      <c r="M238" s="2" t="str">
        <f>HYPERLINK("http://www.windermere.com/index.cfm?fuseaction=Listing.MapPropertyInteractive&amp;ListingID=18817368&amp;resize=true&amp;windowWidth=800&amp;windowHeight=600","Map")</f>
        <v>Map</v>
      </c>
      <c r="O238" s="2" t="str">
        <f>HYPERLINK("http://www.windermere.com/index.cfm?fuseaction=Listing.MultiImageViewer&amp;ListingID=18817368&amp;ln=27186914&amp;pub_mls=1","More")</f>
        <v>More</v>
      </c>
      <c r="P238" t="s">
        <v>44</v>
      </c>
      <c r="AI238" t="s">
        <v>66</v>
      </c>
      <c r="AJ238">
        <v>98117</v>
      </c>
      <c r="AS238" t="s">
        <v>281</v>
      </c>
      <c r="AT238">
        <v>18817368</v>
      </c>
      <c r="AU238" s="10">
        <v>39495</v>
      </c>
      <c r="BB238" t="s">
        <v>902</v>
      </c>
      <c r="BC238" s="6">
        <v>39371</v>
      </c>
      <c r="BG238">
        <v>124</v>
      </c>
      <c r="BH238" s="15">
        <f t="shared" ca="1" si="3"/>
        <v>1238</v>
      </c>
      <c r="BI238" s="15"/>
      <c r="BJ238" s="15"/>
    </row>
    <row r="239" spans="1:62" hidden="1" x14ac:dyDescent="0.2">
      <c r="A239">
        <v>28024113</v>
      </c>
      <c r="B239" s="2" t="str">
        <f>HYPERLINK("http://www.windermere.com/index.cfm?fuseaction=Listing.ListingDetail&amp;ListingID=19347523","Active")</f>
        <v>Active</v>
      </c>
      <c r="D239" t="s">
        <v>192</v>
      </c>
      <c r="E239" t="s">
        <v>719</v>
      </c>
      <c r="F239" s="9">
        <v>429850</v>
      </c>
      <c r="G239" t="s">
        <v>176</v>
      </c>
      <c r="H239" s="1">
        <v>1600</v>
      </c>
      <c r="I239">
        <v>6380</v>
      </c>
      <c r="J239">
        <v>3</v>
      </c>
      <c r="K239">
        <v>1</v>
      </c>
      <c r="M239" s="2" t="str">
        <f>HYPERLINK("http://www.windermere.com/index.cfm?fuseaction=Listing.MapPropertyInteractive&amp;ListingID=19347523&amp;resize=true&amp;windowWidth=800&amp;windowHeight=600","Map")</f>
        <v>Map</v>
      </c>
      <c r="O239" s="2" t="str">
        <f>HYPERLINK("http://www.windermere.com/index.cfm?fuseaction=viewGallery.Home&amp;customTourID=207160&amp;wvt=0","More")</f>
        <v>More</v>
      </c>
      <c r="P239" t="s">
        <v>44</v>
      </c>
      <c r="AI239" t="s">
        <v>66</v>
      </c>
      <c r="AJ239">
        <v>98125</v>
      </c>
      <c r="AS239" t="s">
        <v>720</v>
      </c>
      <c r="AT239">
        <v>19347523</v>
      </c>
      <c r="AU239" s="10">
        <v>39495</v>
      </c>
      <c r="BB239" t="s">
        <v>902</v>
      </c>
      <c r="BC239" s="6">
        <v>39487</v>
      </c>
      <c r="BG239">
        <v>8</v>
      </c>
      <c r="BH239" s="15">
        <f t="shared" ca="1" si="3"/>
        <v>1122</v>
      </c>
      <c r="BI239" s="15"/>
      <c r="BJ239" s="15"/>
    </row>
    <row r="240" spans="1:62" hidden="1" x14ac:dyDescent="0.2">
      <c r="A240">
        <v>28004294</v>
      </c>
      <c r="B240" s="2" t="str">
        <f>HYPERLINK("http://www.windermere.com/index.cfm?fuseaction=Listing.ListingDetail&amp;ListingID=19198666","Active")</f>
        <v>Active</v>
      </c>
      <c r="D240" t="s">
        <v>70</v>
      </c>
      <c r="E240" t="s">
        <v>722</v>
      </c>
      <c r="F240" s="9">
        <v>429950</v>
      </c>
      <c r="G240" t="s">
        <v>146</v>
      </c>
      <c r="H240" s="1">
        <v>1530</v>
      </c>
      <c r="I240">
        <v>6750</v>
      </c>
      <c r="J240">
        <v>3</v>
      </c>
      <c r="K240">
        <v>1</v>
      </c>
      <c r="M240" s="2" t="str">
        <f>HYPERLINK("http://www.windermere.com/index.cfm?fuseaction=Listing.MapPropertyInteractive&amp;ListingID=19198666&amp;resize=true&amp;windowWidth=800&amp;windowHeight=600","Map")</f>
        <v>Map</v>
      </c>
      <c r="O240" s="2" t="str">
        <f>HYPERLINK("http://www.windermere.com/index.cfm?fuseaction=viewGallery.Home&amp;customTourID=204172&amp;wvt=0","More")</f>
        <v>More</v>
      </c>
      <c r="AI240" t="s">
        <v>66</v>
      </c>
      <c r="AJ240">
        <v>98177</v>
      </c>
      <c r="AS240" t="s">
        <v>723</v>
      </c>
      <c r="AT240">
        <v>19198666</v>
      </c>
      <c r="AU240" s="10">
        <v>39495</v>
      </c>
      <c r="BB240" t="s">
        <v>902</v>
      </c>
      <c r="BC240" s="6">
        <v>39458</v>
      </c>
      <c r="BG240">
        <v>37</v>
      </c>
      <c r="BH240" s="15">
        <f t="shared" ca="1" si="3"/>
        <v>1151</v>
      </c>
      <c r="BI240" s="15"/>
      <c r="BJ240" s="15"/>
    </row>
    <row r="241" spans="1:63" hidden="1" x14ac:dyDescent="0.2">
      <c r="A241">
        <v>26060501</v>
      </c>
      <c r="B241" s="2" t="str">
        <f>HYPERLINK("http://www.windermere.com/index.cfm?fuseaction=Listing.ListingDetail&amp;ListingID=7018919","Subject To Inspection")</f>
        <v>Subject To Inspection</v>
      </c>
      <c r="D241" t="s">
        <v>188</v>
      </c>
      <c r="E241" t="s">
        <v>1059</v>
      </c>
      <c r="F241" s="9">
        <v>430000</v>
      </c>
      <c r="G241" t="s">
        <v>154</v>
      </c>
      <c r="I241">
        <v>13680</v>
      </c>
      <c r="J241">
        <v>3</v>
      </c>
      <c r="K241">
        <v>1</v>
      </c>
      <c r="M241" s="2" t="str">
        <f>HYPERLINK("http://www.windermere.com/index.cfm?fuseaction=Listing.MapPropertyInteractive&amp;ListingID=7018919&amp;resize=true&amp;windowWidth=800&amp;windowHeight=600","Map")</f>
        <v>Map</v>
      </c>
      <c r="AI241" t="s">
        <v>66</v>
      </c>
      <c r="AJ241">
        <v>98125</v>
      </c>
      <c r="AS241" t="s">
        <v>1060</v>
      </c>
      <c r="AT241">
        <v>7018919</v>
      </c>
      <c r="AU241" s="10">
        <v>39495</v>
      </c>
      <c r="BB241" t="s">
        <v>902</v>
      </c>
      <c r="BC241" s="6">
        <v>38832</v>
      </c>
      <c r="BD241">
        <v>-1</v>
      </c>
      <c r="BG241">
        <v>663</v>
      </c>
      <c r="BH241" s="15">
        <f t="shared" ca="1" si="3"/>
        <v>1777</v>
      </c>
      <c r="BI241" s="15"/>
      <c r="BJ241" s="15"/>
      <c r="BK241" t="str">
        <f>B241</f>
        <v>Subject To Inspection</v>
      </c>
    </row>
    <row r="242" spans="1:63" hidden="1" x14ac:dyDescent="0.2">
      <c r="A242">
        <v>27193790</v>
      </c>
      <c r="B242" s="2" t="str">
        <f>HYPERLINK("http://www.windermere.com/index.cfm?fuseaction=Listing.ListingDetail&amp;ListingID=18882240","Active")</f>
        <v>Active</v>
      </c>
      <c r="D242" t="s">
        <v>192</v>
      </c>
      <c r="E242" t="s">
        <v>193</v>
      </c>
      <c r="F242" s="11">
        <v>424950</v>
      </c>
      <c r="G242" t="s">
        <v>135</v>
      </c>
      <c r="H242" s="1">
        <v>1600</v>
      </c>
      <c r="I242">
        <v>5080</v>
      </c>
      <c r="J242">
        <v>3</v>
      </c>
      <c r="K242">
        <v>2</v>
      </c>
      <c r="M242" s="2" t="str">
        <f>HYPERLINK("http://www.windermere.com/index.cfm?fuseaction=Listing.MapPropertyInteractive&amp;ListingID=18882240&amp;resize=true&amp;windowWidth=800&amp;windowHeight=600","Map")</f>
        <v>Map</v>
      </c>
      <c r="O242" s="2" t="str">
        <f>HYPERLINK("http://www.windermere.com/index.cfm?fuseaction=Listing.MultiImageViewer&amp;ListingID=18882240&amp;ln=27193790&amp;pub_mls=1","More")</f>
        <v>More</v>
      </c>
      <c r="P242" t="s">
        <v>44</v>
      </c>
      <c r="AI242" t="s">
        <v>66</v>
      </c>
      <c r="AJ242">
        <v>98115</v>
      </c>
      <c r="AS242" t="s">
        <v>724</v>
      </c>
      <c r="AT242">
        <v>18882240</v>
      </c>
      <c r="AU242" s="10">
        <v>39495</v>
      </c>
      <c r="BB242" t="s">
        <v>902</v>
      </c>
      <c r="BC242" s="6">
        <v>39384</v>
      </c>
      <c r="BG242">
        <v>111</v>
      </c>
      <c r="BH242" s="15">
        <f t="shared" ca="1" si="3"/>
        <v>1225</v>
      </c>
      <c r="BI242" s="15"/>
      <c r="BJ242" s="15"/>
    </row>
    <row r="243" spans="1:63" hidden="1" x14ac:dyDescent="0.2">
      <c r="A243">
        <v>28012862</v>
      </c>
      <c r="B243" s="2" t="str">
        <f>HYPERLINK("http://www.windermere.com/index.cfm?fuseaction=Listing.ListingDetail&amp;ListingID=19280257","Active")</f>
        <v>Active</v>
      </c>
      <c r="D243" t="s">
        <v>60</v>
      </c>
      <c r="E243" t="s">
        <v>727</v>
      </c>
      <c r="F243" s="9">
        <v>430000</v>
      </c>
      <c r="G243" t="s">
        <v>154</v>
      </c>
      <c r="H243">
        <v>860</v>
      </c>
      <c r="I243">
        <v>2526</v>
      </c>
      <c r="J243">
        <v>2</v>
      </c>
      <c r="K243">
        <v>1</v>
      </c>
      <c r="M243" s="2" t="str">
        <f>HYPERLINK("http://www.windermere.com/index.cfm?fuseaction=Listing.MapPropertyInteractive&amp;ListingID=19280257&amp;resize=true&amp;windowWidth=800&amp;windowHeight=600","Map")</f>
        <v>Map</v>
      </c>
      <c r="O243" s="2" t="str">
        <f>HYPERLINK("http://www.windermere.com/index.cfm?fuseaction=Listing.MultiImageViewer&amp;ListingID=19280257&amp;ln=28012862&amp;pub_mls=1","More")</f>
        <v>More</v>
      </c>
      <c r="AI243" t="s">
        <v>66</v>
      </c>
      <c r="AJ243">
        <v>98115</v>
      </c>
      <c r="AS243" t="s">
        <v>728</v>
      </c>
      <c r="AT243">
        <v>19280257</v>
      </c>
      <c r="AU243" s="10">
        <v>39495</v>
      </c>
      <c r="BB243" t="s">
        <v>902</v>
      </c>
      <c r="BC243" s="6">
        <v>39472</v>
      </c>
      <c r="BG243">
        <v>23</v>
      </c>
      <c r="BH243" s="15">
        <f t="shared" ca="1" si="3"/>
        <v>1137</v>
      </c>
      <c r="BI243" s="15"/>
      <c r="BJ243" s="15"/>
    </row>
    <row r="244" spans="1:63" hidden="1" x14ac:dyDescent="0.2">
      <c r="A244">
        <v>28018831</v>
      </c>
      <c r="B244" s="2" t="str">
        <f>HYPERLINK("http://www.windermere.com/index.cfm?fuseaction=Listing.ListingDetail&amp;ListingID=19320055","Active")</f>
        <v>Active</v>
      </c>
      <c r="C244">
        <v>705</v>
      </c>
      <c r="D244" t="s">
        <v>55</v>
      </c>
      <c r="E244" t="s">
        <v>725</v>
      </c>
      <c r="F244" s="9">
        <v>430000</v>
      </c>
      <c r="G244" t="s">
        <v>135</v>
      </c>
      <c r="H244" s="1">
        <v>2300</v>
      </c>
      <c r="I244">
        <v>5060</v>
      </c>
      <c r="J244">
        <v>5</v>
      </c>
      <c r="K244">
        <v>1.75</v>
      </c>
      <c r="L244">
        <v>1</v>
      </c>
      <c r="M244" s="2" t="str">
        <f>HYPERLINK("http://www.windermere.com/index.cfm?fuseaction=Listing.MapPropertyInteractive&amp;ListingID=19320055&amp;resize=true&amp;windowWidth=800&amp;windowHeight=600","Map")</f>
        <v>Map</v>
      </c>
      <c r="N244" s="2" t="str">
        <f>HYPERLINK("http://locmedia.nwmls.com/DO_NOT_LINK/bigphoto/831/28018831.jpg?tsp=20080205145011","Photo")</f>
        <v>Photo</v>
      </c>
      <c r="O244" s="2" t="str">
        <f>HYPERLINK("http://www.windermere.com/index.cfm?fuseaction=Listing.MultiImageViewer&amp;ListingID=19320055&amp;ln=28018831&amp;pub_mls=1","More")</f>
        <v>More</v>
      </c>
      <c r="Q244" t="s">
        <v>93</v>
      </c>
      <c r="R244" t="s">
        <v>943</v>
      </c>
      <c r="S244" t="s">
        <v>53</v>
      </c>
      <c r="T244" t="s">
        <v>90</v>
      </c>
      <c r="U244" t="s">
        <v>44</v>
      </c>
      <c r="V244">
        <v>358</v>
      </c>
      <c r="X244" t="s">
        <v>47</v>
      </c>
      <c r="Y244" t="s">
        <v>48</v>
      </c>
      <c r="Z244" t="s">
        <v>944</v>
      </c>
      <c r="AA244" t="s">
        <v>945</v>
      </c>
      <c r="AB244">
        <v>2007</v>
      </c>
      <c r="AC244">
        <v>3420</v>
      </c>
      <c r="AD244" t="s">
        <v>946</v>
      </c>
      <c r="AE244" t="s">
        <v>206</v>
      </c>
      <c r="AF244" t="s">
        <v>947</v>
      </c>
      <c r="AG244">
        <v>47.695656999999997</v>
      </c>
      <c r="AH244">
        <v>-122.34629200000001</v>
      </c>
      <c r="AI244" t="s">
        <v>66</v>
      </c>
      <c r="AJ244">
        <v>98103</v>
      </c>
      <c r="AK244" t="s">
        <v>41</v>
      </c>
      <c r="AL244">
        <v>8</v>
      </c>
      <c r="AM244" t="s">
        <v>40</v>
      </c>
      <c r="AO244">
        <v>0.11600000000000001</v>
      </c>
      <c r="AP244" t="s">
        <v>948</v>
      </c>
      <c r="AQ244">
        <v>504</v>
      </c>
      <c r="AR244" t="s">
        <v>61</v>
      </c>
      <c r="AS244" t="s">
        <v>726</v>
      </c>
      <c r="AT244">
        <v>19320055</v>
      </c>
      <c r="AU244" s="10">
        <v>39495</v>
      </c>
      <c r="BA244" t="s">
        <v>902</v>
      </c>
      <c r="BB244" t="s">
        <v>902</v>
      </c>
      <c r="BC244" s="6">
        <v>39482</v>
      </c>
      <c r="BG244">
        <v>13</v>
      </c>
      <c r="BH244" s="15">
        <f t="shared" ca="1" si="3"/>
        <v>1127</v>
      </c>
      <c r="BI244" s="15"/>
      <c r="BJ244" s="15"/>
    </row>
    <row r="245" spans="1:63" hidden="1" x14ac:dyDescent="0.2">
      <c r="A245">
        <v>28022935</v>
      </c>
      <c r="B245" s="2" t="str">
        <f>HYPERLINK("http://www.windermere.com/index.cfm?fuseaction=Listing.ListingDetail&amp;ListingID=19336679","Subject To Inspection")</f>
        <v>Subject To Inspection</v>
      </c>
      <c r="D245" t="s">
        <v>55</v>
      </c>
      <c r="E245" t="s">
        <v>729</v>
      </c>
      <c r="F245" s="9">
        <v>434950</v>
      </c>
      <c r="G245" t="s">
        <v>280</v>
      </c>
      <c r="H245" s="1">
        <v>5461</v>
      </c>
      <c r="I245">
        <v>5445</v>
      </c>
      <c r="J245">
        <v>4</v>
      </c>
      <c r="K245">
        <v>2</v>
      </c>
      <c r="M245" s="2" t="str">
        <f>HYPERLINK("http://www.windermere.com/index.cfm?fuseaction=Listing.MapPropertyInteractive&amp;ListingID=19336679&amp;resize=true&amp;windowWidth=800&amp;windowHeight=600","Map")</f>
        <v>Map</v>
      </c>
      <c r="O245" s="2" t="str">
        <f>HYPERLINK("http://www.windermere.com/index.cfm?fuseaction=Listing.MultiImageViewer&amp;ListingID=19336679&amp;ln=28022935&amp;pub_mls=1","More")</f>
        <v>More</v>
      </c>
      <c r="AI245" t="s">
        <v>66</v>
      </c>
      <c r="AJ245">
        <v>98103</v>
      </c>
      <c r="AS245" t="s">
        <v>730</v>
      </c>
      <c r="AT245">
        <v>19336679</v>
      </c>
      <c r="AU245" s="10">
        <v>39495</v>
      </c>
      <c r="BB245" t="s">
        <v>902</v>
      </c>
      <c r="BC245" s="6">
        <v>39485</v>
      </c>
      <c r="BG245">
        <v>10</v>
      </c>
      <c r="BH245" s="15">
        <f t="shared" ca="1" si="3"/>
        <v>1124</v>
      </c>
      <c r="BI245" s="15"/>
      <c r="BJ245" s="15"/>
      <c r="BK245" t="str">
        <f>B245</f>
        <v>Subject To Inspection</v>
      </c>
    </row>
    <row r="246" spans="1:63" hidden="1" x14ac:dyDescent="0.2">
      <c r="A246">
        <v>27203347</v>
      </c>
      <c r="B246" s="2" t="str">
        <f>HYPERLINK("http://www.windermere.com/index.cfm?fuseaction=Listing.ListingDetail&amp;ListingID=18986871","Subject To Inspection")</f>
        <v>Subject To Inspection</v>
      </c>
      <c r="D246" t="s">
        <v>1061</v>
      </c>
      <c r="E246" t="s">
        <v>1062</v>
      </c>
      <c r="F246" s="9">
        <v>435000</v>
      </c>
      <c r="G246" t="s">
        <v>137</v>
      </c>
      <c r="H246" s="1">
        <v>2000</v>
      </c>
      <c r="I246">
        <v>6000</v>
      </c>
      <c r="J246">
        <v>3</v>
      </c>
      <c r="K246">
        <v>1</v>
      </c>
      <c r="M246" s="2" t="str">
        <f>HYPERLINK("http://www.windermere.com/index.cfm?fuseaction=Listing.MapPropertyInteractive&amp;ListingID=18986871&amp;resize=true&amp;windowWidth=800&amp;windowHeight=600","Map")</f>
        <v>Map</v>
      </c>
      <c r="O246" s="2" t="str">
        <f>HYPERLINK("http://www.windermere.com/index.cfm?fuseaction=Listing.MultiImageViewer&amp;ListingID=18986871&amp;ln=27203347&amp;pub_mls=1","More")</f>
        <v>More</v>
      </c>
      <c r="AI246" t="s">
        <v>66</v>
      </c>
      <c r="AJ246">
        <v>98115</v>
      </c>
      <c r="AS246" t="s">
        <v>1063</v>
      </c>
      <c r="AT246">
        <v>18986871</v>
      </c>
      <c r="AU246" s="10">
        <v>39495</v>
      </c>
      <c r="BB246" t="s">
        <v>902</v>
      </c>
      <c r="BC246" s="6">
        <v>39402</v>
      </c>
      <c r="BG246">
        <v>93</v>
      </c>
      <c r="BH246" s="15">
        <f t="shared" ca="1" si="3"/>
        <v>1207</v>
      </c>
      <c r="BI246" s="15"/>
      <c r="BJ246" s="15"/>
      <c r="BK246" t="str">
        <f>B246</f>
        <v>Subject To Inspection</v>
      </c>
    </row>
    <row r="247" spans="1:63" hidden="1" x14ac:dyDescent="0.2">
      <c r="A247">
        <v>28021527</v>
      </c>
      <c r="B247" s="2" t="str">
        <f>HYPERLINK("http://www.windermere.com/index.cfm?fuseaction=Listing.ListingDetail&amp;ListingID=19325789","Active")</f>
        <v>Active</v>
      </c>
      <c r="C247">
        <v>705</v>
      </c>
      <c r="D247" t="s">
        <v>63</v>
      </c>
      <c r="E247" t="s">
        <v>234</v>
      </c>
      <c r="F247" s="9">
        <v>435000</v>
      </c>
      <c r="G247" t="s">
        <v>164</v>
      </c>
      <c r="H247" s="1">
        <v>1640</v>
      </c>
      <c r="I247">
        <v>4700</v>
      </c>
      <c r="J247">
        <v>2</v>
      </c>
      <c r="K247">
        <v>1</v>
      </c>
      <c r="L247">
        <v>1</v>
      </c>
      <c r="M247" s="2" t="str">
        <f>HYPERLINK("http://www.windermere.com/index.cfm?fuseaction=Listing.MapPropertyInteractive&amp;ListingID=19325789&amp;resize=true&amp;windowWidth=800&amp;windowHeight=600","Map")</f>
        <v>Map</v>
      </c>
      <c r="N247" s="2" t="str">
        <f>HYPERLINK("http://locmedia.nwmls.com/DO_NOT_LINK/bigphoto/527/28021527.jpg?tsp=20080205102832","Photo")</f>
        <v>Photo</v>
      </c>
      <c r="O247" s="2" t="str">
        <f>HYPERLINK("http://www.windermere.com/index.cfm?fuseaction=Listing.MultiImageViewer&amp;ListingID=19325789&amp;ln=28021527&amp;pub_mls=1","More")</f>
        <v>More</v>
      </c>
      <c r="Q247" t="s">
        <v>56</v>
      </c>
      <c r="R247" t="s">
        <v>72</v>
      </c>
      <c r="S247" t="s">
        <v>58</v>
      </c>
      <c r="X247" t="s">
        <v>47</v>
      </c>
      <c r="Y247" t="s">
        <v>48</v>
      </c>
      <c r="Z247" t="s">
        <v>80</v>
      </c>
      <c r="AB247">
        <v>2007</v>
      </c>
      <c r="AC247">
        <v>3030</v>
      </c>
      <c r="AD247" t="s">
        <v>949</v>
      </c>
      <c r="AE247" t="s">
        <v>221</v>
      </c>
      <c r="AG247">
        <v>47.689808999999997</v>
      </c>
      <c r="AH247">
        <v>-122.367267</v>
      </c>
      <c r="AI247" t="s">
        <v>66</v>
      </c>
      <c r="AJ247">
        <v>98117</v>
      </c>
      <c r="AK247" t="s">
        <v>41</v>
      </c>
      <c r="AL247" t="s">
        <v>40</v>
      </c>
      <c r="AM247" t="s">
        <v>40</v>
      </c>
      <c r="AO247">
        <v>0.108</v>
      </c>
      <c r="AP247" t="s">
        <v>950</v>
      </c>
      <c r="AQ247">
        <v>534</v>
      </c>
      <c r="AR247" t="s">
        <v>97</v>
      </c>
      <c r="AS247" t="s">
        <v>279</v>
      </c>
      <c r="AT247">
        <v>19325789</v>
      </c>
      <c r="AU247" s="10">
        <v>39495</v>
      </c>
      <c r="BA247" t="s">
        <v>902</v>
      </c>
      <c r="BB247" t="s">
        <v>902</v>
      </c>
      <c r="BC247" s="6">
        <v>39483</v>
      </c>
      <c r="BG247">
        <v>12</v>
      </c>
      <c r="BH247" s="15">
        <f t="shared" ca="1" si="3"/>
        <v>1126</v>
      </c>
      <c r="BI247" s="15"/>
      <c r="BJ247" s="15"/>
    </row>
    <row r="248" spans="1:63" hidden="1" x14ac:dyDescent="0.2">
      <c r="A248">
        <v>27115997</v>
      </c>
      <c r="B248" s="13" t="str">
        <f>HYPERLINK("http://www.windermere.com/index.cfm?fuseaction=Listing.ListingDetail&amp;ListingID=18779507","Contingent")</f>
        <v>Contingent</v>
      </c>
      <c r="D248" t="s">
        <v>194</v>
      </c>
      <c r="E248" t="s">
        <v>731</v>
      </c>
      <c r="F248" s="9">
        <v>436000</v>
      </c>
      <c r="G248" t="s">
        <v>147</v>
      </c>
      <c r="H248" s="1">
        <v>2046</v>
      </c>
      <c r="J248">
        <v>3</v>
      </c>
      <c r="K248">
        <v>2</v>
      </c>
      <c r="M248" s="2" t="str">
        <f>HYPERLINK("http://www.windermere.com/index.cfm?fuseaction=Listing.MapPropertyInteractive&amp;ListingID=18779507&amp;resize=true&amp;windowWidth=800&amp;windowHeight=600","Map")</f>
        <v>Map</v>
      </c>
      <c r="O248" s="2" t="str">
        <f>HYPERLINK("http://www.windermere.com/index.cfm?fuseaction=Listing.MultiImageViewer&amp;ListingID=18779507&amp;ln=27115997&amp;pub_mls=1","More")</f>
        <v>More</v>
      </c>
      <c r="AI248" t="s">
        <v>66</v>
      </c>
      <c r="AJ248">
        <v>98115</v>
      </c>
      <c r="AS248" t="s">
        <v>732</v>
      </c>
      <c r="AT248">
        <v>18779507</v>
      </c>
      <c r="AU248" s="10">
        <v>39495</v>
      </c>
      <c r="BB248" t="s">
        <v>902</v>
      </c>
      <c r="BC248" s="6">
        <v>39260</v>
      </c>
      <c r="BD248">
        <v>1</v>
      </c>
      <c r="BE248" s="5" t="s">
        <v>1246</v>
      </c>
      <c r="BG248">
        <v>235</v>
      </c>
      <c r="BH248" s="15">
        <f t="shared" ca="1" si="3"/>
        <v>1349</v>
      </c>
      <c r="BI248" s="15"/>
      <c r="BJ248" s="15"/>
      <c r="BK248" t="str">
        <f>B248</f>
        <v>Contingent</v>
      </c>
    </row>
    <row r="249" spans="1:63" hidden="1" x14ac:dyDescent="0.2">
      <c r="A249">
        <v>27165900</v>
      </c>
      <c r="B249" s="2" t="str">
        <f>HYPERLINK("http://www.windermere.com/index.cfm?fuseaction=Listing.ListingDetail&amp;ListingID=19342196","Subject To Inspection")</f>
        <v>Subject To Inspection</v>
      </c>
      <c r="D249" t="s">
        <v>194</v>
      </c>
      <c r="E249" t="s">
        <v>196</v>
      </c>
      <c r="F249" s="9">
        <v>439000</v>
      </c>
      <c r="G249" t="s">
        <v>132</v>
      </c>
      <c r="H249" s="1">
        <v>1435</v>
      </c>
      <c r="I249">
        <v>12506</v>
      </c>
      <c r="J249">
        <v>3</v>
      </c>
      <c r="K249">
        <v>1.75</v>
      </c>
      <c r="M249" s="2" t="str">
        <f>HYPERLINK("http://www.windermere.com/index.cfm?fuseaction=Listing.MapPropertyInteractive&amp;ListingID=19342196&amp;resize=true&amp;windowWidth=800&amp;windowHeight=600","Map")</f>
        <v>Map</v>
      </c>
      <c r="O249" s="2" t="str">
        <f>HYPERLINK("http://www.windermere.com/index.cfm?fuseaction=Listing.MultiImageViewer&amp;ListingID=19342196&amp;ln=27165900&amp;pub_mls=1","More")</f>
        <v>More</v>
      </c>
      <c r="P249" t="s">
        <v>44</v>
      </c>
      <c r="AI249" t="s">
        <v>66</v>
      </c>
      <c r="AJ249">
        <v>98115</v>
      </c>
      <c r="AS249" t="s">
        <v>1064</v>
      </c>
      <c r="AT249">
        <v>19342196</v>
      </c>
      <c r="AU249" s="10">
        <v>39495</v>
      </c>
      <c r="BB249" t="s">
        <v>902</v>
      </c>
      <c r="BC249" s="6">
        <v>39335</v>
      </c>
      <c r="BD249">
        <v>1</v>
      </c>
      <c r="BE249" s="5" t="s">
        <v>1263</v>
      </c>
      <c r="BG249">
        <v>160</v>
      </c>
      <c r="BH249" s="15">
        <f t="shared" ca="1" si="3"/>
        <v>1274</v>
      </c>
      <c r="BI249" s="15"/>
      <c r="BJ249" s="15"/>
      <c r="BK249" t="str">
        <f>B249</f>
        <v>Subject To Inspection</v>
      </c>
    </row>
    <row r="250" spans="1:63" hidden="1" x14ac:dyDescent="0.2">
      <c r="A250">
        <v>27205426</v>
      </c>
      <c r="B250" s="2" t="str">
        <f>HYPERLINK("http://www.windermere.com/index.cfm?fuseaction=Listing.ListingDetail&amp;ListingID=19016079","Subject To Inspection")</f>
        <v>Subject To Inspection</v>
      </c>
      <c r="D250" t="s">
        <v>42</v>
      </c>
      <c r="E250" t="s">
        <v>733</v>
      </c>
      <c r="F250" s="9">
        <v>439000</v>
      </c>
      <c r="G250" t="s">
        <v>156</v>
      </c>
      <c r="H250" s="1">
        <v>1510</v>
      </c>
      <c r="I250">
        <v>9000</v>
      </c>
      <c r="J250">
        <v>3</v>
      </c>
      <c r="K250">
        <v>1.5</v>
      </c>
      <c r="M250" s="2" t="str">
        <f>HYPERLINK("http://www.windermere.com/index.cfm?fuseaction=Listing.MapPropertyInteractive&amp;ListingID=19016079&amp;resize=true&amp;windowWidth=800&amp;windowHeight=600","Map")</f>
        <v>Map</v>
      </c>
      <c r="O250" s="2" t="str">
        <f>HYPERLINK("http://www.windermere.com/index.cfm?fuseaction=Listing.MultiImageViewer&amp;ListingID=19016079&amp;ln=27205426&amp;pub_mls=1","More")</f>
        <v>More</v>
      </c>
      <c r="AI250" t="s">
        <v>66</v>
      </c>
      <c r="AJ250">
        <v>98133</v>
      </c>
      <c r="AS250" t="s">
        <v>734</v>
      </c>
      <c r="AT250">
        <v>19016079</v>
      </c>
      <c r="AU250" s="10">
        <v>39495</v>
      </c>
      <c r="BB250" t="s">
        <v>902</v>
      </c>
      <c r="BC250" s="6">
        <v>39413</v>
      </c>
      <c r="BG250">
        <v>82</v>
      </c>
      <c r="BH250" s="15">
        <f t="shared" ca="1" si="3"/>
        <v>1196</v>
      </c>
      <c r="BI250" s="15"/>
      <c r="BJ250" s="15"/>
      <c r="BK250" t="str">
        <f>B250</f>
        <v>Subject To Inspection</v>
      </c>
    </row>
    <row r="251" spans="1:63" hidden="1" x14ac:dyDescent="0.2">
      <c r="A251">
        <v>28003907</v>
      </c>
      <c r="B251" s="2" t="str">
        <f>HYPERLINK("http://www.windermere.com/index.cfm?fuseaction=Listing.ListingDetail&amp;ListingID=19190530","Active")</f>
        <v>Active</v>
      </c>
      <c r="D251" t="s">
        <v>192</v>
      </c>
      <c r="E251" t="s">
        <v>737</v>
      </c>
      <c r="F251" s="9">
        <v>439500</v>
      </c>
      <c r="G251" t="s">
        <v>738</v>
      </c>
      <c r="H251" s="1">
        <v>1560</v>
      </c>
      <c r="I251">
        <v>5220</v>
      </c>
      <c r="J251">
        <v>3</v>
      </c>
      <c r="K251">
        <v>1.75</v>
      </c>
      <c r="M251" s="2" t="str">
        <f>HYPERLINK("http://www.windermere.com/index.cfm?fuseaction=Listing.MapPropertyInteractive&amp;ListingID=19190530&amp;resize=true&amp;windowWidth=800&amp;windowHeight=600","Map")</f>
        <v>Map</v>
      </c>
      <c r="O251" s="2" t="str">
        <f>HYPERLINK("http://www.windermere.com/index.cfm?fuseaction=Listing.MultiImageViewer&amp;ListingID=19190530&amp;ln=28003907&amp;pub_mls=1","More")</f>
        <v>More</v>
      </c>
      <c r="P251" t="s">
        <v>44</v>
      </c>
      <c r="AI251" t="s">
        <v>66</v>
      </c>
      <c r="AJ251">
        <v>98125</v>
      </c>
      <c r="AS251" t="s">
        <v>739</v>
      </c>
      <c r="AT251">
        <v>19190530</v>
      </c>
      <c r="AU251" s="10">
        <v>39495</v>
      </c>
      <c r="BB251" t="s">
        <v>902</v>
      </c>
      <c r="BC251" s="6">
        <v>39457</v>
      </c>
      <c r="BG251">
        <v>38</v>
      </c>
      <c r="BH251" s="15">
        <f t="shared" ca="1" si="3"/>
        <v>1152</v>
      </c>
      <c r="BI251" s="15"/>
      <c r="BJ251" s="15"/>
    </row>
    <row r="252" spans="1:63" hidden="1" x14ac:dyDescent="0.2">
      <c r="A252">
        <v>28025572</v>
      </c>
      <c r="B252" s="2" t="str">
        <f>HYPERLINK("http://www.windermere.com/index.cfm?fuseaction=Listing.ListingDetail&amp;ListingID=19373774","Active")</f>
        <v>Active</v>
      </c>
      <c r="D252" t="s">
        <v>63</v>
      </c>
      <c r="E252" t="s">
        <v>735</v>
      </c>
      <c r="F252" s="9">
        <v>439500</v>
      </c>
      <c r="G252" t="s">
        <v>240</v>
      </c>
      <c r="H252" s="1">
        <v>1330</v>
      </c>
      <c r="J252">
        <v>3</v>
      </c>
      <c r="K252">
        <v>2.25</v>
      </c>
      <c r="M252" s="2" t="str">
        <f>HYPERLINK("http://www.windermere.com/index.cfm?fuseaction=Listing.MapPropertyInteractive&amp;ListingID=19373774&amp;resize=true&amp;windowWidth=800&amp;windowHeight=600","Map")</f>
        <v>Map</v>
      </c>
      <c r="O252" s="2" t="str">
        <f>HYPERLINK("http://www.windermere.com/index.cfm?fuseaction=Listing.MultiImageViewer&amp;ListingID=19373774&amp;ln=28025572&amp;pub_mls=1","More")</f>
        <v>More</v>
      </c>
      <c r="P252" t="s">
        <v>44</v>
      </c>
      <c r="AI252" t="s">
        <v>66</v>
      </c>
      <c r="AJ252">
        <v>98107</v>
      </c>
      <c r="AS252" t="s">
        <v>736</v>
      </c>
      <c r="AT252">
        <v>19373774</v>
      </c>
      <c r="AU252" s="10">
        <v>39495</v>
      </c>
      <c r="BB252" t="s">
        <v>902</v>
      </c>
      <c r="BC252" s="6">
        <v>39493</v>
      </c>
      <c r="BG252">
        <v>2</v>
      </c>
      <c r="BH252" s="15">
        <f t="shared" ca="1" si="3"/>
        <v>1116</v>
      </c>
      <c r="BI252" s="15"/>
      <c r="BJ252" s="15"/>
    </row>
    <row r="253" spans="1:63" hidden="1" x14ac:dyDescent="0.2">
      <c r="A253">
        <v>28013118</v>
      </c>
      <c r="B253" s="2" t="str">
        <f>HYPERLINK("http://www.windermere.com/index.cfm?fuseaction=Listing.ListingDetail&amp;ListingID=19258580","Subject To Inspection")</f>
        <v>Subject To Inspection</v>
      </c>
      <c r="D253" t="s">
        <v>55</v>
      </c>
      <c r="E253" t="s">
        <v>167</v>
      </c>
      <c r="F253" s="9">
        <v>439900</v>
      </c>
      <c r="G253" t="s">
        <v>159</v>
      </c>
      <c r="H253" s="1">
        <v>1740</v>
      </c>
      <c r="I253">
        <v>4800</v>
      </c>
      <c r="J253">
        <v>4</v>
      </c>
      <c r="K253">
        <v>2</v>
      </c>
      <c r="M253" s="2" t="str">
        <f>HYPERLINK("http://www.windermere.com/index.cfm?fuseaction=Listing.MapPropertyInteractive&amp;ListingID=19258580&amp;resize=true&amp;windowWidth=800&amp;windowHeight=600","Map")</f>
        <v>Map</v>
      </c>
      <c r="O253" s="2" t="str">
        <f>HYPERLINK("http://www.windermere.com/index.cfm?fuseaction=Listing.MultiImageViewer&amp;ListingID=19258580&amp;ln=28013118&amp;pub_mls=1","More")</f>
        <v>More</v>
      </c>
      <c r="P253" t="s">
        <v>44</v>
      </c>
      <c r="AI253" t="s">
        <v>66</v>
      </c>
      <c r="AJ253">
        <v>98117</v>
      </c>
      <c r="AS253" t="s">
        <v>278</v>
      </c>
      <c r="AT253">
        <v>19258580</v>
      </c>
      <c r="AU253" s="10">
        <v>39495</v>
      </c>
      <c r="BB253" t="s">
        <v>902</v>
      </c>
      <c r="BC253" s="6">
        <v>39468</v>
      </c>
      <c r="BG253">
        <v>27</v>
      </c>
      <c r="BH253" s="15">
        <f t="shared" ca="1" si="3"/>
        <v>1141</v>
      </c>
      <c r="BI253" s="15"/>
      <c r="BJ253" s="15"/>
      <c r="BK253" t="str">
        <f>B253</f>
        <v>Subject To Inspection</v>
      </c>
    </row>
    <row r="254" spans="1:63" hidden="1" x14ac:dyDescent="0.2">
      <c r="A254">
        <v>27198496</v>
      </c>
      <c r="B254" s="2" t="str">
        <f>HYPERLINK("http://www.windermere.com/index.cfm?fuseaction=Listing.ListingDetail&amp;ListingID=18928855","Active")</f>
        <v>Active</v>
      </c>
      <c r="D254" t="s">
        <v>60</v>
      </c>
      <c r="E254" t="s">
        <v>742</v>
      </c>
      <c r="F254" s="9">
        <v>439950</v>
      </c>
      <c r="G254" t="s">
        <v>126</v>
      </c>
      <c r="H254" s="1">
        <v>1660</v>
      </c>
      <c r="I254">
        <v>3000</v>
      </c>
      <c r="J254">
        <v>3</v>
      </c>
      <c r="K254">
        <v>1.75</v>
      </c>
      <c r="M254" s="2" t="str">
        <f>HYPERLINK("http://www.windermere.com/index.cfm?fuseaction=Listing.MapPropertyInteractive&amp;ListingID=18928855&amp;resize=true&amp;windowWidth=800&amp;windowHeight=600","Map")</f>
        <v>Map</v>
      </c>
      <c r="AI254" t="s">
        <v>66</v>
      </c>
      <c r="AJ254">
        <v>98103</v>
      </c>
      <c r="AS254" t="s">
        <v>743</v>
      </c>
      <c r="AT254">
        <v>18928855</v>
      </c>
      <c r="AU254" s="10">
        <v>39495</v>
      </c>
      <c r="BB254" t="s">
        <v>902</v>
      </c>
      <c r="BC254" s="6">
        <v>39393</v>
      </c>
      <c r="BG254">
        <v>102</v>
      </c>
      <c r="BH254" s="15">
        <f t="shared" ca="1" si="3"/>
        <v>1216</v>
      </c>
      <c r="BI254" s="15"/>
      <c r="BJ254" s="15"/>
    </row>
    <row r="255" spans="1:63" hidden="1" x14ac:dyDescent="0.2">
      <c r="A255">
        <v>27205781</v>
      </c>
      <c r="B255" s="2" t="str">
        <f>HYPERLINK("http://www.windermere.com/index.cfm?fuseaction=Listing.ListingDetail&amp;ListingID=19013768","Active")</f>
        <v>Active</v>
      </c>
      <c r="D255" t="s">
        <v>956</v>
      </c>
      <c r="E255" t="s">
        <v>1067</v>
      </c>
      <c r="F255" s="9">
        <v>439950</v>
      </c>
      <c r="G255" t="s">
        <v>1068</v>
      </c>
      <c r="H255" s="1">
        <v>2600</v>
      </c>
      <c r="I255">
        <v>6760</v>
      </c>
      <c r="J255">
        <v>4</v>
      </c>
      <c r="K255">
        <v>2</v>
      </c>
      <c r="M255" s="2" t="str">
        <f>HYPERLINK("http://www.windermere.com/index.cfm?fuseaction=Listing.MapPropertyInteractive&amp;ListingID=19013768&amp;resize=true&amp;windowWidth=800&amp;windowHeight=600","Map")</f>
        <v>Map</v>
      </c>
      <c r="O255" s="2" t="str">
        <f>HYPERLINK("http://www.windermere.com/index.cfm?fuseaction=Listing.MultiImageViewer&amp;ListingID=19013768&amp;ln=27205781&amp;pub_mls=1","More")</f>
        <v>More</v>
      </c>
      <c r="P255" t="s">
        <v>44</v>
      </c>
      <c r="AI255" t="s">
        <v>66</v>
      </c>
      <c r="AJ255">
        <v>98125</v>
      </c>
      <c r="AS255" t="s">
        <v>1069</v>
      </c>
      <c r="AT255">
        <v>19013768</v>
      </c>
      <c r="AU255" s="10">
        <v>39495</v>
      </c>
      <c r="BB255" t="s">
        <v>902</v>
      </c>
      <c r="BC255" s="6">
        <v>39412</v>
      </c>
      <c r="BG255">
        <v>83</v>
      </c>
      <c r="BH255" s="15">
        <f t="shared" ca="1" si="3"/>
        <v>1197</v>
      </c>
      <c r="BI255" s="15"/>
      <c r="BJ255" s="15"/>
    </row>
    <row r="256" spans="1:63" hidden="1" x14ac:dyDescent="0.2">
      <c r="A256">
        <v>28000527</v>
      </c>
      <c r="B256" s="2" t="str">
        <f>HYPERLINK("http://www.windermere.com/index.cfm?fuseaction=Listing.ListingDetail&amp;ListingID=19146140","Active")</f>
        <v>Active</v>
      </c>
      <c r="D256" t="s">
        <v>63</v>
      </c>
      <c r="E256" t="s">
        <v>740</v>
      </c>
      <c r="F256" s="9">
        <v>439950</v>
      </c>
      <c r="G256" t="s">
        <v>664</v>
      </c>
      <c r="H256" s="1">
        <v>1750</v>
      </c>
      <c r="J256">
        <v>3</v>
      </c>
      <c r="K256">
        <v>2.5</v>
      </c>
      <c r="M256" s="2" t="str">
        <f>HYPERLINK("http://www.windermere.com/index.cfm?fuseaction=Listing.MapPropertyInteractive&amp;ListingID=19146140&amp;resize=true&amp;windowWidth=800&amp;windowHeight=600","Map")</f>
        <v>Map</v>
      </c>
      <c r="O256" s="2" t="str">
        <f>HYPERLINK("http://www.windermere.com/index.cfm?fuseaction=Listing.MultiImageViewer&amp;ListingID=19146140&amp;ln=28000527&amp;pub_mls=1","More")</f>
        <v>More</v>
      </c>
      <c r="AI256" t="s">
        <v>66</v>
      </c>
      <c r="AJ256">
        <v>98107</v>
      </c>
      <c r="AS256" t="s">
        <v>741</v>
      </c>
      <c r="AT256">
        <v>19146140</v>
      </c>
      <c r="AU256" s="10">
        <v>39495</v>
      </c>
      <c r="BB256" t="s">
        <v>902</v>
      </c>
      <c r="BC256" s="6">
        <v>39449</v>
      </c>
      <c r="BG256">
        <v>46</v>
      </c>
      <c r="BH256" s="15">
        <f t="shared" ca="1" si="3"/>
        <v>1160</v>
      </c>
      <c r="BI256" s="15"/>
      <c r="BJ256" s="15"/>
    </row>
    <row r="257" spans="1:63" hidden="1" x14ac:dyDescent="0.2">
      <c r="A257">
        <v>28026167</v>
      </c>
      <c r="B257" s="2" t="str">
        <f>HYPERLINK("http://www.windermere.com/index.cfm?fuseaction=Listing.ListingDetail&amp;ListingID=19359305","Active")</f>
        <v>Active</v>
      </c>
      <c r="D257" t="s">
        <v>194</v>
      </c>
      <c r="E257" t="s">
        <v>1065</v>
      </c>
      <c r="F257" s="9">
        <v>439950</v>
      </c>
      <c r="G257" t="s">
        <v>161</v>
      </c>
      <c r="H257">
        <v>990</v>
      </c>
      <c r="I257">
        <v>6393</v>
      </c>
      <c r="J257">
        <v>2</v>
      </c>
      <c r="K257">
        <v>1</v>
      </c>
      <c r="M257" s="2" t="str">
        <f>HYPERLINK("http://www.windermere.com/index.cfm?fuseaction=Listing.MapPropertyInteractive&amp;ListingID=19359305&amp;resize=true&amp;windowWidth=800&amp;windowHeight=600","Map")</f>
        <v>Map</v>
      </c>
      <c r="O257" s="2" t="str">
        <f>HYPERLINK("http://www.windermere.com/index.cfm?fuseaction=Listing.MultiImageViewer&amp;ListingID=19359305&amp;ln=28026167&amp;pub_mls=1","More")</f>
        <v>More</v>
      </c>
      <c r="P257" t="s">
        <v>44</v>
      </c>
      <c r="AI257" t="s">
        <v>66</v>
      </c>
      <c r="AJ257">
        <v>98115</v>
      </c>
      <c r="AS257" t="s">
        <v>1066</v>
      </c>
      <c r="AT257">
        <v>19359305</v>
      </c>
      <c r="AU257" s="10">
        <v>39495</v>
      </c>
      <c r="BB257" t="s">
        <v>902</v>
      </c>
      <c r="BC257" s="6">
        <v>39490</v>
      </c>
      <c r="BG257">
        <v>5</v>
      </c>
      <c r="BH257" s="15">
        <f t="shared" ca="1" si="3"/>
        <v>1119</v>
      </c>
      <c r="BI257" s="15"/>
      <c r="BJ257" s="15"/>
    </row>
    <row r="258" spans="1:63" hidden="1" x14ac:dyDescent="0.2">
      <c r="A258">
        <v>28012364</v>
      </c>
      <c r="B258" s="2" t="str">
        <f>HYPERLINK("http://www.windermere.com/index.cfm?fuseaction=Listing.ListingDetail&amp;ListingID=19253521","Active")</f>
        <v>Active</v>
      </c>
      <c r="D258" t="s">
        <v>63</v>
      </c>
      <c r="E258" t="s">
        <v>1070</v>
      </c>
      <c r="F258" s="9">
        <v>440000</v>
      </c>
      <c r="G258" t="s">
        <v>227</v>
      </c>
      <c r="I258">
        <v>3496</v>
      </c>
      <c r="J258">
        <v>2</v>
      </c>
      <c r="K258">
        <v>1</v>
      </c>
      <c r="M258" s="2" t="str">
        <f>HYPERLINK("http://www.windermere.com/index.cfm?fuseaction=Listing.MapPropertyInteractive&amp;ListingID=19253521&amp;resize=true&amp;windowWidth=800&amp;windowHeight=600","Map")</f>
        <v>Map</v>
      </c>
      <c r="O258" s="2" t="str">
        <f>HYPERLINK("http://www.windermere.com/index.cfm?fuseaction=Listing.MultiImageViewer&amp;ListingID=19253521&amp;ln=28012364&amp;pub_mls=1","More")</f>
        <v>More</v>
      </c>
      <c r="P258" t="s">
        <v>44</v>
      </c>
      <c r="AI258" t="s">
        <v>66</v>
      </c>
      <c r="AJ258">
        <v>98117</v>
      </c>
      <c r="AS258" t="s">
        <v>1071</v>
      </c>
      <c r="AT258">
        <v>19253521</v>
      </c>
      <c r="AU258" s="10">
        <v>39495</v>
      </c>
      <c r="BB258" t="s">
        <v>902</v>
      </c>
      <c r="BC258" s="6">
        <v>39467</v>
      </c>
      <c r="BG258">
        <v>28</v>
      </c>
      <c r="BH258" s="15">
        <f t="shared" ca="1" si="3"/>
        <v>1142</v>
      </c>
      <c r="BI258" s="15"/>
      <c r="BJ258" s="15"/>
    </row>
    <row r="259" spans="1:63" hidden="1" x14ac:dyDescent="0.2">
      <c r="A259">
        <v>28005823</v>
      </c>
      <c r="B259" s="2" t="str">
        <f>HYPERLINK("http://www.windermere.com/index.cfm?fuseaction=Listing.ListingDetail&amp;ListingID=19228455","Active")</f>
        <v>Active</v>
      </c>
      <c r="D259" t="s">
        <v>60</v>
      </c>
      <c r="E259" t="s">
        <v>744</v>
      </c>
      <c r="F259" s="11">
        <v>435000</v>
      </c>
      <c r="G259" t="s">
        <v>170</v>
      </c>
      <c r="H259" s="1">
        <v>1090</v>
      </c>
      <c r="J259">
        <v>2</v>
      </c>
      <c r="K259">
        <v>1</v>
      </c>
      <c r="M259" s="2" t="str">
        <f>HYPERLINK("http://www.windermere.com/index.cfm?fuseaction=Listing.MapPropertyInteractive&amp;ListingID=19228455&amp;resize=true&amp;windowWidth=800&amp;windowHeight=600","Map")</f>
        <v>Map</v>
      </c>
      <c r="O259" s="2" t="str">
        <f>HYPERLINK("http://www.windermere.com/index.cfm?fuseaction=Listing.MultiImageViewer&amp;ListingID=19228455&amp;ln=28005823&amp;pub_mls=1","More")</f>
        <v>More</v>
      </c>
      <c r="P259" t="s">
        <v>44</v>
      </c>
      <c r="AI259" t="s">
        <v>66</v>
      </c>
      <c r="AJ259">
        <v>98115</v>
      </c>
      <c r="AS259" t="s">
        <v>745</v>
      </c>
      <c r="AT259">
        <v>19228455</v>
      </c>
      <c r="AU259" s="10">
        <v>39495</v>
      </c>
      <c r="BB259" t="s">
        <v>902</v>
      </c>
      <c r="BC259" s="6">
        <v>39463</v>
      </c>
      <c r="BD259">
        <v>3</v>
      </c>
      <c r="BE259" t="s">
        <v>1373</v>
      </c>
      <c r="BF259" t="s">
        <v>1276</v>
      </c>
      <c r="BG259">
        <v>32</v>
      </c>
      <c r="BH259" s="15">
        <f t="shared" ref="BH259:BH322" ca="1" si="4">TODAY()-BC259</f>
        <v>1146</v>
      </c>
      <c r="BI259" s="15"/>
      <c r="BJ259" s="15"/>
    </row>
    <row r="260" spans="1:63" hidden="1" x14ac:dyDescent="0.2">
      <c r="A260">
        <v>28028056</v>
      </c>
      <c r="B260" s="2" t="str">
        <f>HYPERLINK("http://www.windermere.com/index.cfm?fuseaction=Listing.ListingDetail&amp;ListingID=19377706","Active")</f>
        <v>Active</v>
      </c>
      <c r="D260" t="s">
        <v>60</v>
      </c>
      <c r="E260" t="s">
        <v>746</v>
      </c>
      <c r="F260" s="9">
        <v>444500</v>
      </c>
      <c r="G260" t="s">
        <v>653</v>
      </c>
      <c r="H260" s="1">
        <v>1420</v>
      </c>
      <c r="I260">
        <v>3375</v>
      </c>
      <c r="J260">
        <v>3</v>
      </c>
      <c r="K260">
        <v>2</v>
      </c>
      <c r="M260" s="2" t="str">
        <f>HYPERLINK("http://www.windermere.com/index.cfm?fuseaction=Listing.MapPropertyInteractive&amp;ListingID=19377706&amp;resize=true&amp;windowWidth=800&amp;windowHeight=600","Map")</f>
        <v>Map</v>
      </c>
      <c r="O260" s="2" t="str">
        <f>HYPERLINK("http://www.windermere.com/index.cfm?fuseaction=Listing.MultiImageViewer&amp;ListingID=19377706&amp;ln=28028056&amp;pub_mls=1","More")</f>
        <v>More</v>
      </c>
      <c r="P260" t="s">
        <v>44</v>
      </c>
      <c r="AI260" t="s">
        <v>66</v>
      </c>
      <c r="AJ260">
        <v>98103</v>
      </c>
      <c r="AS260" t="s">
        <v>747</v>
      </c>
      <c r="AT260">
        <v>19377706</v>
      </c>
      <c r="AU260" s="10">
        <v>39495</v>
      </c>
      <c r="BB260" t="s">
        <v>902</v>
      </c>
      <c r="BC260" s="6">
        <v>39493</v>
      </c>
      <c r="BG260">
        <v>2</v>
      </c>
      <c r="BH260" s="15">
        <f t="shared" ca="1" si="4"/>
        <v>1116</v>
      </c>
      <c r="BI260" s="15"/>
      <c r="BJ260" s="15"/>
    </row>
    <row r="261" spans="1:63" hidden="1" x14ac:dyDescent="0.2">
      <c r="A261">
        <v>27180210</v>
      </c>
      <c r="B261" s="2" t="str">
        <f>HYPERLINK("http://www.windermere.com/index.cfm?fuseaction=Listing.ListingDetail&amp;ListingID=18768523","Active")</f>
        <v>Active</v>
      </c>
      <c r="D261" t="s">
        <v>204</v>
      </c>
      <c r="E261" t="s">
        <v>205</v>
      </c>
      <c r="F261" s="9">
        <v>448000</v>
      </c>
      <c r="G261" t="s">
        <v>124</v>
      </c>
      <c r="H261" s="1">
        <v>2500</v>
      </c>
      <c r="I261">
        <v>7749</v>
      </c>
      <c r="J261">
        <v>4</v>
      </c>
      <c r="K261">
        <v>2</v>
      </c>
      <c r="M261" s="2" t="str">
        <f>HYPERLINK("http://www.windermere.com/index.cfm?fuseaction=Listing.MapPropertyInteractive&amp;ListingID=18768523&amp;resize=true&amp;windowWidth=800&amp;windowHeight=600","Map")</f>
        <v>Map</v>
      </c>
      <c r="O261" s="2" t="str">
        <f>HYPERLINK("http://www.windermere.com/index.cfm?fuseaction=Listing.MultiImageViewer&amp;ListingID=18768523&amp;ln=27180210&amp;pub_mls=1","More")</f>
        <v>More</v>
      </c>
      <c r="P261" t="s">
        <v>44</v>
      </c>
      <c r="AI261" t="s">
        <v>66</v>
      </c>
      <c r="AJ261">
        <v>98125</v>
      </c>
      <c r="AS261" t="s">
        <v>748</v>
      </c>
      <c r="AT261">
        <v>18768523</v>
      </c>
      <c r="AU261" s="10">
        <v>39495</v>
      </c>
      <c r="BB261" t="s">
        <v>902</v>
      </c>
      <c r="BC261" s="6">
        <v>39360</v>
      </c>
      <c r="BG261">
        <v>135</v>
      </c>
      <c r="BH261" s="15">
        <f t="shared" ca="1" si="4"/>
        <v>1249</v>
      </c>
      <c r="BI261" s="15"/>
      <c r="BJ261" s="15"/>
    </row>
    <row r="262" spans="1:63" hidden="1" x14ac:dyDescent="0.2">
      <c r="A262">
        <v>28017471</v>
      </c>
      <c r="B262" s="2" t="str">
        <f>HYPERLINK("http://www.windermere.com/index.cfm?fuseaction=Listing.ListingDetail&amp;ListingID=19322432","Active")</f>
        <v>Active</v>
      </c>
      <c r="D262" t="s">
        <v>63</v>
      </c>
      <c r="E262" t="s">
        <v>751</v>
      </c>
      <c r="F262" s="11">
        <v>439000</v>
      </c>
      <c r="G262" t="s">
        <v>147</v>
      </c>
      <c r="H262" s="1">
        <v>1459</v>
      </c>
      <c r="J262">
        <v>2</v>
      </c>
      <c r="K262">
        <v>1.5</v>
      </c>
      <c r="M262" s="2" t="str">
        <f>HYPERLINK("http://www.windermere.com/index.cfm?fuseaction=Listing.MapPropertyInteractive&amp;ListingID=19322432&amp;resize=true&amp;windowWidth=800&amp;windowHeight=600","Map")</f>
        <v>Map</v>
      </c>
      <c r="O262" s="2" t="str">
        <f>HYPERLINK("http://www.windermere.com/index.cfm?fuseaction=Listing.MultiImageViewer&amp;ListingID=19322432&amp;ln=28017471&amp;pub_mls=1","More")</f>
        <v>More</v>
      </c>
      <c r="AI262" t="s">
        <v>66</v>
      </c>
      <c r="AJ262">
        <v>98107</v>
      </c>
      <c r="AS262" t="s">
        <v>752</v>
      </c>
      <c r="AT262">
        <v>19322432</v>
      </c>
      <c r="AU262" s="10">
        <v>39495</v>
      </c>
      <c r="BB262" t="s">
        <v>902</v>
      </c>
      <c r="BC262" s="6">
        <v>39482</v>
      </c>
      <c r="BD262">
        <v>2</v>
      </c>
      <c r="BE262" t="s">
        <v>1309</v>
      </c>
      <c r="BG262">
        <v>13</v>
      </c>
      <c r="BH262" s="15">
        <f t="shared" ca="1" si="4"/>
        <v>1127</v>
      </c>
      <c r="BI262" s="15"/>
      <c r="BJ262" s="15"/>
    </row>
    <row r="263" spans="1:63" hidden="1" x14ac:dyDescent="0.2">
      <c r="A263">
        <v>28017956</v>
      </c>
      <c r="B263" s="2" t="str">
        <f>HYPERLINK("http://www.windermere.com/index.cfm?fuseaction=Listing.ListingDetail&amp;ListingID=19327829","Subject To Inspection")</f>
        <v>Subject To Inspection</v>
      </c>
      <c r="C263">
        <v>705</v>
      </c>
      <c r="D263" t="s">
        <v>42</v>
      </c>
      <c r="E263" t="s">
        <v>749</v>
      </c>
      <c r="F263" s="9">
        <v>449000</v>
      </c>
      <c r="G263" t="s">
        <v>144</v>
      </c>
      <c r="H263" s="1">
        <v>1870</v>
      </c>
      <c r="I263">
        <v>8840</v>
      </c>
      <c r="J263">
        <v>7</v>
      </c>
      <c r="K263">
        <v>1.75</v>
      </c>
      <c r="L263">
        <v>1</v>
      </c>
      <c r="M263" s="2" t="str">
        <f>HYPERLINK("http://www.windermere.com/index.cfm?fuseaction=Listing.MapPropertyInteractive&amp;ListingID=19327829&amp;resize=true&amp;windowWidth=800&amp;windowHeight=600","Map")</f>
        <v>Map</v>
      </c>
      <c r="N263" s="2" t="str">
        <f>HYPERLINK("http://locmedia.nwmls.com/DO_NOT_LINK/bigphoto/956/28017956.jpg?tsp=20080206133228","Photo")</f>
        <v>Photo</v>
      </c>
      <c r="O263" s="2" t="str">
        <f>HYPERLINK("http://www.windermere.com/index.cfm?fuseaction=Listing.MultiImageViewer&amp;ListingID=19327829&amp;ln=28017956&amp;pub_mls=1","More")</f>
        <v>More</v>
      </c>
      <c r="P263" t="s">
        <v>44</v>
      </c>
      <c r="Q263" t="s">
        <v>56</v>
      </c>
      <c r="R263" t="s">
        <v>991</v>
      </c>
      <c r="S263" t="s">
        <v>992</v>
      </c>
      <c r="T263" t="s">
        <v>95</v>
      </c>
      <c r="U263" t="s">
        <v>44</v>
      </c>
      <c r="X263" t="s">
        <v>47</v>
      </c>
      <c r="Y263" t="s">
        <v>48</v>
      </c>
      <c r="Z263" t="s">
        <v>83</v>
      </c>
      <c r="AB263">
        <v>2006</v>
      </c>
      <c r="AC263">
        <v>3271</v>
      </c>
      <c r="AD263" t="s">
        <v>993</v>
      </c>
      <c r="AE263" t="s">
        <v>74</v>
      </c>
      <c r="AF263" t="s">
        <v>994</v>
      </c>
      <c r="AG263">
        <v>47.722012999999997</v>
      </c>
      <c r="AH263">
        <v>-122.33445</v>
      </c>
      <c r="AI263" t="s">
        <v>66</v>
      </c>
      <c r="AJ263">
        <v>98133</v>
      </c>
      <c r="AK263" t="s">
        <v>41</v>
      </c>
      <c r="AL263" t="s">
        <v>40</v>
      </c>
      <c r="AM263" t="s">
        <v>40</v>
      </c>
      <c r="AO263">
        <v>0.20300000000000001</v>
      </c>
      <c r="AP263" t="s">
        <v>995</v>
      </c>
      <c r="AQ263">
        <v>505</v>
      </c>
      <c r="AR263" t="s">
        <v>43</v>
      </c>
      <c r="AS263" t="s">
        <v>750</v>
      </c>
      <c r="AT263">
        <v>19327829</v>
      </c>
      <c r="AU263" s="10">
        <v>39495</v>
      </c>
      <c r="BA263" t="s">
        <v>902</v>
      </c>
      <c r="BB263" t="s">
        <v>902</v>
      </c>
      <c r="BC263" s="6">
        <v>39483</v>
      </c>
      <c r="BG263">
        <v>12</v>
      </c>
      <c r="BH263" s="15">
        <f t="shared" ca="1" si="4"/>
        <v>1126</v>
      </c>
      <c r="BI263" s="15"/>
      <c r="BJ263" s="15"/>
      <c r="BK263" t="str">
        <f>B263</f>
        <v>Subject To Inspection</v>
      </c>
    </row>
    <row r="264" spans="1:63" hidden="1" x14ac:dyDescent="0.2">
      <c r="A264">
        <v>28027394</v>
      </c>
      <c r="B264" s="13" t="str">
        <f>HYPERLINK("http://www.windermere.com/index.cfm?fuseaction=Listing.ListingDetail&amp;ListingID=19374487","Subject To Inspection")</f>
        <v>Subject To Inspection</v>
      </c>
      <c r="D264" t="s">
        <v>218</v>
      </c>
      <c r="E264" t="s">
        <v>753</v>
      </c>
      <c r="F264" s="9">
        <v>449000</v>
      </c>
      <c r="G264" t="s">
        <v>129</v>
      </c>
      <c r="H264" s="1">
        <v>1980</v>
      </c>
      <c r="I264">
        <v>3280</v>
      </c>
      <c r="J264">
        <v>3</v>
      </c>
      <c r="K264">
        <v>2</v>
      </c>
      <c r="M264" s="2" t="str">
        <f>HYPERLINK("http://www.windermere.com/index.cfm?fuseaction=Listing.MapPropertyInteractive&amp;ListingID=19374487&amp;resize=true&amp;windowWidth=800&amp;windowHeight=600","Map")</f>
        <v>Map</v>
      </c>
      <c r="O264" s="2" t="str">
        <f>HYPERLINK("http://www.windermere.com/index.cfm?fuseaction=Listing.MultiImageViewer&amp;ListingID=19374487&amp;ln=28027394&amp;pub_mls=1","More")</f>
        <v>More</v>
      </c>
      <c r="AI264" t="s">
        <v>66</v>
      </c>
      <c r="AJ264">
        <v>98115</v>
      </c>
      <c r="AS264" t="s">
        <v>754</v>
      </c>
      <c r="AT264">
        <v>19374487</v>
      </c>
      <c r="AU264" s="10">
        <v>39495</v>
      </c>
      <c r="BB264" t="s">
        <v>902</v>
      </c>
      <c r="BC264" s="6">
        <v>39493</v>
      </c>
      <c r="BG264">
        <v>2</v>
      </c>
      <c r="BH264" s="15">
        <f t="shared" ca="1" si="4"/>
        <v>1116</v>
      </c>
      <c r="BI264" s="15"/>
      <c r="BJ264" s="15"/>
    </row>
    <row r="265" spans="1:63" hidden="1" x14ac:dyDescent="0.2">
      <c r="A265">
        <v>27205585</v>
      </c>
      <c r="B265" s="2" t="str">
        <f>HYPERLINK("http://www.windermere.com/index.cfm?fuseaction=Listing.ListingDetail&amp;ListingID=19012321","Active")</f>
        <v>Active</v>
      </c>
      <c r="D265" t="s">
        <v>1073</v>
      </c>
      <c r="E265" t="s">
        <v>755</v>
      </c>
      <c r="F265" s="9">
        <v>449500</v>
      </c>
      <c r="G265" t="s">
        <v>143</v>
      </c>
      <c r="H265" s="1">
        <v>1720</v>
      </c>
      <c r="J265">
        <v>3</v>
      </c>
      <c r="K265">
        <v>3.5</v>
      </c>
      <c r="M265" s="2" t="str">
        <f>HYPERLINK("http://www.windermere.com/index.cfm?fuseaction=Listing.MapPropertyInteractive&amp;ListingID=19012321&amp;resize=true&amp;windowWidth=800&amp;windowHeight=600","Map")</f>
        <v>Map</v>
      </c>
      <c r="O265" s="2" t="str">
        <f>HYPERLINK("http://www.windermere.com/index.cfm?fuseaction=viewGallery.Home&amp;customTourID=201073&amp;wvt=0","More")</f>
        <v>More</v>
      </c>
      <c r="P265" t="s">
        <v>44</v>
      </c>
      <c r="AI265" t="s">
        <v>66</v>
      </c>
      <c r="AJ265">
        <v>98103</v>
      </c>
      <c r="AS265" t="s">
        <v>756</v>
      </c>
      <c r="AT265">
        <v>19012321</v>
      </c>
      <c r="AU265" s="10">
        <v>39495</v>
      </c>
      <c r="BB265" t="s">
        <v>902</v>
      </c>
      <c r="BC265" s="6">
        <v>39411</v>
      </c>
      <c r="BG265">
        <v>84</v>
      </c>
      <c r="BH265" s="15">
        <f t="shared" ca="1" si="4"/>
        <v>1198</v>
      </c>
      <c r="BI265" s="15"/>
      <c r="BJ265" s="15"/>
    </row>
    <row r="266" spans="1:63" hidden="1" x14ac:dyDescent="0.2">
      <c r="A266">
        <v>28019505</v>
      </c>
      <c r="B266" s="2" t="str">
        <f>HYPERLINK("http://www.windermere.com/index.cfm?fuseaction=Listing.ListingDetail&amp;ListingID=19310141","Active")</f>
        <v>Active</v>
      </c>
      <c r="D266" t="s">
        <v>972</v>
      </c>
      <c r="E266" t="s">
        <v>214</v>
      </c>
      <c r="F266" s="9">
        <v>449500</v>
      </c>
      <c r="G266" t="s">
        <v>215</v>
      </c>
      <c r="H266" s="1">
        <v>2240</v>
      </c>
      <c r="I266">
        <v>3075</v>
      </c>
      <c r="J266">
        <v>3</v>
      </c>
      <c r="K266">
        <v>2</v>
      </c>
      <c r="M266" s="2" t="str">
        <f>HYPERLINK("http://www.windermere.com/index.cfm?fuseaction=Listing.MapPropertyInteractive&amp;ListingID=19310141&amp;resize=true&amp;windowWidth=800&amp;windowHeight=600","Map")</f>
        <v>Map</v>
      </c>
      <c r="O266" s="2" t="str">
        <f>HYPERLINK("http://www.windermere.com/index.cfm?fuseaction=Listing.MultiImageViewer&amp;ListingID=19310141&amp;ln=28019505&amp;pub_mls=1","More")</f>
        <v>More</v>
      </c>
      <c r="AI266" t="s">
        <v>66</v>
      </c>
      <c r="AJ266">
        <v>98115</v>
      </c>
      <c r="AS266" t="s">
        <v>1072</v>
      </c>
      <c r="AT266">
        <v>19310141</v>
      </c>
      <c r="AU266" s="10">
        <v>39495</v>
      </c>
      <c r="BB266" t="s">
        <v>902</v>
      </c>
      <c r="BC266" s="6">
        <v>39479</v>
      </c>
      <c r="BG266">
        <v>16</v>
      </c>
      <c r="BH266" s="15">
        <f t="shared" ca="1" si="4"/>
        <v>1130</v>
      </c>
      <c r="BI266" s="15"/>
      <c r="BJ266" s="15"/>
    </row>
    <row r="267" spans="1:63" hidden="1" x14ac:dyDescent="0.2">
      <c r="A267">
        <v>28001335</v>
      </c>
      <c r="B267" s="13" t="str">
        <f>HYPERLINK("http://www.windermere.com/index.cfm?fuseaction=Listing.ListingDetail&amp;ListingID=19150106","Subject To Inspection")</f>
        <v>Subject To Inspection</v>
      </c>
      <c r="D267" t="s">
        <v>63</v>
      </c>
      <c r="E267" t="s">
        <v>757</v>
      </c>
      <c r="F267" s="9">
        <v>449888</v>
      </c>
      <c r="G267" t="s">
        <v>364</v>
      </c>
      <c r="H267" s="1">
        <v>1670</v>
      </c>
      <c r="J267">
        <v>3</v>
      </c>
      <c r="K267">
        <v>2</v>
      </c>
      <c r="M267" s="2" t="str">
        <f>HYPERLINK("http://www.windermere.com/index.cfm?fuseaction=Listing.MapPropertyInteractive&amp;ListingID=19150106&amp;resize=true&amp;windowWidth=800&amp;windowHeight=600","Map")</f>
        <v>Map</v>
      </c>
      <c r="O267" s="2" t="str">
        <f>HYPERLINK("http://www.windermere.com/index.cfm?fuseaction=Listing.MultiImageViewer&amp;ListingID=19150106&amp;ln=28001335&amp;pub_mls=1","More")</f>
        <v>More</v>
      </c>
      <c r="AI267" t="s">
        <v>66</v>
      </c>
      <c r="AJ267">
        <v>98107</v>
      </c>
      <c r="AS267" t="s">
        <v>758</v>
      </c>
      <c r="AT267">
        <v>19150106</v>
      </c>
      <c r="AU267" s="10">
        <v>39495</v>
      </c>
      <c r="BB267" t="s">
        <v>902</v>
      </c>
      <c r="BC267" s="6">
        <v>39449</v>
      </c>
      <c r="BD267">
        <v>3</v>
      </c>
      <c r="BE267" t="s">
        <v>1310</v>
      </c>
      <c r="BG267">
        <v>46</v>
      </c>
      <c r="BH267" s="15">
        <f t="shared" ca="1" si="4"/>
        <v>1160</v>
      </c>
      <c r="BI267" s="15"/>
      <c r="BJ267" s="15"/>
    </row>
    <row r="268" spans="1:63" hidden="1" x14ac:dyDescent="0.2">
      <c r="A268">
        <v>27191868</v>
      </c>
      <c r="B268" s="2" t="str">
        <f>HYPERLINK("http://www.windermere.com/index.cfm?fuseaction=Listing.ListingDetail&amp;ListingID=18865361","Active")</f>
        <v>Active</v>
      </c>
      <c r="D268" t="s">
        <v>55</v>
      </c>
      <c r="E268" t="s">
        <v>152</v>
      </c>
      <c r="F268" s="11">
        <v>434900</v>
      </c>
      <c r="G268" t="s">
        <v>153</v>
      </c>
      <c r="H268" s="1">
        <v>2080</v>
      </c>
      <c r="I268">
        <v>4950</v>
      </c>
      <c r="J268">
        <v>3</v>
      </c>
      <c r="K268">
        <v>1.5</v>
      </c>
      <c r="M268" s="2" t="str">
        <f>HYPERLINK("http://www.windermere.com/index.cfm?fuseaction=Listing.MapPropertyInteractive&amp;ListingID=18865361&amp;resize=true&amp;windowWidth=800&amp;windowHeight=600","Map")</f>
        <v>Map</v>
      </c>
      <c r="O268" s="2" t="str">
        <f>HYPERLINK("http://www.windermere.com/index.cfm?fuseaction=Listing.MultiImageViewer&amp;ListingID=18865361&amp;ln=27191868&amp;pub_mls=1","More")</f>
        <v>More</v>
      </c>
      <c r="AI268" t="s">
        <v>66</v>
      </c>
      <c r="AJ268">
        <v>98117</v>
      </c>
      <c r="AS268" t="s">
        <v>277</v>
      </c>
      <c r="AT268">
        <v>18865361</v>
      </c>
      <c r="AU268" s="10">
        <v>39495</v>
      </c>
      <c r="BB268" t="s">
        <v>902</v>
      </c>
      <c r="BC268" s="6">
        <v>39380</v>
      </c>
      <c r="BG268">
        <v>115</v>
      </c>
      <c r="BH268" s="15">
        <f t="shared" ca="1" si="4"/>
        <v>1229</v>
      </c>
      <c r="BI268" s="15"/>
      <c r="BJ268" s="15"/>
    </row>
    <row r="269" spans="1:63" hidden="1" x14ac:dyDescent="0.2">
      <c r="A269">
        <v>28000354</v>
      </c>
      <c r="B269" s="2" t="str">
        <f>HYPERLINK("http://www.windermere.com/index.cfm?fuseaction=Listing.ListingDetail&amp;ListingID=19143675","Active")</f>
        <v>Active</v>
      </c>
      <c r="D269" t="s">
        <v>1061</v>
      </c>
      <c r="E269" t="s">
        <v>1074</v>
      </c>
      <c r="F269" s="9">
        <v>449950</v>
      </c>
      <c r="G269" t="s">
        <v>168</v>
      </c>
      <c r="H269" s="1">
        <v>1290</v>
      </c>
      <c r="I269">
        <v>10048</v>
      </c>
      <c r="J269">
        <v>2</v>
      </c>
      <c r="K269">
        <v>1.5</v>
      </c>
      <c r="M269" s="2" t="str">
        <f>HYPERLINK("http://www.windermere.com/index.cfm?fuseaction=Listing.MapPropertyInteractive&amp;ListingID=19143675&amp;resize=true&amp;windowWidth=800&amp;windowHeight=600","Map")</f>
        <v>Map</v>
      </c>
      <c r="O269" s="2" t="str">
        <f>HYPERLINK("http://www.windermere.com/index.cfm?fuseaction=Listing.MultiImageViewer&amp;ListingID=19143675&amp;ln=28000354&amp;pub_mls=1","More")</f>
        <v>More</v>
      </c>
      <c r="P269" t="s">
        <v>44</v>
      </c>
      <c r="AI269" t="s">
        <v>66</v>
      </c>
      <c r="AJ269">
        <v>98125</v>
      </c>
      <c r="AS269" t="s">
        <v>1075</v>
      </c>
      <c r="AT269">
        <v>19143675</v>
      </c>
      <c r="AU269" s="10">
        <v>39495</v>
      </c>
      <c r="BB269" t="s">
        <v>902</v>
      </c>
      <c r="BC269" s="6">
        <v>39448</v>
      </c>
      <c r="BG269">
        <v>47</v>
      </c>
      <c r="BH269" s="15">
        <f t="shared" ca="1" si="4"/>
        <v>1161</v>
      </c>
      <c r="BI269" s="15"/>
      <c r="BJ269" s="15"/>
    </row>
    <row r="270" spans="1:63" hidden="1" x14ac:dyDescent="0.2">
      <c r="A270">
        <v>28008371</v>
      </c>
      <c r="B270" s="2" t="str">
        <f>HYPERLINK("http://www.windermere.com/index.cfm?fuseaction=Listing.ListingDetail&amp;ListingID=19220502","Subject To Inspection")</f>
        <v>Subject To Inspection</v>
      </c>
      <c r="D270" t="s">
        <v>60</v>
      </c>
      <c r="E270" t="s">
        <v>759</v>
      </c>
      <c r="F270" s="9">
        <v>449950</v>
      </c>
      <c r="G270" t="s">
        <v>168</v>
      </c>
      <c r="H270" s="1">
        <v>2040</v>
      </c>
      <c r="I270">
        <v>4500</v>
      </c>
      <c r="J270">
        <v>3</v>
      </c>
      <c r="K270">
        <v>1.75</v>
      </c>
      <c r="M270" s="2" t="str">
        <f>HYPERLINK("http://www.windermere.com/index.cfm?fuseaction=Listing.MapPropertyInteractive&amp;ListingID=19220502&amp;resize=true&amp;windowWidth=800&amp;windowHeight=600","Map")</f>
        <v>Map</v>
      </c>
      <c r="O270" s="2" t="str">
        <f>HYPERLINK("http://www.windermere.com/index.cfm?fuseaction=Listing.MultiImageViewer&amp;ListingID=19220502&amp;ln=28008371&amp;pub_mls=1","More")</f>
        <v>More</v>
      </c>
      <c r="P270" t="s">
        <v>44</v>
      </c>
      <c r="AI270" t="s">
        <v>66</v>
      </c>
      <c r="AJ270">
        <v>98103</v>
      </c>
      <c r="AS270" t="s">
        <v>760</v>
      </c>
      <c r="AT270">
        <v>19220502</v>
      </c>
      <c r="AU270" s="10">
        <v>39495</v>
      </c>
      <c r="BB270" t="s">
        <v>902</v>
      </c>
      <c r="BC270" t="s">
        <v>1344</v>
      </c>
      <c r="BG270">
        <v>0</v>
      </c>
      <c r="BH270" s="15" t="e">
        <f t="shared" ca="1" si="4"/>
        <v>#VALUE!</v>
      </c>
      <c r="BI270" s="15"/>
      <c r="BJ270" s="15"/>
      <c r="BK270" t="str">
        <f>B270</f>
        <v>Subject To Inspection</v>
      </c>
    </row>
    <row r="271" spans="1:63" hidden="1" x14ac:dyDescent="0.2">
      <c r="A271">
        <v>28014057</v>
      </c>
      <c r="B271" s="4" t="str">
        <f>HYPERLINK("http://www.windermere.com/index.cfm?fuseaction=Listing.ListingDetail&amp;ListingID=19266059","Subject To Inspection")</f>
        <v>Subject To Inspection</v>
      </c>
      <c r="D271" t="s">
        <v>63</v>
      </c>
      <c r="E271" t="s">
        <v>761</v>
      </c>
      <c r="F271" s="11">
        <v>429950</v>
      </c>
      <c r="G271" t="s">
        <v>239</v>
      </c>
      <c r="H271" s="1">
        <v>1490</v>
      </c>
      <c r="J271">
        <v>3</v>
      </c>
      <c r="K271">
        <v>2.5</v>
      </c>
      <c r="M271" s="2" t="str">
        <f>HYPERLINK("http://www.windermere.com/index.cfm?fuseaction=Listing.MapPropertyInteractive&amp;ListingID=19266059&amp;resize=true&amp;windowWidth=800&amp;windowHeight=600","Map")</f>
        <v>Map</v>
      </c>
      <c r="O271" s="2" t="str">
        <f>HYPERLINK("http://www.windermere.com/index.cfm?fuseaction=Listing.MultiImageViewer&amp;ListingID=19266059&amp;ln=28014057&amp;pub_mls=1","More")</f>
        <v>More</v>
      </c>
      <c r="P271" t="s">
        <v>44</v>
      </c>
      <c r="AI271" t="s">
        <v>66</v>
      </c>
      <c r="AJ271">
        <v>98107</v>
      </c>
      <c r="AS271" t="s">
        <v>762</v>
      </c>
      <c r="AT271">
        <v>19266059</v>
      </c>
      <c r="AU271" s="10">
        <v>39495</v>
      </c>
      <c r="BB271" t="s">
        <v>902</v>
      </c>
      <c r="BC271" s="6">
        <v>39470</v>
      </c>
      <c r="BG271">
        <v>25</v>
      </c>
      <c r="BH271" s="15">
        <f t="shared" ca="1" si="4"/>
        <v>1139</v>
      </c>
      <c r="BI271" s="15"/>
      <c r="BJ271" s="15"/>
    </row>
    <row r="272" spans="1:63" hidden="1" x14ac:dyDescent="0.2">
      <c r="A272">
        <v>28017708</v>
      </c>
      <c r="B272" s="2" t="str">
        <f>HYPERLINK("http://www.windermere.com/index.cfm?fuseaction=Listing.ListingDetail&amp;ListingID=19295761","Active")</f>
        <v>Active</v>
      </c>
      <c r="D272" t="s">
        <v>101</v>
      </c>
      <c r="E272" t="s">
        <v>163</v>
      </c>
      <c r="F272" s="9">
        <v>449950</v>
      </c>
      <c r="G272" t="s">
        <v>164</v>
      </c>
      <c r="H272" s="1">
        <v>1160</v>
      </c>
      <c r="I272">
        <v>7590</v>
      </c>
      <c r="J272">
        <v>2</v>
      </c>
      <c r="K272">
        <v>1</v>
      </c>
      <c r="M272" s="2" t="str">
        <f>HYPERLINK("http://www.windermere.com/index.cfm?fuseaction=Listing.MapPropertyInteractive&amp;ListingID=19295761&amp;resize=true&amp;windowWidth=800&amp;windowHeight=600","Map")</f>
        <v>Map</v>
      </c>
      <c r="O272" s="2" t="str">
        <f>HYPERLINK("http://www.windermere.com/index.cfm?fuseaction=Listing.MultiImageViewer&amp;ListingID=19295761&amp;ln=28017708&amp;pub_mls=1","More")</f>
        <v>More</v>
      </c>
      <c r="AI272" t="s">
        <v>66</v>
      </c>
      <c r="AJ272">
        <v>98117</v>
      </c>
      <c r="AS272" t="s">
        <v>276</v>
      </c>
      <c r="AT272">
        <v>19295761</v>
      </c>
      <c r="AU272" s="10">
        <v>39495</v>
      </c>
      <c r="BB272" t="s">
        <v>902</v>
      </c>
      <c r="BC272" s="6">
        <v>39477</v>
      </c>
      <c r="BG272">
        <v>18</v>
      </c>
      <c r="BH272" s="15">
        <f t="shared" ca="1" si="4"/>
        <v>1132</v>
      </c>
      <c r="BI272" s="15"/>
      <c r="BJ272" s="15"/>
    </row>
    <row r="273" spans="1:63" hidden="1" x14ac:dyDescent="0.2">
      <c r="A273">
        <v>27198190</v>
      </c>
      <c r="B273" s="2" t="str">
        <f>HYPERLINK("http://www.windermere.com/index.cfm?fuseaction=Listing.ListingDetail&amp;ListingID=18927434","Active")</f>
        <v>Active</v>
      </c>
      <c r="D273" t="s">
        <v>908</v>
      </c>
      <c r="E273" t="s">
        <v>765</v>
      </c>
      <c r="F273" s="9">
        <v>449990</v>
      </c>
      <c r="G273" t="s">
        <v>143</v>
      </c>
      <c r="H273" s="1">
        <v>2130</v>
      </c>
      <c r="I273">
        <v>6187</v>
      </c>
      <c r="J273">
        <v>5</v>
      </c>
      <c r="K273">
        <v>3</v>
      </c>
      <c r="M273" s="2" t="str">
        <f>HYPERLINK("http://www.windermere.com/index.cfm?fuseaction=Listing.MapPropertyInteractive&amp;ListingID=18927434&amp;resize=true&amp;windowWidth=800&amp;windowHeight=600","Map")</f>
        <v>Map</v>
      </c>
      <c r="O273" s="2" t="str">
        <f>HYPERLINK("http://www.windermere.com/index.cfm?fuseaction=Listing.MultiImageViewer&amp;ListingID=18927434&amp;ln=27198190&amp;pub_mls=1","More")</f>
        <v>More</v>
      </c>
      <c r="AI273" t="s">
        <v>66</v>
      </c>
      <c r="AJ273">
        <v>98125</v>
      </c>
      <c r="AS273" t="s">
        <v>766</v>
      </c>
      <c r="AT273">
        <v>18927434</v>
      </c>
      <c r="AU273" s="10">
        <v>39495</v>
      </c>
      <c r="BB273" t="s">
        <v>902</v>
      </c>
      <c r="BC273" s="6">
        <v>39393</v>
      </c>
      <c r="BG273">
        <v>102</v>
      </c>
      <c r="BH273" s="15">
        <f t="shared" ca="1" si="4"/>
        <v>1216</v>
      </c>
      <c r="BI273" s="15"/>
      <c r="BJ273" s="15"/>
    </row>
    <row r="274" spans="1:63" hidden="1" x14ac:dyDescent="0.2">
      <c r="A274">
        <v>27208224</v>
      </c>
      <c r="B274" s="2" t="str">
        <f>HYPERLINK("http://www.windermere.com/index.cfm?fuseaction=Listing.ListingDetail&amp;ListingID=19037181","Active")</f>
        <v>Active</v>
      </c>
      <c r="D274" t="s">
        <v>218</v>
      </c>
      <c r="E274" t="s">
        <v>763</v>
      </c>
      <c r="F274" s="9">
        <v>449990</v>
      </c>
      <c r="G274" t="s">
        <v>176</v>
      </c>
      <c r="I274">
        <v>5659</v>
      </c>
      <c r="J274">
        <v>2</v>
      </c>
      <c r="K274">
        <v>1</v>
      </c>
      <c r="M274" s="2" t="str">
        <f>HYPERLINK("http://www.windermere.com/index.cfm?fuseaction=Listing.MapPropertyInteractive&amp;ListingID=19037181&amp;resize=true&amp;windowWidth=800&amp;windowHeight=600","Map")</f>
        <v>Map</v>
      </c>
      <c r="O274" s="2" t="str">
        <f>HYPERLINK("http://www.windermere.com/index.cfm?fuseaction=Listing.MultiImageViewer&amp;ListingID=19037181&amp;ln=27208224&amp;pub_mls=1","More")</f>
        <v>More</v>
      </c>
      <c r="P274" t="s">
        <v>44</v>
      </c>
      <c r="AI274" t="s">
        <v>66</v>
      </c>
      <c r="AJ274">
        <v>98115</v>
      </c>
      <c r="AS274" t="s">
        <v>764</v>
      </c>
      <c r="AT274">
        <v>19037181</v>
      </c>
      <c r="AU274" s="10">
        <v>39495</v>
      </c>
      <c r="BB274" t="s">
        <v>902</v>
      </c>
      <c r="BC274" s="6">
        <v>39417</v>
      </c>
      <c r="BG274">
        <v>78</v>
      </c>
      <c r="BH274" s="15">
        <f t="shared" ca="1" si="4"/>
        <v>1192</v>
      </c>
      <c r="BI274" s="15"/>
      <c r="BJ274" s="15"/>
    </row>
    <row r="275" spans="1:63" hidden="1" x14ac:dyDescent="0.2">
      <c r="A275">
        <v>27187495</v>
      </c>
      <c r="B275" s="2" t="str">
        <f>HYPERLINK("http://www.windermere.com/index.cfm?fuseaction=Listing.ListingDetail&amp;ListingID=18820818","Active")</f>
        <v>Active</v>
      </c>
      <c r="D275" t="s">
        <v>275</v>
      </c>
      <c r="E275" t="s">
        <v>158</v>
      </c>
      <c r="F275" s="9">
        <v>450000</v>
      </c>
      <c r="G275" t="s">
        <v>126</v>
      </c>
      <c r="H275" s="1">
        <v>1830</v>
      </c>
      <c r="I275">
        <v>4284</v>
      </c>
      <c r="J275">
        <v>2</v>
      </c>
      <c r="K275">
        <v>1</v>
      </c>
      <c r="M275" s="2" t="str">
        <f>HYPERLINK("http://www.windermere.com/index.cfm?fuseaction=Listing.MapPropertyInteractive&amp;ListingID=18820818&amp;resize=true&amp;windowWidth=800&amp;windowHeight=600","Map")</f>
        <v>Map</v>
      </c>
      <c r="O275" s="2" t="str">
        <f>HYPERLINK("http://www.windermere.com/index.cfm?fuseaction=viewGallery.Home&amp;customTourID=197661&amp;wvt=0","More")</f>
        <v>More</v>
      </c>
      <c r="P275" t="s">
        <v>44</v>
      </c>
      <c r="AI275" t="s">
        <v>66</v>
      </c>
      <c r="AJ275">
        <v>98117</v>
      </c>
      <c r="AS275" t="s">
        <v>274</v>
      </c>
      <c r="AT275">
        <v>18820818</v>
      </c>
      <c r="AU275" s="10">
        <v>39495</v>
      </c>
      <c r="BB275" t="s">
        <v>902</v>
      </c>
      <c r="BC275" s="6">
        <v>39372</v>
      </c>
      <c r="BG275">
        <v>123</v>
      </c>
      <c r="BH275" s="15">
        <f t="shared" ca="1" si="4"/>
        <v>1237</v>
      </c>
      <c r="BI275" s="15"/>
      <c r="BJ275" s="15"/>
    </row>
    <row r="276" spans="1:63" hidden="1" x14ac:dyDescent="0.2">
      <c r="A276">
        <v>28002721</v>
      </c>
      <c r="B276" s="2" t="str">
        <f>HYPERLINK("http://www.windermere.com/index.cfm?fuseaction=Listing.ListingDetail&amp;ListingID=19163838","Active")</f>
        <v>Active</v>
      </c>
      <c r="D276" t="s">
        <v>63</v>
      </c>
      <c r="E276" t="s">
        <v>148</v>
      </c>
      <c r="F276" s="9">
        <v>450000</v>
      </c>
      <c r="G276" t="s">
        <v>144</v>
      </c>
      <c r="H276" s="1">
        <v>1520</v>
      </c>
      <c r="I276">
        <v>4000</v>
      </c>
      <c r="J276">
        <v>3</v>
      </c>
      <c r="K276">
        <v>1.75</v>
      </c>
      <c r="M276" s="2" t="str">
        <f>HYPERLINK("http://www.windermere.com/index.cfm?fuseaction=Listing.MapPropertyInteractive&amp;ListingID=19163838&amp;resize=true&amp;windowWidth=800&amp;windowHeight=600","Map")</f>
        <v>Map</v>
      </c>
      <c r="O276" s="2" t="str">
        <f>HYPERLINK("http://www.windermere.com/index.cfm?fuseaction=Listing.MultiImageViewer&amp;ListingID=19163838&amp;ln=28002721&amp;pub_mls=1","More")</f>
        <v>More</v>
      </c>
      <c r="AI276" t="s">
        <v>66</v>
      </c>
      <c r="AJ276">
        <v>98107</v>
      </c>
      <c r="AS276" t="s">
        <v>771</v>
      </c>
      <c r="AT276">
        <v>19163838</v>
      </c>
      <c r="AU276" s="10">
        <v>39495</v>
      </c>
      <c r="BB276" t="s">
        <v>902</v>
      </c>
      <c r="BC276" s="6">
        <v>39451</v>
      </c>
      <c r="BG276">
        <v>44</v>
      </c>
      <c r="BH276" s="15">
        <f t="shared" ca="1" si="4"/>
        <v>1158</v>
      </c>
      <c r="BI276" s="15"/>
      <c r="BJ276" s="15"/>
    </row>
    <row r="277" spans="1:63" hidden="1" x14ac:dyDescent="0.2">
      <c r="A277">
        <v>28014610</v>
      </c>
      <c r="B277" s="2" t="str">
        <f>HYPERLINK("http://www.windermere.com/index.cfm?fuseaction=Listing.ListingDetail&amp;ListingID=19281742","Active")</f>
        <v>Active</v>
      </c>
      <c r="D277" t="s">
        <v>42</v>
      </c>
      <c r="E277" t="s">
        <v>767</v>
      </c>
      <c r="F277" s="9">
        <v>450000</v>
      </c>
      <c r="G277" t="s">
        <v>768</v>
      </c>
      <c r="H277" s="1">
        <v>2670</v>
      </c>
      <c r="I277">
        <v>9102</v>
      </c>
      <c r="J277">
        <v>4</v>
      </c>
      <c r="K277">
        <v>2.75</v>
      </c>
      <c r="M277" s="2" t="str">
        <f>HYPERLINK("http://www.windermere.com/index.cfm?fuseaction=Listing.MapPropertyInteractive&amp;ListingID=19281742&amp;resize=true&amp;windowWidth=800&amp;windowHeight=600","Map")</f>
        <v>Map</v>
      </c>
      <c r="O277" s="2" t="str">
        <f>HYPERLINK("http://www.windermere.com/index.cfm?fuseaction=viewGallery.Home&amp;customTourID=205265&amp;wvt=0","More")</f>
        <v>More</v>
      </c>
      <c r="AI277" t="s">
        <v>66</v>
      </c>
      <c r="AJ277">
        <v>98133</v>
      </c>
      <c r="AS277" t="s">
        <v>769</v>
      </c>
      <c r="AT277">
        <v>19281742</v>
      </c>
      <c r="AU277" s="10">
        <v>39495</v>
      </c>
      <c r="BB277" t="s">
        <v>902</v>
      </c>
      <c r="BC277" s="6">
        <v>39473</v>
      </c>
      <c r="BG277">
        <v>22</v>
      </c>
      <c r="BH277" s="15">
        <f t="shared" ca="1" si="4"/>
        <v>1136</v>
      </c>
      <c r="BI277" s="15"/>
      <c r="BJ277" s="15"/>
    </row>
    <row r="278" spans="1:63" hidden="1" x14ac:dyDescent="0.2">
      <c r="A278">
        <v>28014838</v>
      </c>
      <c r="B278" s="2" t="str">
        <f>HYPERLINK("http://www.windermere.com/index.cfm?fuseaction=Listing.ListingDetail&amp;ListingID=19272515","Active")</f>
        <v>Active</v>
      </c>
      <c r="D278" t="s">
        <v>66</v>
      </c>
      <c r="E278" t="s">
        <v>174</v>
      </c>
      <c r="F278" s="9">
        <v>450000</v>
      </c>
      <c r="G278" t="s">
        <v>130</v>
      </c>
      <c r="H278" s="1">
        <v>2590</v>
      </c>
      <c r="I278">
        <v>6480</v>
      </c>
      <c r="J278">
        <v>4</v>
      </c>
      <c r="K278">
        <v>1.75</v>
      </c>
      <c r="M278" s="2" t="str">
        <f>HYPERLINK("http://www.windermere.com/index.cfm?fuseaction=Listing.MapPropertyInteractive&amp;ListingID=19272515&amp;resize=true&amp;windowWidth=800&amp;windowHeight=600","Map")</f>
        <v>Map</v>
      </c>
      <c r="O278" s="2" t="str">
        <f>HYPERLINK("http://www.windermere.com/index.cfm?fuseaction=Listing.MultiImageViewer&amp;ListingID=19272515&amp;ln=28014838&amp;pub_mls=1","More")</f>
        <v>More</v>
      </c>
      <c r="AI278" t="s">
        <v>66</v>
      </c>
      <c r="AJ278">
        <v>98115</v>
      </c>
      <c r="AS278" t="s">
        <v>770</v>
      </c>
      <c r="AT278">
        <v>19272515</v>
      </c>
      <c r="AU278" s="10">
        <v>39495</v>
      </c>
      <c r="BB278" t="s">
        <v>902</v>
      </c>
      <c r="BC278" s="6">
        <v>39471</v>
      </c>
      <c r="BG278">
        <v>24</v>
      </c>
      <c r="BH278" s="15">
        <f t="shared" ca="1" si="4"/>
        <v>1138</v>
      </c>
      <c r="BI278" s="15"/>
      <c r="BJ278" s="15"/>
    </row>
    <row r="279" spans="1:63" hidden="1" x14ac:dyDescent="0.2">
      <c r="A279">
        <v>27091504</v>
      </c>
      <c r="B279" s="2" t="str">
        <f>HYPERLINK("http://www.windermere.com/index.cfm?fuseaction=Listing.ListingDetail&amp;ListingID=19342509","Active")</f>
        <v>Active</v>
      </c>
      <c r="D279" t="s">
        <v>70</v>
      </c>
      <c r="E279" t="s">
        <v>150</v>
      </c>
      <c r="F279" s="9">
        <v>455000</v>
      </c>
      <c r="G279" t="s">
        <v>151</v>
      </c>
      <c r="H279" s="1">
        <v>2800</v>
      </c>
      <c r="I279">
        <v>6591</v>
      </c>
      <c r="J279">
        <v>5</v>
      </c>
      <c r="K279">
        <v>1.75</v>
      </c>
      <c r="M279" s="2" t="str">
        <f>HYPERLINK("http://www.windermere.com/index.cfm?fuseaction=Listing.MapPropertyInteractive&amp;ListingID=19342509&amp;resize=true&amp;windowWidth=800&amp;windowHeight=600","Map")</f>
        <v>Map</v>
      </c>
      <c r="O279" s="2" t="str">
        <f>HYPERLINK("http://www.windermere.com/index.cfm?fuseaction=Listing.MultiImageViewer&amp;ListingID=19342509&amp;ln=27091504&amp;pub_mls=1","More")</f>
        <v>More</v>
      </c>
      <c r="P279" t="s">
        <v>44</v>
      </c>
      <c r="AI279" t="s">
        <v>66</v>
      </c>
      <c r="AJ279">
        <v>98133</v>
      </c>
      <c r="AS279" t="s">
        <v>772</v>
      </c>
      <c r="AT279">
        <v>19342509</v>
      </c>
      <c r="AU279" s="10">
        <v>39495</v>
      </c>
      <c r="BB279" t="s">
        <v>902</v>
      </c>
      <c r="BC279" s="6">
        <v>39225</v>
      </c>
      <c r="BD279">
        <v>2</v>
      </c>
      <c r="BE279" s="5" t="s">
        <v>1243</v>
      </c>
      <c r="BG279">
        <v>270</v>
      </c>
      <c r="BH279" s="15">
        <f t="shared" ca="1" si="4"/>
        <v>1384</v>
      </c>
      <c r="BI279" s="15"/>
      <c r="BJ279" s="15"/>
    </row>
    <row r="280" spans="1:63" hidden="1" x14ac:dyDescent="0.2">
      <c r="A280">
        <v>27208590</v>
      </c>
      <c r="B280" s="2" t="str">
        <f>HYPERLINK("http://www.windermere.com/index.cfm?fuseaction=Listing.ListingDetail&amp;ListingID=19041872","Active")</f>
        <v>Active</v>
      </c>
      <c r="D280" t="s">
        <v>908</v>
      </c>
      <c r="E280" t="s">
        <v>773</v>
      </c>
      <c r="F280" s="11">
        <v>452900</v>
      </c>
      <c r="G280" t="s">
        <v>137</v>
      </c>
      <c r="H280" s="1">
        <v>2200</v>
      </c>
      <c r="I280">
        <v>6720</v>
      </c>
      <c r="J280">
        <v>3</v>
      </c>
      <c r="K280">
        <v>1.75</v>
      </c>
      <c r="M280" s="2" t="str">
        <f>HYPERLINK("http://www.windermere.com/index.cfm?fuseaction=Listing.MapPropertyInteractive&amp;ListingID=19041872&amp;resize=true&amp;windowWidth=800&amp;windowHeight=600","Map")</f>
        <v>Map</v>
      </c>
      <c r="O280" s="2" t="str">
        <f>HYPERLINK("http://www.windermere.com/index.cfm?fuseaction=Listing.MultiImageViewer&amp;ListingID=19041872&amp;ln=27208590&amp;pub_mls=1","More")</f>
        <v>More</v>
      </c>
      <c r="AI280" t="s">
        <v>66</v>
      </c>
      <c r="AJ280">
        <v>98125</v>
      </c>
      <c r="AS280" t="s">
        <v>774</v>
      </c>
      <c r="AT280">
        <v>19041872</v>
      </c>
      <c r="AU280" s="10">
        <v>39495</v>
      </c>
      <c r="BB280" t="s">
        <v>902</v>
      </c>
      <c r="BC280" s="6">
        <v>39418</v>
      </c>
      <c r="BG280">
        <v>77</v>
      </c>
      <c r="BH280" s="15">
        <f t="shared" ca="1" si="4"/>
        <v>1191</v>
      </c>
      <c r="BI280" s="15"/>
      <c r="BJ280" s="15"/>
    </row>
    <row r="281" spans="1:63" hidden="1" x14ac:dyDescent="0.2">
      <c r="A281">
        <v>28011566</v>
      </c>
      <c r="B281" s="2" t="str">
        <f>HYPERLINK("http://www.windermere.com/index.cfm?fuseaction=Listing.ListingDetail&amp;ListingID=19246332","Active")</f>
        <v>Active</v>
      </c>
      <c r="D281" t="s">
        <v>60</v>
      </c>
      <c r="E281" t="s">
        <v>775</v>
      </c>
      <c r="F281" s="11">
        <v>447000</v>
      </c>
      <c r="G281" t="s">
        <v>143</v>
      </c>
      <c r="H281" s="1">
        <v>1420</v>
      </c>
      <c r="I281">
        <v>2550</v>
      </c>
      <c r="J281">
        <v>3</v>
      </c>
      <c r="K281">
        <v>2</v>
      </c>
      <c r="M281" s="2" t="str">
        <f>HYPERLINK("http://www.windermere.com/index.cfm?fuseaction=Listing.MapPropertyInteractive&amp;ListingID=19246332&amp;resize=true&amp;windowWidth=800&amp;windowHeight=600","Map")</f>
        <v>Map</v>
      </c>
      <c r="O281" s="2" t="str">
        <f>HYPERLINK("http://www.windermere.com/index.cfm?fuseaction=Listing.MultiImageViewer&amp;ListingID=19246332&amp;ln=28011566&amp;pub_mls=1","More")</f>
        <v>More</v>
      </c>
      <c r="P281" t="s">
        <v>44</v>
      </c>
      <c r="AI281" t="s">
        <v>66</v>
      </c>
      <c r="AJ281">
        <v>98103</v>
      </c>
      <c r="AS281" t="s">
        <v>776</v>
      </c>
      <c r="AT281">
        <v>19246332</v>
      </c>
      <c r="AU281" s="10">
        <v>39495</v>
      </c>
      <c r="BB281" t="s">
        <v>902</v>
      </c>
      <c r="BC281" s="6">
        <v>39465</v>
      </c>
      <c r="BG281">
        <v>30</v>
      </c>
      <c r="BH281" s="15">
        <f t="shared" ca="1" si="4"/>
        <v>1144</v>
      </c>
      <c r="BI281" s="15"/>
      <c r="BJ281" s="15"/>
    </row>
    <row r="282" spans="1:63" hidden="1" x14ac:dyDescent="0.2">
      <c r="A282">
        <v>28008189</v>
      </c>
      <c r="B282" s="2" t="str">
        <f>HYPERLINK("http://www.windermere.com/index.cfm?fuseaction=Listing.ListingDetail&amp;ListingID=19288456","Contingent")</f>
        <v>Contingent</v>
      </c>
      <c r="D282" t="s">
        <v>100</v>
      </c>
      <c r="E282" t="s">
        <v>777</v>
      </c>
      <c r="F282" s="9">
        <v>459000</v>
      </c>
      <c r="G282" t="s">
        <v>132</v>
      </c>
      <c r="H282" s="1">
        <v>1030</v>
      </c>
      <c r="I282">
        <v>4792</v>
      </c>
      <c r="J282">
        <v>2</v>
      </c>
      <c r="K282">
        <v>1</v>
      </c>
      <c r="M282" s="2" t="str">
        <f>HYPERLINK("http://www.windermere.com/index.cfm?fuseaction=Listing.MapPropertyInteractive&amp;ListingID=19288456&amp;resize=true&amp;windowWidth=800&amp;windowHeight=600","Map")</f>
        <v>Map</v>
      </c>
      <c r="O282" s="2" t="str">
        <f>HYPERLINK("http://www.windermere.com/index.cfm?fuseaction=Listing.MultiImageViewer&amp;ListingID=19288456&amp;ln=28008189&amp;pub_mls=1","More")</f>
        <v>More</v>
      </c>
      <c r="P282" t="s">
        <v>44</v>
      </c>
      <c r="AI282" t="s">
        <v>66</v>
      </c>
      <c r="AJ282">
        <v>98107</v>
      </c>
      <c r="AS282" t="s">
        <v>778</v>
      </c>
      <c r="AT282">
        <v>19288456</v>
      </c>
      <c r="AU282" s="10">
        <v>39495</v>
      </c>
      <c r="BB282" t="s">
        <v>902</v>
      </c>
      <c r="BC282" s="6">
        <v>39475</v>
      </c>
      <c r="BG282">
        <v>20</v>
      </c>
      <c r="BH282" s="15">
        <f t="shared" ca="1" si="4"/>
        <v>1134</v>
      </c>
      <c r="BI282" s="15"/>
      <c r="BJ282" s="15"/>
      <c r="BK282" t="str">
        <f>B282</f>
        <v>Contingent</v>
      </c>
    </row>
    <row r="283" spans="1:63" hidden="1" x14ac:dyDescent="0.2">
      <c r="A283">
        <v>28027410</v>
      </c>
      <c r="B283" s="13" t="str">
        <f>HYPERLINK("http://www.windermere.com/index.cfm?fuseaction=Listing.ListingDetail&amp;ListingID=19375965","Subject To Inspection")</f>
        <v>Subject To Inspection</v>
      </c>
      <c r="D283" t="s">
        <v>78</v>
      </c>
      <c r="E283" t="s">
        <v>160</v>
      </c>
      <c r="F283" s="9">
        <v>459900</v>
      </c>
      <c r="G283" t="s">
        <v>161</v>
      </c>
      <c r="H283" s="1">
        <v>1950</v>
      </c>
      <c r="I283">
        <v>3880</v>
      </c>
      <c r="J283">
        <v>3</v>
      </c>
      <c r="K283">
        <v>1.75</v>
      </c>
      <c r="M283" s="2" t="str">
        <f>HYPERLINK("http://www.windermere.com/index.cfm?fuseaction=Listing.MapPropertyInteractive&amp;ListingID=19375965&amp;resize=true&amp;windowWidth=800&amp;windowHeight=600","Map")</f>
        <v>Map</v>
      </c>
      <c r="O283" s="2" t="str">
        <f>HYPERLINK("http://www.windermere.com/index.cfm?fuseaction=Listing.MultiImageViewer&amp;ListingID=19375965&amp;ln=28027410&amp;pub_mls=1","More")</f>
        <v>More</v>
      </c>
      <c r="AI283" t="s">
        <v>66</v>
      </c>
      <c r="AJ283">
        <v>98117</v>
      </c>
      <c r="AS283" t="s">
        <v>273</v>
      </c>
      <c r="AT283">
        <v>19375965</v>
      </c>
      <c r="AU283" s="10">
        <v>39495</v>
      </c>
      <c r="BB283" t="s">
        <v>902</v>
      </c>
      <c r="BC283" s="6">
        <v>39493</v>
      </c>
      <c r="BD283">
        <v>3</v>
      </c>
      <c r="BE283" t="s">
        <v>1374</v>
      </c>
      <c r="BF283" t="s">
        <v>1276</v>
      </c>
      <c r="BG283">
        <v>2</v>
      </c>
      <c r="BH283" s="15">
        <f t="shared" ca="1" si="4"/>
        <v>1116</v>
      </c>
      <c r="BI283" s="15"/>
      <c r="BJ283" s="15"/>
      <c r="BK283" t="str">
        <f>B283</f>
        <v>Subject To Inspection</v>
      </c>
    </row>
    <row r="284" spans="1:63" hidden="1" x14ac:dyDescent="0.2">
      <c r="A284">
        <v>27194855</v>
      </c>
      <c r="B284" s="2" t="str">
        <f>HYPERLINK("http://www.windermere.com/index.cfm?fuseaction=Listing.ListingDetail&amp;ListingID=18892582","Active")</f>
        <v>Active</v>
      </c>
      <c r="D284" t="s">
        <v>100</v>
      </c>
      <c r="E284" t="s">
        <v>783</v>
      </c>
      <c r="F284" s="16">
        <v>447950</v>
      </c>
      <c r="G284" t="s">
        <v>147</v>
      </c>
      <c r="H284" s="1">
        <v>1683</v>
      </c>
      <c r="J284">
        <v>3</v>
      </c>
      <c r="K284">
        <v>2.25</v>
      </c>
      <c r="M284" s="2" t="str">
        <f>HYPERLINK("http://www.windermere.com/index.cfm?fuseaction=Listing.MapPropertyInteractive&amp;ListingID=18892582&amp;resize=true&amp;windowWidth=800&amp;windowHeight=600","Map")</f>
        <v>Map</v>
      </c>
      <c r="O284" s="2" t="str">
        <f>HYPERLINK("http://www.windermere.com/index.cfm?fuseaction=Listing.MultiImageViewer&amp;ListingID=18892582&amp;ln=27194855&amp;pub_mls=1","More")</f>
        <v>More</v>
      </c>
      <c r="P284" t="s">
        <v>44</v>
      </c>
      <c r="AI284" t="s">
        <v>66</v>
      </c>
      <c r="AJ284">
        <v>98103</v>
      </c>
      <c r="AS284" t="s">
        <v>784</v>
      </c>
      <c r="AT284">
        <v>18892582</v>
      </c>
      <c r="AU284" s="10">
        <v>39495</v>
      </c>
      <c r="BB284" t="s">
        <v>902</v>
      </c>
      <c r="BC284" s="6">
        <v>39386</v>
      </c>
      <c r="BG284">
        <v>109</v>
      </c>
      <c r="BH284" s="15">
        <f t="shared" ca="1" si="4"/>
        <v>1223</v>
      </c>
      <c r="BI284" s="15"/>
      <c r="BJ284" s="15"/>
    </row>
    <row r="285" spans="1:63" hidden="1" x14ac:dyDescent="0.2">
      <c r="A285">
        <v>27197546</v>
      </c>
      <c r="B285" s="2" t="str">
        <f>HYPERLINK("http://www.windermere.com/index.cfm?fuseaction=Listing.ListingDetail&amp;ListingID=18918430","Active")</f>
        <v>Active</v>
      </c>
      <c r="D285" t="s">
        <v>63</v>
      </c>
      <c r="E285" t="s">
        <v>781</v>
      </c>
      <c r="F285" s="16">
        <v>409950</v>
      </c>
      <c r="G285" t="s">
        <v>239</v>
      </c>
      <c r="H285" s="1">
        <v>1490</v>
      </c>
      <c r="J285">
        <v>3</v>
      </c>
      <c r="K285">
        <v>2.5</v>
      </c>
      <c r="M285" s="2" t="str">
        <f>HYPERLINK("http://www.windermere.com/index.cfm?fuseaction=Listing.MapPropertyInteractive&amp;ListingID=18918430&amp;resize=true&amp;windowWidth=800&amp;windowHeight=600","Map")</f>
        <v>Map</v>
      </c>
      <c r="O285" s="2" t="str">
        <f>HYPERLINK("http://www.windermere.com/index.cfm?fuseaction=Listing.MultiImageViewer&amp;ListingID=18918430&amp;ln=27197546&amp;pub_mls=1","More")</f>
        <v>More</v>
      </c>
      <c r="P285" t="s">
        <v>44</v>
      </c>
      <c r="AI285" t="s">
        <v>66</v>
      </c>
      <c r="AJ285">
        <v>98107</v>
      </c>
      <c r="AS285" t="s">
        <v>782</v>
      </c>
      <c r="AT285">
        <v>18918430</v>
      </c>
      <c r="AU285" s="10">
        <v>39495</v>
      </c>
      <c r="BB285" t="s">
        <v>902</v>
      </c>
      <c r="BC285" s="6">
        <v>39391</v>
      </c>
      <c r="BG285">
        <v>104</v>
      </c>
      <c r="BH285" s="15">
        <f t="shared" ca="1" si="4"/>
        <v>1218</v>
      </c>
      <c r="BI285" s="15"/>
      <c r="BJ285" s="15"/>
    </row>
    <row r="286" spans="1:63" hidden="1" x14ac:dyDescent="0.2">
      <c r="A286">
        <v>28017697</v>
      </c>
      <c r="B286" s="2" t="str">
        <f>HYPERLINK("http://www.windermere.com/index.cfm?fuseaction=Listing.ListingDetail&amp;ListingID=19295722","Active")</f>
        <v>Active</v>
      </c>
      <c r="D286" t="s">
        <v>60</v>
      </c>
      <c r="E286" t="s">
        <v>779</v>
      </c>
      <c r="F286" s="9">
        <v>459950</v>
      </c>
      <c r="G286" t="s">
        <v>233</v>
      </c>
      <c r="H286" s="1">
        <v>1900</v>
      </c>
      <c r="I286">
        <v>5164</v>
      </c>
      <c r="J286">
        <v>4</v>
      </c>
      <c r="K286">
        <v>2</v>
      </c>
      <c r="M286" s="2" t="str">
        <f>HYPERLINK("http://www.windermere.com/index.cfm?fuseaction=Listing.MapPropertyInteractive&amp;ListingID=19295722&amp;resize=true&amp;windowWidth=800&amp;windowHeight=600","Map")</f>
        <v>Map</v>
      </c>
      <c r="O286" s="2" t="str">
        <f>HYPERLINK("http://www.windermere.com/index.cfm?fuseaction=Listing.MultiImageViewer&amp;ListingID=19295722&amp;ln=28017697&amp;pub_mls=1","More")</f>
        <v>More</v>
      </c>
      <c r="P286" t="s">
        <v>44</v>
      </c>
      <c r="AI286" t="s">
        <v>66</v>
      </c>
      <c r="AJ286">
        <v>98103</v>
      </c>
      <c r="AS286" t="s">
        <v>780</v>
      </c>
      <c r="AT286">
        <v>19295722</v>
      </c>
      <c r="AU286" s="10">
        <v>39495</v>
      </c>
      <c r="BB286" t="s">
        <v>902</v>
      </c>
      <c r="BC286" s="6">
        <v>39477</v>
      </c>
      <c r="BG286">
        <v>18</v>
      </c>
      <c r="BH286" s="15">
        <f t="shared" ca="1" si="4"/>
        <v>1132</v>
      </c>
      <c r="BI286" s="15"/>
      <c r="BJ286" s="15"/>
    </row>
    <row r="287" spans="1:63" hidden="1" x14ac:dyDescent="0.2">
      <c r="A287">
        <v>28028559</v>
      </c>
      <c r="B287" s="2" t="str">
        <f>HYPERLINK("http://www.windermere.com/index.cfm?fuseaction=Listing.ListingDetail&amp;ListingID=19383016","Active")</f>
        <v>Active</v>
      </c>
      <c r="D287" t="s">
        <v>60</v>
      </c>
      <c r="E287" t="s">
        <v>785</v>
      </c>
      <c r="F287" s="9">
        <v>460000</v>
      </c>
      <c r="G287" t="s">
        <v>786</v>
      </c>
      <c r="J287">
        <v>3</v>
      </c>
      <c r="K287">
        <v>2.5</v>
      </c>
      <c r="M287" s="2" t="str">
        <f>HYPERLINK("http://www.windermere.com/index.cfm?fuseaction=Listing.MapPropertyInteractive&amp;ListingID=19383016&amp;resize=true&amp;windowWidth=800&amp;windowHeight=600","Map")</f>
        <v>Map</v>
      </c>
      <c r="O287" s="2" t="str">
        <f>HYPERLINK("http://www.windermere.com/index.cfm?fuseaction=Listing.MultiImageViewer&amp;ListingID=19383016&amp;ln=28028559&amp;pub_mls=1","More")</f>
        <v>More</v>
      </c>
      <c r="P287" t="s">
        <v>44</v>
      </c>
      <c r="AI287" t="s">
        <v>66</v>
      </c>
      <c r="AJ287">
        <v>98103</v>
      </c>
      <c r="AS287" t="s">
        <v>787</v>
      </c>
      <c r="AT287">
        <v>19383016</v>
      </c>
      <c r="AU287" s="10">
        <v>39495</v>
      </c>
      <c r="BB287" t="s">
        <v>902</v>
      </c>
      <c r="BC287" s="6">
        <v>39494</v>
      </c>
      <c r="BG287">
        <v>1</v>
      </c>
      <c r="BH287" s="15">
        <f t="shared" ca="1" si="4"/>
        <v>1115</v>
      </c>
      <c r="BI287" s="15"/>
      <c r="BJ287" s="15"/>
    </row>
    <row r="288" spans="1:63" hidden="1" x14ac:dyDescent="0.2">
      <c r="A288">
        <v>28026521</v>
      </c>
      <c r="B288" s="13" t="str">
        <f>HYPERLINK("http://www.windermere.com/index.cfm?fuseaction=Listing.ListingDetail&amp;ListingID=19365702","Subject To Inspection")</f>
        <v>Subject To Inspection</v>
      </c>
      <c r="D288" t="s">
        <v>109</v>
      </c>
      <c r="E288" t="s">
        <v>788</v>
      </c>
      <c r="F288" s="9">
        <v>464950</v>
      </c>
      <c r="G288" t="s">
        <v>239</v>
      </c>
      <c r="J288">
        <v>3</v>
      </c>
      <c r="K288">
        <v>2.5</v>
      </c>
      <c r="M288" s="2" t="str">
        <f>HYPERLINK("http://www.windermere.com/index.cfm?fuseaction=Listing.MapPropertyInteractive&amp;ListingID=19365702&amp;resize=true&amp;windowWidth=800&amp;windowHeight=600","Map")</f>
        <v>Map</v>
      </c>
      <c r="O288" s="2" t="str">
        <f>HYPERLINK("http://www.windermere.com/index.cfm?fuseaction=viewGallery.Home&amp;customTourID=207552&amp;wvt=0","More")</f>
        <v>More</v>
      </c>
      <c r="P288" t="s">
        <v>44</v>
      </c>
      <c r="AI288" t="s">
        <v>66</v>
      </c>
      <c r="AJ288">
        <v>98103</v>
      </c>
      <c r="AS288" t="s">
        <v>789</v>
      </c>
      <c r="AT288">
        <v>19365702</v>
      </c>
      <c r="AU288" s="10">
        <v>39495</v>
      </c>
      <c r="BB288" t="s">
        <v>902</v>
      </c>
      <c r="BC288" s="6">
        <v>39491</v>
      </c>
      <c r="BG288">
        <v>4</v>
      </c>
      <c r="BH288" s="15">
        <f t="shared" ca="1" si="4"/>
        <v>1118</v>
      </c>
      <c r="BI288" s="15"/>
      <c r="BJ288" s="15"/>
    </row>
    <row r="289" spans="1:63" hidden="1" x14ac:dyDescent="0.2">
      <c r="A289">
        <v>27124334</v>
      </c>
      <c r="B289" s="2" t="str">
        <f>HYPERLINK("http://www.windermere.com/index.cfm?fuseaction=Listing.ListingDetail&amp;ListingID=18293706","Active")</f>
        <v>Active</v>
      </c>
      <c r="D289" t="s">
        <v>194</v>
      </c>
      <c r="E289" t="s">
        <v>1076</v>
      </c>
      <c r="F289" s="9">
        <v>465000</v>
      </c>
      <c r="G289" t="s">
        <v>664</v>
      </c>
      <c r="H289" s="1">
        <v>1570</v>
      </c>
      <c r="J289">
        <v>3</v>
      </c>
      <c r="K289">
        <v>2.5</v>
      </c>
      <c r="M289" s="2" t="str">
        <f>HYPERLINK("http://www.windermere.com/index.cfm?fuseaction=Listing.MapPropertyInteractive&amp;ListingID=18293706&amp;resize=true&amp;windowWidth=800&amp;windowHeight=600","Map")</f>
        <v>Map</v>
      </c>
      <c r="O289" s="2" t="str">
        <f>HYPERLINK("http://www.windermere.com/index.cfm?fuseaction=viewGallery.Home&amp;customTourID=185883&amp;wvt=0","More")</f>
        <v>More</v>
      </c>
      <c r="AI289" t="s">
        <v>66</v>
      </c>
      <c r="AJ289">
        <v>98115</v>
      </c>
      <c r="AS289" t="s">
        <v>1077</v>
      </c>
      <c r="AT289">
        <v>18293706</v>
      </c>
      <c r="AU289" s="10">
        <v>39495</v>
      </c>
      <c r="BB289" t="s">
        <v>902</v>
      </c>
      <c r="BC289" s="6">
        <v>39277</v>
      </c>
      <c r="BD289">
        <v>1</v>
      </c>
      <c r="BE289" s="5" t="s">
        <v>1247</v>
      </c>
      <c r="BG289">
        <v>218</v>
      </c>
      <c r="BH289" s="15">
        <f t="shared" ca="1" si="4"/>
        <v>1332</v>
      </c>
      <c r="BI289" s="15"/>
      <c r="BJ289" s="15"/>
    </row>
    <row r="290" spans="1:63" hidden="1" x14ac:dyDescent="0.2">
      <c r="A290">
        <v>27190700</v>
      </c>
      <c r="B290" s="2" t="str">
        <f>HYPERLINK("http://www.windermere.com/index.cfm?fuseaction=Listing.ListingDetail&amp;ListingID=19298354","Active")</f>
        <v>Active</v>
      </c>
      <c r="D290" t="s">
        <v>109</v>
      </c>
      <c r="E290" t="s">
        <v>790</v>
      </c>
      <c r="F290" s="9">
        <v>465000</v>
      </c>
      <c r="G290" t="s">
        <v>180</v>
      </c>
      <c r="I290">
        <v>4465</v>
      </c>
      <c r="J290">
        <v>4</v>
      </c>
      <c r="K290">
        <v>1.75</v>
      </c>
      <c r="M290" s="2" t="str">
        <f>HYPERLINK("http://www.windermere.com/index.cfm?fuseaction=Listing.MapPropertyInteractive&amp;ListingID=19298354&amp;resize=true&amp;windowWidth=800&amp;windowHeight=600","Map")</f>
        <v>Map</v>
      </c>
      <c r="O290" s="2" t="str">
        <f>HYPERLINK("http://www.windermere.com/index.cfm?fuseaction=Listing.MultiImageViewer&amp;ListingID=19298354&amp;ln=27190700&amp;pub_mls=1","More")</f>
        <v>More</v>
      </c>
      <c r="P290" t="s">
        <v>44</v>
      </c>
      <c r="AI290" t="s">
        <v>66</v>
      </c>
      <c r="AJ290">
        <v>98105</v>
      </c>
      <c r="AS290" t="s">
        <v>791</v>
      </c>
      <c r="AT290">
        <v>19298354</v>
      </c>
      <c r="AU290" s="10">
        <v>39495</v>
      </c>
      <c r="BB290" t="s">
        <v>902</v>
      </c>
      <c r="BC290" s="6">
        <v>39378</v>
      </c>
      <c r="BG290">
        <v>117</v>
      </c>
      <c r="BH290" s="15">
        <f t="shared" ca="1" si="4"/>
        <v>1231</v>
      </c>
      <c r="BI290" s="15"/>
      <c r="BJ290" s="15"/>
    </row>
    <row r="291" spans="1:63" hidden="1" x14ac:dyDescent="0.2">
      <c r="A291">
        <v>27192222</v>
      </c>
      <c r="B291" s="2" t="str">
        <f>HYPERLINK("http://www.windermere.com/index.cfm?fuseaction=Listing.ListingDetail&amp;ListingID=18867060","Active")</f>
        <v>Active</v>
      </c>
      <c r="D291" t="s">
        <v>60</v>
      </c>
      <c r="E291" t="s">
        <v>165</v>
      </c>
      <c r="F291" s="11">
        <v>459000</v>
      </c>
      <c r="G291" t="s">
        <v>154</v>
      </c>
      <c r="H291" s="1">
        <v>1860</v>
      </c>
      <c r="I291">
        <v>4080</v>
      </c>
      <c r="J291">
        <v>3</v>
      </c>
      <c r="K291">
        <v>1</v>
      </c>
      <c r="M291" s="2" t="str">
        <f>HYPERLINK("http://www.windermere.com/index.cfm?fuseaction=Listing.MapPropertyInteractive&amp;ListingID=18867060&amp;resize=true&amp;windowWidth=800&amp;windowHeight=600","Map")</f>
        <v>Map</v>
      </c>
      <c r="O291" s="2" t="str">
        <f>HYPERLINK("http://www.windermere.com/index.cfm?fuseaction=Listing.MultiImageViewer&amp;ListingID=18867060&amp;ln=27192222&amp;pub_mls=1","More")</f>
        <v>More</v>
      </c>
      <c r="P291" t="s">
        <v>44</v>
      </c>
      <c r="AI291" t="s">
        <v>66</v>
      </c>
      <c r="AJ291">
        <v>98103</v>
      </c>
      <c r="AS291" t="s">
        <v>792</v>
      </c>
      <c r="AT291">
        <v>18867060</v>
      </c>
      <c r="AU291" s="10">
        <v>39495</v>
      </c>
      <c r="BB291" t="s">
        <v>902</v>
      </c>
      <c r="BC291" s="6">
        <v>39380</v>
      </c>
      <c r="BG291">
        <v>115</v>
      </c>
      <c r="BH291" s="15">
        <f t="shared" ca="1" si="4"/>
        <v>1229</v>
      </c>
      <c r="BI291" s="15"/>
      <c r="BJ291" s="15"/>
    </row>
    <row r="292" spans="1:63" hidden="1" x14ac:dyDescent="0.2">
      <c r="A292">
        <v>27198830</v>
      </c>
      <c r="B292" s="2" t="str">
        <f>HYPERLINK("http://www.windermere.com/index.cfm?fuseaction=Listing.ListingDetail&amp;ListingID=18930083","Active")</f>
        <v>Active</v>
      </c>
      <c r="D292" t="s">
        <v>63</v>
      </c>
      <c r="E292" t="s">
        <v>793</v>
      </c>
      <c r="F292" s="9">
        <v>465000</v>
      </c>
      <c r="G292" t="s">
        <v>170</v>
      </c>
      <c r="H292" s="1">
        <v>1950</v>
      </c>
      <c r="I292">
        <v>3844</v>
      </c>
      <c r="J292">
        <v>4</v>
      </c>
      <c r="K292">
        <v>1.75</v>
      </c>
      <c r="M292" s="2" t="str">
        <f>HYPERLINK("http://www.windermere.com/index.cfm?fuseaction=Listing.MapPropertyInteractive&amp;ListingID=18930083&amp;resize=true&amp;windowWidth=800&amp;windowHeight=600","Map")</f>
        <v>Map</v>
      </c>
      <c r="O292" s="2" t="str">
        <f>HYPERLINK("http://www.windermere.com/index.cfm?fuseaction=Listing.MultiImageViewer&amp;ListingID=18930083&amp;ln=27198830&amp;pub_mls=1","More")</f>
        <v>More</v>
      </c>
      <c r="AI292" t="s">
        <v>66</v>
      </c>
      <c r="AJ292">
        <v>98133</v>
      </c>
      <c r="AS292" t="s">
        <v>794</v>
      </c>
      <c r="AT292">
        <v>18930083</v>
      </c>
      <c r="AU292" s="10">
        <v>39495</v>
      </c>
      <c r="BB292" t="s">
        <v>902</v>
      </c>
      <c r="BC292" s="6">
        <v>39393</v>
      </c>
      <c r="BG292">
        <v>102</v>
      </c>
      <c r="BH292" s="15">
        <f t="shared" ca="1" si="4"/>
        <v>1216</v>
      </c>
      <c r="BI292" s="15"/>
      <c r="BJ292" s="15"/>
    </row>
    <row r="293" spans="1:63" hidden="1" x14ac:dyDescent="0.2">
      <c r="A293">
        <v>28011759</v>
      </c>
      <c r="B293" s="2" t="str">
        <f>HYPERLINK("http://www.windermere.com/index.cfm?fuseaction=Listing.ListingDetail&amp;ListingID=19247940","Active")</f>
        <v>Active</v>
      </c>
      <c r="D293" t="s">
        <v>70</v>
      </c>
      <c r="E293" t="s">
        <v>796</v>
      </c>
      <c r="F293" s="9">
        <v>465000</v>
      </c>
      <c r="G293" t="s">
        <v>164</v>
      </c>
      <c r="H293" s="1">
        <v>2120</v>
      </c>
      <c r="I293">
        <v>4000</v>
      </c>
      <c r="J293">
        <v>3</v>
      </c>
      <c r="K293">
        <v>1.75</v>
      </c>
      <c r="M293" s="2" t="str">
        <f>HYPERLINK("http://www.windermere.com/index.cfm?fuseaction=Listing.MapPropertyInteractive&amp;ListingID=19247940&amp;resize=true&amp;windowWidth=800&amp;windowHeight=600","Map")</f>
        <v>Map</v>
      </c>
      <c r="O293" s="2" t="str">
        <f>HYPERLINK("http://www.windermere.com/index.cfm?fuseaction=Listing.MultiImageViewer&amp;ListingID=19247940&amp;ln=28011759&amp;pub_mls=1","More")</f>
        <v>More</v>
      </c>
      <c r="P293" t="s">
        <v>44</v>
      </c>
      <c r="AI293" t="s">
        <v>66</v>
      </c>
      <c r="AJ293">
        <v>98133</v>
      </c>
      <c r="AS293" t="s">
        <v>797</v>
      </c>
      <c r="AT293">
        <v>19247940</v>
      </c>
      <c r="AU293" s="10">
        <v>39495</v>
      </c>
      <c r="BB293" t="s">
        <v>902</v>
      </c>
      <c r="BC293" s="6">
        <v>39465</v>
      </c>
      <c r="BG293">
        <v>30</v>
      </c>
      <c r="BH293" s="15">
        <f t="shared" ca="1" si="4"/>
        <v>1144</v>
      </c>
      <c r="BI293" s="15"/>
      <c r="BJ293" s="15"/>
    </row>
    <row r="294" spans="1:63" hidden="1" x14ac:dyDescent="0.2">
      <c r="A294">
        <v>28015172</v>
      </c>
      <c r="B294" s="2" t="str">
        <f>HYPERLINK("http://www.windermere.com/index.cfm?fuseaction=Listing.ListingDetail&amp;ListingID=19278049","Active")</f>
        <v>Active</v>
      </c>
      <c r="D294" t="s">
        <v>70</v>
      </c>
      <c r="E294" t="s">
        <v>155</v>
      </c>
      <c r="F294" s="9">
        <v>465000</v>
      </c>
      <c r="G294" t="s">
        <v>156</v>
      </c>
      <c r="H294" s="1">
        <v>2280</v>
      </c>
      <c r="I294">
        <v>7020</v>
      </c>
      <c r="J294">
        <v>3</v>
      </c>
      <c r="K294">
        <v>2.5</v>
      </c>
      <c r="M294" s="2" t="str">
        <f>HYPERLINK("http://www.windermere.com/index.cfm?fuseaction=Listing.MapPropertyInteractive&amp;ListingID=19278049&amp;resize=true&amp;windowWidth=800&amp;windowHeight=600","Map")</f>
        <v>Map</v>
      </c>
      <c r="O294" s="2" t="str">
        <f>HYPERLINK("http://www.windermere.com/index.cfm?fuseaction=Listing.MultiImageViewer&amp;ListingID=19278049&amp;ln=28015172&amp;pub_mls=1","More")</f>
        <v>More</v>
      </c>
      <c r="P294" t="s">
        <v>44</v>
      </c>
      <c r="AI294" t="s">
        <v>66</v>
      </c>
      <c r="AJ294">
        <v>98177</v>
      </c>
      <c r="AS294" t="s">
        <v>795</v>
      </c>
      <c r="AT294">
        <v>19278049</v>
      </c>
      <c r="AU294" s="10">
        <v>39495</v>
      </c>
      <c r="BB294" t="s">
        <v>902</v>
      </c>
      <c r="BC294" s="6">
        <v>39472</v>
      </c>
      <c r="BG294">
        <v>23</v>
      </c>
      <c r="BH294" s="15">
        <f t="shared" ca="1" si="4"/>
        <v>1137</v>
      </c>
      <c r="BI294" s="15"/>
      <c r="BJ294" s="15"/>
    </row>
    <row r="295" spans="1:63" hidden="1" x14ac:dyDescent="0.2">
      <c r="A295">
        <v>27210470</v>
      </c>
      <c r="B295" s="2" t="str">
        <f>HYPERLINK("http://www.windermere.com/index.cfm?fuseaction=Listing.ListingDetail&amp;ListingID=19064728","Active")</f>
        <v>Active</v>
      </c>
      <c r="D295" t="s">
        <v>109</v>
      </c>
      <c r="E295" t="s">
        <v>806</v>
      </c>
      <c r="F295" s="16">
        <v>449950</v>
      </c>
      <c r="G295" t="s">
        <v>147</v>
      </c>
      <c r="H295" s="1">
        <v>1357</v>
      </c>
      <c r="J295">
        <v>3</v>
      </c>
      <c r="K295">
        <v>2.25</v>
      </c>
      <c r="M295" s="2" t="str">
        <f>HYPERLINK("http://www.windermere.com/index.cfm?fuseaction=Listing.MapPropertyInteractive&amp;ListingID=19064728&amp;resize=true&amp;windowWidth=800&amp;windowHeight=600","Map")</f>
        <v>Map</v>
      </c>
      <c r="O295" s="2" t="str">
        <f>HYPERLINK("http://www.windermere.com/index.cfm?fuseaction=Listing.MultiImageViewer&amp;ListingID=19064728&amp;ln=27210470&amp;pub_mls=1","More")</f>
        <v>More</v>
      </c>
      <c r="AI295" t="s">
        <v>66</v>
      </c>
      <c r="AJ295">
        <v>98103</v>
      </c>
      <c r="AS295" t="s">
        <v>807</v>
      </c>
      <c r="AT295">
        <v>19064728</v>
      </c>
      <c r="AU295" s="10">
        <v>39495</v>
      </c>
      <c r="BB295" t="s">
        <v>902</v>
      </c>
      <c r="BC295" s="6">
        <v>39423</v>
      </c>
      <c r="BG295">
        <v>72</v>
      </c>
      <c r="BH295" s="15">
        <f t="shared" ca="1" si="4"/>
        <v>1186</v>
      </c>
      <c r="BI295" s="15"/>
      <c r="BJ295" s="15"/>
    </row>
    <row r="296" spans="1:63" hidden="1" x14ac:dyDescent="0.2">
      <c r="A296">
        <v>28011932</v>
      </c>
      <c r="B296" s="2" t="str">
        <f>HYPERLINK("http://www.windermere.com/index.cfm?fuseaction=Listing.ListingDetail&amp;ListingID=19248438","Active")</f>
        <v>Active</v>
      </c>
      <c r="D296" t="s">
        <v>63</v>
      </c>
      <c r="E296" t="s">
        <v>800</v>
      </c>
      <c r="F296" s="11">
        <v>449000</v>
      </c>
      <c r="G296" t="s">
        <v>147</v>
      </c>
      <c r="H296" s="1">
        <v>1391</v>
      </c>
      <c r="J296">
        <v>2</v>
      </c>
      <c r="K296">
        <v>1.5</v>
      </c>
      <c r="M296" s="2" t="str">
        <f>HYPERLINK("http://www.windermere.com/index.cfm?fuseaction=Listing.MapPropertyInteractive&amp;ListingID=19248438&amp;resize=true&amp;windowWidth=800&amp;windowHeight=600","Map")</f>
        <v>Map</v>
      </c>
      <c r="O296" s="2" t="str">
        <f>HYPERLINK("http://www.windermere.com/index.cfm?fuseaction=Listing.MultiImageViewer&amp;ListingID=19248438&amp;ln=28011932&amp;pub_mls=1","More")</f>
        <v>More</v>
      </c>
      <c r="P296" t="s">
        <v>44</v>
      </c>
      <c r="AI296" t="s">
        <v>66</v>
      </c>
      <c r="AJ296">
        <v>98107</v>
      </c>
      <c r="AS296" t="s">
        <v>801</v>
      </c>
      <c r="AT296">
        <v>19248438</v>
      </c>
      <c r="AU296" s="10">
        <v>39495</v>
      </c>
      <c r="BB296" t="s">
        <v>902</v>
      </c>
      <c r="BC296" s="6">
        <v>39465</v>
      </c>
      <c r="BG296">
        <v>30</v>
      </c>
      <c r="BH296" s="15">
        <f t="shared" ca="1" si="4"/>
        <v>1144</v>
      </c>
      <c r="BI296" s="15"/>
      <c r="BJ296" s="15"/>
    </row>
    <row r="297" spans="1:63" hidden="1" x14ac:dyDescent="0.2">
      <c r="A297">
        <v>28011933</v>
      </c>
      <c r="B297" s="2" t="str">
        <f>HYPERLINK("http://www.windermere.com/index.cfm?fuseaction=Listing.ListingDetail&amp;ListingID=19248441","Active")</f>
        <v>Active</v>
      </c>
      <c r="D297" t="s">
        <v>63</v>
      </c>
      <c r="E297" t="s">
        <v>798</v>
      </c>
      <c r="F297" s="11">
        <v>449000</v>
      </c>
      <c r="G297" t="s">
        <v>147</v>
      </c>
      <c r="H297" s="1">
        <v>1391</v>
      </c>
      <c r="J297">
        <v>2</v>
      </c>
      <c r="K297">
        <v>1.5</v>
      </c>
      <c r="M297" s="2" t="str">
        <f>HYPERLINK("http://www.windermere.com/index.cfm?fuseaction=Listing.MapPropertyInteractive&amp;ListingID=19248441&amp;resize=true&amp;windowWidth=800&amp;windowHeight=600","Map")</f>
        <v>Map</v>
      </c>
      <c r="O297" s="2" t="str">
        <f>HYPERLINK("http://www.windermere.com/index.cfm?fuseaction=Listing.MultiImageViewer&amp;ListingID=19248441&amp;ln=28011933&amp;pub_mls=1","More")</f>
        <v>More</v>
      </c>
      <c r="P297" t="s">
        <v>44</v>
      </c>
      <c r="AI297" t="s">
        <v>66</v>
      </c>
      <c r="AJ297">
        <v>98107</v>
      </c>
      <c r="AS297" t="s">
        <v>799</v>
      </c>
      <c r="AT297">
        <v>19248441</v>
      </c>
      <c r="AU297" s="10">
        <v>39495</v>
      </c>
      <c r="BB297" t="s">
        <v>902</v>
      </c>
      <c r="BC297" s="6">
        <v>39465</v>
      </c>
      <c r="BG297">
        <v>30</v>
      </c>
      <c r="BH297" s="15">
        <f t="shared" ca="1" si="4"/>
        <v>1144</v>
      </c>
      <c r="BI297" s="15"/>
      <c r="BJ297" s="15"/>
    </row>
    <row r="298" spans="1:63" hidden="1" x14ac:dyDescent="0.2">
      <c r="A298">
        <v>28011938</v>
      </c>
      <c r="B298" s="2" t="str">
        <f>HYPERLINK("http://www.windermere.com/index.cfm?fuseaction=Listing.ListingDetail&amp;ListingID=19248416","Active")</f>
        <v>Active</v>
      </c>
      <c r="D298" t="s">
        <v>63</v>
      </c>
      <c r="E298" t="s">
        <v>802</v>
      </c>
      <c r="F298" s="11">
        <v>449000</v>
      </c>
      <c r="G298" t="s">
        <v>147</v>
      </c>
      <c r="H298" s="1">
        <v>1391</v>
      </c>
      <c r="J298">
        <v>2</v>
      </c>
      <c r="K298">
        <v>1.5</v>
      </c>
      <c r="M298" s="2" t="str">
        <f>HYPERLINK("http://www.windermere.com/index.cfm?fuseaction=Listing.MapPropertyInteractive&amp;ListingID=19248416&amp;resize=true&amp;windowWidth=800&amp;windowHeight=600","Map")</f>
        <v>Map</v>
      </c>
      <c r="O298" s="2" t="str">
        <f>HYPERLINK("http://www.windermere.com/index.cfm?fuseaction=Listing.MultiImageViewer&amp;ListingID=19248416&amp;ln=28011938&amp;pub_mls=1","More")</f>
        <v>More</v>
      </c>
      <c r="P298" t="s">
        <v>44</v>
      </c>
      <c r="AI298" t="s">
        <v>66</v>
      </c>
      <c r="AJ298">
        <v>98107</v>
      </c>
      <c r="AS298" t="s">
        <v>803</v>
      </c>
      <c r="AT298">
        <v>19248416</v>
      </c>
      <c r="AU298" s="10">
        <v>39495</v>
      </c>
      <c r="BB298" t="s">
        <v>902</v>
      </c>
      <c r="BC298" s="6">
        <v>39465</v>
      </c>
      <c r="BG298">
        <v>30</v>
      </c>
      <c r="BH298" s="15">
        <f t="shared" ca="1" si="4"/>
        <v>1144</v>
      </c>
      <c r="BI298" s="15"/>
      <c r="BJ298" s="15"/>
    </row>
    <row r="299" spans="1:63" hidden="1" x14ac:dyDescent="0.2">
      <c r="A299">
        <v>28011942</v>
      </c>
      <c r="B299" s="2" t="str">
        <f>HYPERLINK("http://www.windermere.com/index.cfm?fuseaction=Listing.ListingDetail&amp;ListingID=19248425","Active")</f>
        <v>Active</v>
      </c>
      <c r="D299" t="s">
        <v>63</v>
      </c>
      <c r="E299" t="s">
        <v>804</v>
      </c>
      <c r="F299" s="11">
        <v>449000</v>
      </c>
      <c r="G299" t="s">
        <v>147</v>
      </c>
      <c r="H299" s="1">
        <v>1391</v>
      </c>
      <c r="J299">
        <v>2</v>
      </c>
      <c r="K299">
        <v>1.5</v>
      </c>
      <c r="M299" s="2" t="str">
        <f>HYPERLINK("http://www.windermere.com/index.cfm?fuseaction=Listing.MapPropertyInteractive&amp;ListingID=19248425&amp;resize=true&amp;windowWidth=800&amp;windowHeight=600","Map")</f>
        <v>Map</v>
      </c>
      <c r="O299" s="2" t="str">
        <f>HYPERLINK("http://www.windermere.com/index.cfm?fuseaction=Listing.MultiImageViewer&amp;ListingID=19248425&amp;ln=28011942&amp;pub_mls=1","More")</f>
        <v>More</v>
      </c>
      <c r="P299" t="s">
        <v>44</v>
      </c>
      <c r="AI299" t="s">
        <v>66</v>
      </c>
      <c r="AJ299">
        <v>98107</v>
      </c>
      <c r="AS299" t="s">
        <v>805</v>
      </c>
      <c r="AT299">
        <v>19248425</v>
      </c>
      <c r="AU299" s="10">
        <v>39495</v>
      </c>
      <c r="BB299" t="s">
        <v>902</v>
      </c>
      <c r="BC299" s="6">
        <v>39465</v>
      </c>
      <c r="BG299">
        <v>30</v>
      </c>
      <c r="BH299" s="15">
        <f t="shared" ca="1" si="4"/>
        <v>1144</v>
      </c>
      <c r="BI299" s="15"/>
      <c r="BJ299" s="15"/>
    </row>
    <row r="300" spans="1:63" hidden="1" x14ac:dyDescent="0.2">
      <c r="A300">
        <v>28010106</v>
      </c>
      <c r="B300" s="2" t="str">
        <f>HYPERLINK("http://www.windermere.com/index.cfm?fuseaction=Listing.ListingDetail&amp;ListingID=19241094","Active")</f>
        <v>Active</v>
      </c>
      <c r="D300" t="s">
        <v>194</v>
      </c>
      <c r="E300" t="s">
        <v>1078</v>
      </c>
      <c r="F300" s="9">
        <v>469950</v>
      </c>
      <c r="G300" t="s">
        <v>124</v>
      </c>
      <c r="H300" s="1">
        <v>1760</v>
      </c>
      <c r="I300">
        <v>6660</v>
      </c>
      <c r="J300">
        <v>2</v>
      </c>
      <c r="K300">
        <v>1</v>
      </c>
      <c r="M300" s="2" t="str">
        <f>HYPERLINK("http://www.windermere.com/index.cfm?fuseaction=Listing.MapPropertyInteractive&amp;ListingID=19241094&amp;resize=true&amp;windowWidth=800&amp;windowHeight=600","Map")</f>
        <v>Map</v>
      </c>
      <c r="O300" s="2" t="str">
        <f>HYPERLINK("http://www.windermere.com/index.cfm?fuseaction=viewGallery.Home&amp;customTourID=204488&amp;wvt=0","More")</f>
        <v>More</v>
      </c>
      <c r="P300" t="s">
        <v>44</v>
      </c>
      <c r="AI300" t="s">
        <v>66</v>
      </c>
      <c r="AJ300">
        <v>98115</v>
      </c>
      <c r="AS300" t="s">
        <v>1079</v>
      </c>
      <c r="AT300">
        <v>19241094</v>
      </c>
      <c r="AU300" s="10">
        <v>39495</v>
      </c>
      <c r="BB300" t="s">
        <v>902</v>
      </c>
      <c r="BC300" s="6">
        <v>77068</v>
      </c>
      <c r="BG300">
        <v>0</v>
      </c>
      <c r="BH300" s="15">
        <f t="shared" ca="1" si="4"/>
        <v>-36459</v>
      </c>
      <c r="BI300" s="15"/>
      <c r="BJ300" s="15"/>
    </row>
    <row r="301" spans="1:63" hidden="1" x14ac:dyDescent="0.2">
      <c r="A301">
        <v>28017596</v>
      </c>
      <c r="B301" s="2" t="str">
        <f>HYPERLINK("http://www.windermere.com/index.cfm?fuseaction=Listing.ListingDetail&amp;ListingID=19309006","Active")</f>
        <v>Active</v>
      </c>
      <c r="D301" t="s">
        <v>63</v>
      </c>
      <c r="E301" t="s">
        <v>811</v>
      </c>
      <c r="F301" s="9">
        <v>469950</v>
      </c>
      <c r="G301" t="s">
        <v>239</v>
      </c>
      <c r="H301" s="1">
        <v>1530</v>
      </c>
      <c r="J301">
        <v>3</v>
      </c>
      <c r="K301">
        <v>2.25</v>
      </c>
      <c r="M301" s="2" t="str">
        <f>HYPERLINK("http://www.windermere.com/index.cfm?fuseaction=Listing.MapPropertyInteractive&amp;ListingID=19309006&amp;resize=true&amp;windowWidth=800&amp;windowHeight=600","Map")</f>
        <v>Map</v>
      </c>
      <c r="P301" t="s">
        <v>44</v>
      </c>
      <c r="AI301" t="s">
        <v>66</v>
      </c>
      <c r="AJ301">
        <v>98107</v>
      </c>
      <c r="AS301" t="s">
        <v>812</v>
      </c>
      <c r="AT301">
        <v>19309006</v>
      </c>
      <c r="AU301" s="10">
        <v>39495</v>
      </c>
      <c r="BB301" t="s">
        <v>902</v>
      </c>
      <c r="BC301" s="6">
        <v>39479</v>
      </c>
      <c r="BG301">
        <v>16</v>
      </c>
      <c r="BH301" s="15">
        <f t="shared" ca="1" si="4"/>
        <v>1130</v>
      </c>
      <c r="BI301" s="15"/>
      <c r="BJ301" s="15"/>
    </row>
    <row r="302" spans="1:63" hidden="1" x14ac:dyDescent="0.2">
      <c r="A302">
        <v>28020826</v>
      </c>
      <c r="B302" s="2" t="str">
        <f>HYPERLINK("http://www.windermere.com/index.cfm?fuseaction=Listing.ListingDetail&amp;ListingID=19320889","Subject To Inspection")</f>
        <v>Subject To Inspection</v>
      </c>
      <c r="C302">
        <v>705</v>
      </c>
      <c r="D302" t="s">
        <v>63</v>
      </c>
      <c r="E302" t="s">
        <v>236</v>
      </c>
      <c r="F302" s="9">
        <v>469950</v>
      </c>
      <c r="G302" t="s">
        <v>237</v>
      </c>
      <c r="H302" s="1">
        <v>2380</v>
      </c>
      <c r="I302">
        <v>3960</v>
      </c>
      <c r="J302">
        <v>4</v>
      </c>
      <c r="K302">
        <v>2</v>
      </c>
      <c r="L302">
        <v>2</v>
      </c>
      <c r="M302" s="2" t="str">
        <f>HYPERLINK("http://www.windermere.com/index.cfm?fuseaction=Listing.MapPropertyInteractive&amp;ListingID=19320889&amp;resize=true&amp;windowWidth=800&amp;windowHeight=600","Map")</f>
        <v>Map</v>
      </c>
      <c r="N302" s="2" t="str">
        <f>HYPERLINK("http://locmedia.nwmls.com/DO_NOT_LINK/bigphoto/826/28020826.jpg?tsp=20080205093513","Photo")</f>
        <v>Photo</v>
      </c>
      <c r="O302" s="2" t="str">
        <f>HYPERLINK("http://www.windermere.com/index.cfm?fuseaction=viewGallery.Home&amp;customTourID=206388&amp;wvt=0","More")</f>
        <v>More</v>
      </c>
      <c r="Q302" t="s">
        <v>56</v>
      </c>
      <c r="R302" t="s">
        <v>72</v>
      </c>
      <c r="S302" t="s">
        <v>84</v>
      </c>
      <c r="T302" t="s">
        <v>77</v>
      </c>
      <c r="U302" t="s">
        <v>44</v>
      </c>
      <c r="X302" t="s">
        <v>47</v>
      </c>
      <c r="Y302" t="s">
        <v>48</v>
      </c>
      <c r="Z302" t="s">
        <v>98</v>
      </c>
      <c r="AA302" t="s">
        <v>996</v>
      </c>
      <c r="AB302">
        <v>2007</v>
      </c>
      <c r="AC302">
        <v>3531</v>
      </c>
      <c r="AD302" t="s">
        <v>997</v>
      </c>
      <c r="AE302" t="s">
        <v>112</v>
      </c>
      <c r="AF302" t="s">
        <v>114</v>
      </c>
      <c r="AG302">
        <v>47.690109</v>
      </c>
      <c r="AH302">
        <v>-122.389808</v>
      </c>
      <c r="AI302" t="s">
        <v>66</v>
      </c>
      <c r="AJ302">
        <v>98117</v>
      </c>
      <c r="AK302" t="s">
        <v>41</v>
      </c>
      <c r="AL302">
        <v>23</v>
      </c>
      <c r="AM302" t="s">
        <v>40</v>
      </c>
      <c r="AO302">
        <v>9.0999999999999998E-2</v>
      </c>
      <c r="AP302" t="s">
        <v>998</v>
      </c>
      <c r="AQ302">
        <v>534</v>
      </c>
      <c r="AR302" t="s">
        <v>89</v>
      </c>
      <c r="AS302" t="s">
        <v>272</v>
      </c>
      <c r="AT302">
        <v>19320889</v>
      </c>
      <c r="AU302" s="10">
        <v>39495</v>
      </c>
      <c r="BA302" t="s">
        <v>902</v>
      </c>
      <c r="BB302" t="s">
        <v>902</v>
      </c>
      <c r="BC302" s="6">
        <v>39482</v>
      </c>
      <c r="BG302">
        <v>13</v>
      </c>
      <c r="BH302" s="15">
        <f t="shared" ca="1" si="4"/>
        <v>1127</v>
      </c>
      <c r="BI302" s="15"/>
      <c r="BJ302" s="15"/>
      <c r="BK302" t="str">
        <f>B302</f>
        <v>Subject To Inspection</v>
      </c>
    </row>
    <row r="303" spans="1:63" hidden="1" x14ac:dyDescent="0.2">
      <c r="A303">
        <v>28022230</v>
      </c>
      <c r="B303" s="2" t="str">
        <f>HYPERLINK("http://www.windermere.com/index.cfm?fuseaction=Listing.ListingDetail&amp;ListingID=19353991","Active")</f>
        <v>Active</v>
      </c>
      <c r="D303" t="s">
        <v>63</v>
      </c>
      <c r="E303" t="s">
        <v>808</v>
      </c>
      <c r="F303" s="9">
        <v>469950</v>
      </c>
      <c r="G303" t="s">
        <v>128</v>
      </c>
      <c r="J303">
        <v>3</v>
      </c>
      <c r="K303">
        <v>3.25</v>
      </c>
      <c r="M303" s="2" t="str">
        <f>HYPERLINK("http://www.windermere.com/index.cfm?fuseaction=Listing.MapPropertyInteractive&amp;ListingID=19353991&amp;resize=true&amp;windowWidth=800&amp;windowHeight=600","Map")</f>
        <v>Map</v>
      </c>
      <c r="O303" s="2" t="str">
        <f>HYPERLINK("http://www.windermere.com/index.cfm?fuseaction=Listing.MultiImageViewer&amp;ListingID=19353991&amp;ln=28022230&amp;pub_mls=1","More")</f>
        <v>More</v>
      </c>
      <c r="P303" t="s">
        <v>44</v>
      </c>
      <c r="AI303" t="s">
        <v>66</v>
      </c>
      <c r="AJ303">
        <v>98107</v>
      </c>
      <c r="AS303" t="s">
        <v>809</v>
      </c>
      <c r="AT303">
        <v>19353991</v>
      </c>
      <c r="AU303" s="10">
        <v>39495</v>
      </c>
      <c r="BB303" t="s">
        <v>902</v>
      </c>
      <c r="BC303" s="6">
        <v>39489</v>
      </c>
      <c r="BG303">
        <v>6</v>
      </c>
      <c r="BH303" s="15">
        <f t="shared" ca="1" si="4"/>
        <v>1120</v>
      </c>
      <c r="BI303" s="15"/>
      <c r="BJ303" s="15"/>
    </row>
    <row r="304" spans="1:63" hidden="1" x14ac:dyDescent="0.2">
      <c r="A304">
        <v>28024288</v>
      </c>
      <c r="B304" s="13" t="str">
        <f>HYPERLINK("http://www.windermere.com/index.cfm?fuseaction=Listing.ListingDetail&amp;ListingID=19345067","Subject To Inspection")</f>
        <v>Subject To Inspection</v>
      </c>
      <c r="D304" t="s">
        <v>218</v>
      </c>
      <c r="E304" s="3" t="s">
        <v>1395</v>
      </c>
      <c r="F304" s="11">
        <v>429000</v>
      </c>
      <c r="G304" t="s">
        <v>135</v>
      </c>
      <c r="H304" s="1">
        <v>1560</v>
      </c>
      <c r="I304">
        <v>4500</v>
      </c>
      <c r="J304">
        <v>3</v>
      </c>
      <c r="K304">
        <v>1.75</v>
      </c>
      <c r="M304" s="2" t="str">
        <f>HYPERLINK("http://www.windermere.com/index.cfm?fuseaction=Listing.MapPropertyInteractive&amp;ListingID=19345067&amp;resize=true&amp;windowWidth=800&amp;windowHeight=600","Map")</f>
        <v>Map</v>
      </c>
      <c r="O304" s="2" t="str">
        <f>HYPERLINK("http://www.windermere.com/index.cfm?fuseaction=Listing.MultiImageViewer&amp;ListingID=19345067&amp;ln=28024288&amp;pub_mls=1","More")</f>
        <v>More</v>
      </c>
      <c r="P304" t="s">
        <v>44</v>
      </c>
      <c r="AI304" t="s">
        <v>66</v>
      </c>
      <c r="AJ304">
        <v>98105</v>
      </c>
      <c r="AS304" t="s">
        <v>810</v>
      </c>
      <c r="AT304">
        <v>19345067</v>
      </c>
      <c r="AU304" s="10">
        <v>39495</v>
      </c>
      <c r="BB304" t="s">
        <v>902</v>
      </c>
      <c r="BC304" s="6">
        <v>39487</v>
      </c>
      <c r="BG304">
        <v>8</v>
      </c>
      <c r="BH304" s="15">
        <f t="shared" ca="1" si="4"/>
        <v>1122</v>
      </c>
      <c r="BI304" s="15"/>
      <c r="BJ304" s="15"/>
    </row>
    <row r="305" spans="1:63" hidden="1" x14ac:dyDescent="0.2">
      <c r="A305">
        <v>28025011</v>
      </c>
      <c r="B305" s="2" t="str">
        <f>HYPERLINK("http://www.windermere.com/index.cfm?fuseaction=Listing.ListingDetail&amp;ListingID=19351629","Active")</f>
        <v>Active</v>
      </c>
      <c r="D305" t="s">
        <v>63</v>
      </c>
      <c r="E305" t="s">
        <v>270</v>
      </c>
      <c r="F305" s="9">
        <v>469950</v>
      </c>
      <c r="G305" t="s">
        <v>176</v>
      </c>
      <c r="H305" s="1">
        <v>1760</v>
      </c>
      <c r="I305">
        <v>4479</v>
      </c>
      <c r="J305">
        <v>2</v>
      </c>
      <c r="K305">
        <v>1</v>
      </c>
      <c r="M305" s="2" t="str">
        <f>HYPERLINK("http://www.windermere.com/index.cfm?fuseaction=Listing.MapPropertyInteractive&amp;ListingID=19351629&amp;resize=true&amp;windowWidth=800&amp;windowHeight=600","Map")</f>
        <v>Map</v>
      </c>
      <c r="O305" s="2" t="str">
        <f>HYPERLINK("http://www.windermere.com/index.cfm?fuseaction=viewGallery.Home&amp;customTourID=207287&amp;wvt=0","More")</f>
        <v>More</v>
      </c>
      <c r="AI305" t="s">
        <v>66</v>
      </c>
      <c r="AJ305">
        <v>98117</v>
      </c>
      <c r="AS305" t="s">
        <v>271</v>
      </c>
      <c r="AT305">
        <v>19351629</v>
      </c>
      <c r="AU305" s="10">
        <v>39495</v>
      </c>
      <c r="BB305" t="s">
        <v>902</v>
      </c>
      <c r="BC305" s="6">
        <v>39489</v>
      </c>
      <c r="BD305">
        <v>4</v>
      </c>
      <c r="BE305" t="s">
        <v>1272</v>
      </c>
      <c r="BF305" s="6">
        <v>39129</v>
      </c>
      <c r="BG305">
        <v>6</v>
      </c>
      <c r="BH305" s="15">
        <f t="shared" ca="1" si="4"/>
        <v>1120</v>
      </c>
      <c r="BI305" s="15"/>
      <c r="BJ305" s="15"/>
    </row>
    <row r="306" spans="1:63" hidden="1" x14ac:dyDescent="0.2">
      <c r="A306">
        <v>28028113</v>
      </c>
      <c r="B306" s="2" t="str">
        <f>HYPERLINK("http://www.windermere.com/index.cfm?fuseaction=Listing.ListingDetail&amp;ListingID=19379075","Active")</f>
        <v>Active</v>
      </c>
      <c r="D306" t="s">
        <v>204</v>
      </c>
      <c r="E306" t="s">
        <v>813</v>
      </c>
      <c r="F306" s="9">
        <v>470000</v>
      </c>
      <c r="G306" t="s">
        <v>409</v>
      </c>
      <c r="H306" s="1">
        <v>2450</v>
      </c>
      <c r="I306">
        <v>8350</v>
      </c>
      <c r="J306">
        <v>3</v>
      </c>
      <c r="K306">
        <v>1.75</v>
      </c>
      <c r="M306" s="2" t="str">
        <f>HYPERLINK("http://www.windermere.com/index.cfm?fuseaction=Listing.MapPropertyInteractive&amp;ListingID=19379075&amp;resize=true&amp;windowWidth=800&amp;windowHeight=600","Map")</f>
        <v>Map</v>
      </c>
      <c r="O306" s="2" t="str">
        <f>HYPERLINK("http://www.windermere.com/index.cfm?fuseaction=Listing.MultiImageViewer&amp;ListingID=19379075&amp;ln=28028113&amp;pub_mls=1","More")</f>
        <v>More</v>
      </c>
      <c r="P306" t="s">
        <v>44</v>
      </c>
      <c r="AI306" t="s">
        <v>66</v>
      </c>
      <c r="AJ306">
        <v>98125</v>
      </c>
      <c r="AS306" t="s">
        <v>814</v>
      </c>
      <c r="AT306">
        <v>19379075</v>
      </c>
      <c r="AU306" s="10">
        <v>39495</v>
      </c>
      <c r="BB306" t="s">
        <v>902</v>
      </c>
      <c r="BC306" s="6">
        <v>39493</v>
      </c>
      <c r="BG306">
        <v>2</v>
      </c>
      <c r="BH306" s="15">
        <f t="shared" ca="1" si="4"/>
        <v>1116</v>
      </c>
      <c r="BI306" s="15"/>
      <c r="BJ306" s="15"/>
    </row>
    <row r="307" spans="1:63" hidden="1" x14ac:dyDescent="0.2">
      <c r="A307">
        <v>27207001</v>
      </c>
      <c r="B307" s="2" t="str">
        <f>HYPERLINK("http://www.windermere.com/index.cfm?fuseaction=Listing.ListingDetail&amp;ListingID=19025633","Active")</f>
        <v>Active</v>
      </c>
      <c r="D307" t="s">
        <v>100</v>
      </c>
      <c r="E307" t="s">
        <v>823</v>
      </c>
      <c r="F307" s="11">
        <v>449950</v>
      </c>
      <c r="G307" t="s">
        <v>147</v>
      </c>
      <c r="H307" s="1">
        <v>1586</v>
      </c>
      <c r="J307">
        <v>3</v>
      </c>
      <c r="K307">
        <v>2.25</v>
      </c>
      <c r="M307" s="2" t="str">
        <f>HYPERLINK("http://www.windermere.com/index.cfm?fuseaction=Listing.MapPropertyInteractive&amp;ListingID=19025633&amp;resize=true&amp;windowWidth=800&amp;windowHeight=600","Map")</f>
        <v>Map</v>
      </c>
      <c r="O307" s="2" t="str">
        <f>HYPERLINK("http://www.windermere.com/index.cfm?fuseaction=Listing.MultiImageViewer&amp;ListingID=19025633&amp;ln=27207001&amp;pub_mls=1","More")</f>
        <v>More</v>
      </c>
      <c r="P307" t="s">
        <v>44</v>
      </c>
      <c r="AI307" t="s">
        <v>66</v>
      </c>
      <c r="AJ307">
        <v>98103</v>
      </c>
      <c r="AS307" t="s">
        <v>824</v>
      </c>
      <c r="AT307">
        <v>19025633</v>
      </c>
      <c r="AU307" s="10">
        <v>39495</v>
      </c>
      <c r="BB307" t="s">
        <v>902</v>
      </c>
      <c r="BC307" s="6">
        <v>39414</v>
      </c>
      <c r="BG307">
        <v>81</v>
      </c>
      <c r="BH307" s="15">
        <f t="shared" ca="1" si="4"/>
        <v>1195</v>
      </c>
      <c r="BI307" s="15"/>
      <c r="BJ307" s="15"/>
    </row>
    <row r="308" spans="1:63" hidden="1" x14ac:dyDescent="0.2">
      <c r="A308">
        <v>28013532</v>
      </c>
      <c r="B308" s="2" t="str">
        <f>HYPERLINK("http://www.windermere.com/index.cfm?fuseaction=Listing.ListingDetail&amp;ListingID=19262687","Active")</f>
        <v>Active</v>
      </c>
      <c r="D308" t="s">
        <v>199</v>
      </c>
      <c r="E308" t="s">
        <v>815</v>
      </c>
      <c r="F308" s="9">
        <v>475000</v>
      </c>
      <c r="G308" t="s">
        <v>156</v>
      </c>
      <c r="H308" s="1">
        <v>2740</v>
      </c>
      <c r="I308">
        <v>9657</v>
      </c>
      <c r="J308">
        <v>3</v>
      </c>
      <c r="K308">
        <v>2</v>
      </c>
      <c r="M308" s="2" t="str">
        <f>HYPERLINK("http://www.windermere.com/index.cfm?fuseaction=Listing.MapPropertyInteractive&amp;ListingID=19262687&amp;resize=true&amp;windowWidth=800&amp;windowHeight=600","Map")</f>
        <v>Map</v>
      </c>
      <c r="O308" s="2" t="str">
        <f>HYPERLINK("http://www.windermere.com/index.cfm?fuseaction=Listing.MultiImageViewer&amp;ListingID=19262687&amp;ln=28013532&amp;pub_mls=1","More")</f>
        <v>More</v>
      </c>
      <c r="P308" t="s">
        <v>44</v>
      </c>
      <c r="AI308" t="s">
        <v>66</v>
      </c>
      <c r="AJ308">
        <v>98125</v>
      </c>
      <c r="AS308" t="s">
        <v>816</v>
      </c>
      <c r="AT308">
        <v>19262687</v>
      </c>
      <c r="AU308" s="10">
        <v>39495</v>
      </c>
      <c r="BB308" t="s">
        <v>902</v>
      </c>
      <c r="BC308" s="6">
        <v>39469</v>
      </c>
      <c r="BG308">
        <v>26</v>
      </c>
      <c r="BH308" s="15">
        <f t="shared" ca="1" si="4"/>
        <v>1140</v>
      </c>
      <c r="BI308" s="15"/>
      <c r="BJ308" s="15"/>
    </row>
    <row r="309" spans="1:63" hidden="1" x14ac:dyDescent="0.2">
      <c r="A309">
        <v>28015635</v>
      </c>
      <c r="B309" s="2" t="str">
        <f>HYPERLINK("http://www.windermere.com/index.cfm?fuseaction=Listing.ListingDetail&amp;ListingID=19288452","Active")</f>
        <v>Active</v>
      </c>
      <c r="D309" t="s">
        <v>63</v>
      </c>
      <c r="E309" t="s">
        <v>817</v>
      </c>
      <c r="F309" s="9">
        <v>475000</v>
      </c>
      <c r="G309" t="s">
        <v>186</v>
      </c>
      <c r="H309" s="1">
        <v>2480</v>
      </c>
      <c r="I309">
        <v>4000</v>
      </c>
      <c r="J309">
        <v>4</v>
      </c>
      <c r="K309">
        <v>1.75</v>
      </c>
      <c r="M309" s="2" t="str">
        <f>HYPERLINK("http://www.windermere.com/index.cfm?fuseaction=Listing.MapPropertyInteractive&amp;ListingID=19288452&amp;resize=true&amp;windowWidth=800&amp;windowHeight=600","Map")</f>
        <v>Map</v>
      </c>
      <c r="O309" s="2" t="str">
        <f>HYPERLINK("http://www.windermere.com/index.cfm?fuseaction=Listing.MultiImageViewer&amp;ListingID=19288452&amp;ln=28015635&amp;pub_mls=1","More")</f>
        <v>More</v>
      </c>
      <c r="AI309" t="s">
        <v>66</v>
      </c>
      <c r="AJ309">
        <v>98107</v>
      </c>
      <c r="AS309" t="s">
        <v>818</v>
      </c>
      <c r="AT309">
        <v>19288452</v>
      </c>
      <c r="AU309" s="10">
        <v>39495</v>
      </c>
      <c r="BB309" t="s">
        <v>902</v>
      </c>
      <c r="BC309" s="6">
        <v>39475</v>
      </c>
      <c r="BG309">
        <v>20</v>
      </c>
      <c r="BH309" s="15">
        <f t="shared" ca="1" si="4"/>
        <v>1134</v>
      </c>
      <c r="BI309" s="15"/>
      <c r="BJ309" s="15"/>
    </row>
    <row r="310" spans="1:63" hidden="1" x14ac:dyDescent="0.2">
      <c r="A310">
        <v>28017287</v>
      </c>
      <c r="B310" s="13" t="str">
        <f>HYPERLINK("http://www.windermere.com/index.cfm?fuseaction=Listing.ListingDetail&amp;ListingID=19307351","Subject To Inspection")</f>
        <v>Subject To Inspection</v>
      </c>
      <c r="D310" t="s">
        <v>60</v>
      </c>
      <c r="E310" t="s">
        <v>821</v>
      </c>
      <c r="F310" s="9">
        <v>475000</v>
      </c>
      <c r="G310" t="s">
        <v>176</v>
      </c>
      <c r="H310" s="1">
        <v>1010</v>
      </c>
      <c r="I310">
        <v>3876</v>
      </c>
      <c r="J310">
        <v>2</v>
      </c>
      <c r="K310">
        <v>1</v>
      </c>
      <c r="M310" s="2" t="str">
        <f>HYPERLINK("http://www.windermere.com/index.cfm?fuseaction=Listing.MapPropertyInteractive&amp;ListingID=19307351&amp;resize=true&amp;windowWidth=800&amp;windowHeight=600","Map")</f>
        <v>Map</v>
      </c>
      <c r="O310" s="2" t="str">
        <f>HYPERLINK("http://www.windermere.com/index.cfm?fuseaction=Listing.MultiImageViewer&amp;ListingID=19307351&amp;ln=28017287&amp;pub_mls=1","More")</f>
        <v>More</v>
      </c>
      <c r="P310" t="s">
        <v>44</v>
      </c>
      <c r="AI310" t="s">
        <v>66</v>
      </c>
      <c r="AJ310">
        <v>98103</v>
      </c>
      <c r="AS310" t="s">
        <v>822</v>
      </c>
      <c r="AT310">
        <v>19307351</v>
      </c>
      <c r="AU310" s="10">
        <v>39495</v>
      </c>
      <c r="BB310" t="s">
        <v>902</v>
      </c>
      <c r="BC310" s="6">
        <v>39479</v>
      </c>
      <c r="BD310">
        <v>3</v>
      </c>
      <c r="BE310" t="s">
        <v>1311</v>
      </c>
      <c r="BG310">
        <v>16</v>
      </c>
      <c r="BH310" s="15">
        <f t="shared" ca="1" si="4"/>
        <v>1130</v>
      </c>
      <c r="BI310" s="15"/>
      <c r="BJ310" s="15"/>
    </row>
    <row r="311" spans="1:63" hidden="1" x14ac:dyDescent="0.2">
      <c r="A311">
        <v>28024819</v>
      </c>
      <c r="B311" s="2" t="str">
        <f>HYPERLINK("http://www.windermere.com/index.cfm?fuseaction=Listing.ListingDetail&amp;ListingID=19350454","Subject To Inspection")</f>
        <v>Subject To Inspection</v>
      </c>
      <c r="D311" t="s">
        <v>109</v>
      </c>
      <c r="E311" t="s">
        <v>819</v>
      </c>
      <c r="F311" s="9">
        <v>475000</v>
      </c>
      <c r="G311" t="s">
        <v>227</v>
      </c>
      <c r="H311" s="1">
        <v>2120</v>
      </c>
      <c r="I311">
        <v>4080</v>
      </c>
      <c r="J311">
        <v>3</v>
      </c>
      <c r="K311">
        <v>1</v>
      </c>
      <c r="M311" s="2" t="str">
        <f>HYPERLINK("http://www.windermere.com/index.cfm?fuseaction=Listing.MapPropertyInteractive&amp;ListingID=19350454&amp;resize=true&amp;windowWidth=800&amp;windowHeight=600","Map")</f>
        <v>Map</v>
      </c>
      <c r="O311" s="2" t="str">
        <f>HYPERLINK("http://www.windermere.com/index.cfm?fuseaction=viewGallery.Home&amp;customTourID=207209&amp;wvt=0","More")</f>
        <v>More</v>
      </c>
      <c r="AI311" t="s">
        <v>66</v>
      </c>
      <c r="AJ311">
        <v>98105</v>
      </c>
      <c r="AS311" t="s">
        <v>820</v>
      </c>
      <c r="AT311">
        <v>19350454</v>
      </c>
      <c r="AU311" s="10">
        <v>39495</v>
      </c>
      <c r="BB311" t="s">
        <v>902</v>
      </c>
      <c r="BC311" s="6">
        <v>39489</v>
      </c>
      <c r="BD311">
        <v>3</v>
      </c>
      <c r="BE311" t="s">
        <v>1312</v>
      </c>
      <c r="BG311">
        <v>6</v>
      </c>
      <c r="BH311" s="15">
        <f t="shared" ca="1" si="4"/>
        <v>1120</v>
      </c>
      <c r="BI311" s="15"/>
      <c r="BJ311" s="15"/>
      <c r="BK311" t="str">
        <f>B311</f>
        <v>Subject To Inspection</v>
      </c>
    </row>
    <row r="312" spans="1:63" hidden="1" x14ac:dyDescent="0.2">
      <c r="A312">
        <v>28025604</v>
      </c>
      <c r="B312" s="2" t="str">
        <f>HYPERLINK("http://www.windermere.com/index.cfm?fuseaction=Listing.ListingDetail&amp;ListingID=19408406","Active")</f>
        <v>Active</v>
      </c>
      <c r="D312" t="s">
        <v>63</v>
      </c>
      <c r="E312" t="s">
        <v>269</v>
      </c>
      <c r="F312" s="9">
        <v>475000</v>
      </c>
      <c r="G312" t="s">
        <v>144</v>
      </c>
      <c r="H312" s="1">
        <v>1720</v>
      </c>
      <c r="I312">
        <v>3676</v>
      </c>
      <c r="J312">
        <v>3</v>
      </c>
      <c r="K312">
        <v>1.5</v>
      </c>
      <c r="M312" s="2" t="str">
        <f>HYPERLINK("http://www.windermere.com/index.cfm?fuseaction=Listing.MapPropertyInteractive&amp;ListingID=19408406&amp;resize=true&amp;windowWidth=800&amp;windowHeight=600","Map")</f>
        <v>Map</v>
      </c>
      <c r="O312" s="2" t="str">
        <f>HYPERLINK("http://www.windermere.com/index.cfm?fuseaction=Listing.MultiImageViewer&amp;ListingID=19408406&amp;ln=28025604&amp;pub_mls=1","More")</f>
        <v>More</v>
      </c>
      <c r="P312" t="s">
        <v>44</v>
      </c>
      <c r="AI312" t="s">
        <v>66</v>
      </c>
      <c r="AJ312">
        <v>98117</v>
      </c>
      <c r="AS312" s="17" t="s">
        <v>1400</v>
      </c>
      <c r="AT312" s="17">
        <v>19408406</v>
      </c>
      <c r="AU312" s="10">
        <v>39495</v>
      </c>
      <c r="BB312" t="s">
        <v>902</v>
      </c>
      <c r="BC312" s="6">
        <v>39490</v>
      </c>
      <c r="BD312">
        <v>4</v>
      </c>
      <c r="BE312" t="s">
        <v>1273</v>
      </c>
      <c r="BF312" s="6">
        <v>39494</v>
      </c>
      <c r="BG312">
        <v>5</v>
      </c>
      <c r="BH312" s="15">
        <f t="shared" ca="1" si="4"/>
        <v>1119</v>
      </c>
      <c r="BI312" s="15"/>
      <c r="BJ312" s="15"/>
    </row>
    <row r="313" spans="1:63" hidden="1" x14ac:dyDescent="0.2">
      <c r="A313">
        <v>27187856</v>
      </c>
      <c r="B313" s="2" t="str">
        <f>HYPERLINK("http://www.windermere.com/index.cfm?fuseaction=Listing.ListingDetail&amp;ListingID=18827147","Active")</f>
        <v>Active</v>
      </c>
      <c r="D313" t="s">
        <v>63</v>
      </c>
      <c r="E313" t="s">
        <v>827</v>
      </c>
      <c r="F313" s="9">
        <v>479000</v>
      </c>
      <c r="G313" t="s">
        <v>147</v>
      </c>
      <c r="H313" s="1">
        <v>1900</v>
      </c>
      <c r="J313">
        <v>3</v>
      </c>
      <c r="K313">
        <v>3.5</v>
      </c>
      <c r="M313" s="2" t="str">
        <f>HYPERLINK("http://www.windermere.com/index.cfm?fuseaction=Listing.MapPropertyInteractive&amp;ListingID=18827147&amp;resize=true&amp;windowWidth=800&amp;windowHeight=600","Map")</f>
        <v>Map</v>
      </c>
      <c r="O313" s="2" t="str">
        <f>HYPERLINK("http://www.windermere.com/index.cfm?fuseaction=Listing.MultiImageViewer&amp;ListingID=18827147&amp;ln=27187856&amp;pub_mls=1","More")</f>
        <v>More</v>
      </c>
      <c r="P313" t="s">
        <v>44</v>
      </c>
      <c r="AI313" t="s">
        <v>66</v>
      </c>
      <c r="AJ313">
        <v>98107</v>
      </c>
      <c r="AS313" t="s">
        <v>828</v>
      </c>
      <c r="AT313">
        <v>18827147</v>
      </c>
      <c r="AU313" s="10">
        <v>39495</v>
      </c>
      <c r="BB313" t="s">
        <v>902</v>
      </c>
      <c r="BC313" s="6">
        <v>39372</v>
      </c>
      <c r="BG313">
        <v>123</v>
      </c>
      <c r="BH313" s="15">
        <f t="shared" ca="1" si="4"/>
        <v>1237</v>
      </c>
      <c r="BI313" s="15"/>
      <c r="BJ313" s="15"/>
    </row>
    <row r="314" spans="1:63" hidden="1" x14ac:dyDescent="0.2">
      <c r="A314">
        <v>27187865</v>
      </c>
      <c r="B314" s="13" t="str">
        <f>HYPERLINK("http://www.windermere.com/index.cfm?fuseaction=Listing.ListingDetail&amp;ListingID=18827156","Subject To Inspection")</f>
        <v>Subject To Inspection</v>
      </c>
      <c r="D314" t="s">
        <v>63</v>
      </c>
      <c r="E314" t="s">
        <v>829</v>
      </c>
      <c r="F314" s="9">
        <v>479000</v>
      </c>
      <c r="G314" t="s">
        <v>147</v>
      </c>
      <c r="H314" s="1">
        <v>1900</v>
      </c>
      <c r="J314">
        <v>3</v>
      </c>
      <c r="K314">
        <v>3.5</v>
      </c>
      <c r="M314" s="2" t="str">
        <f>HYPERLINK("http://www.windermere.com/index.cfm?fuseaction=Listing.MapPropertyInteractive&amp;ListingID=18827156&amp;resize=true&amp;windowWidth=800&amp;windowHeight=600","Map")</f>
        <v>Map</v>
      </c>
      <c r="O314" s="2" t="str">
        <f>HYPERLINK("http://www.windermere.com/index.cfm?fuseaction=Listing.MultiImageViewer&amp;ListingID=18827156&amp;ln=27187865&amp;pub_mls=1","More")</f>
        <v>More</v>
      </c>
      <c r="P314" t="s">
        <v>44</v>
      </c>
      <c r="AI314" t="s">
        <v>66</v>
      </c>
      <c r="AJ314">
        <v>98107</v>
      </c>
      <c r="AS314" t="s">
        <v>830</v>
      </c>
      <c r="AT314">
        <v>18827156</v>
      </c>
      <c r="AU314" s="10">
        <v>39495</v>
      </c>
      <c r="BB314" t="s">
        <v>902</v>
      </c>
      <c r="BC314" s="6">
        <v>39372</v>
      </c>
      <c r="BD314">
        <v>-4</v>
      </c>
      <c r="BE314" t="s">
        <v>1375</v>
      </c>
      <c r="BG314">
        <v>123</v>
      </c>
      <c r="BH314" s="15">
        <f t="shared" ca="1" si="4"/>
        <v>1237</v>
      </c>
      <c r="BI314" s="15"/>
      <c r="BJ314" s="15"/>
    </row>
    <row r="315" spans="1:63" hidden="1" x14ac:dyDescent="0.2">
      <c r="A315">
        <v>28007508</v>
      </c>
      <c r="B315" s="2" t="str">
        <f>HYPERLINK("http://www.windermere.com/index.cfm?fuseaction=Listing.ListingDetail&amp;ListingID=19212618","Active")</f>
        <v>Active</v>
      </c>
      <c r="D315" t="s">
        <v>109</v>
      </c>
      <c r="E315" t="s">
        <v>825</v>
      </c>
      <c r="F315" s="9">
        <v>479000</v>
      </c>
      <c r="G315" t="s">
        <v>147</v>
      </c>
      <c r="H315" s="1">
        <v>1350</v>
      </c>
      <c r="J315">
        <v>3</v>
      </c>
      <c r="K315">
        <v>2.5</v>
      </c>
      <c r="M315" s="2" t="str">
        <f>HYPERLINK("http://www.windermere.com/index.cfm?fuseaction=Listing.MapPropertyInteractive&amp;ListingID=19212618&amp;resize=true&amp;windowWidth=800&amp;windowHeight=600","Map")</f>
        <v>Map</v>
      </c>
      <c r="O315" s="2" t="str">
        <f>HYPERLINK("http://www.windermere.com/index.cfm?fuseaction=Listing.MultiImageViewer&amp;ListingID=19212618&amp;ln=28007508&amp;pub_mls=1","More")</f>
        <v>More</v>
      </c>
      <c r="P315" t="s">
        <v>44</v>
      </c>
      <c r="AI315" t="s">
        <v>66</v>
      </c>
      <c r="AJ315">
        <v>98103</v>
      </c>
      <c r="AS315" t="s">
        <v>826</v>
      </c>
      <c r="AT315">
        <v>19212618</v>
      </c>
      <c r="AU315" s="10">
        <v>39495</v>
      </c>
      <c r="BB315" t="s">
        <v>902</v>
      </c>
      <c r="BC315" s="6">
        <v>39458</v>
      </c>
      <c r="BG315">
        <v>37</v>
      </c>
      <c r="BH315" s="15">
        <f t="shared" ca="1" si="4"/>
        <v>1151</v>
      </c>
      <c r="BI315" s="15"/>
      <c r="BJ315" s="15"/>
    </row>
    <row r="316" spans="1:63" hidden="1" x14ac:dyDescent="0.2">
      <c r="A316">
        <v>27183898</v>
      </c>
      <c r="B316" s="2" t="str">
        <f>HYPERLINK("http://www.windermere.com/index.cfm?fuseaction=Listing.ListingDetail&amp;ListingID=18790899","Active")</f>
        <v>Active</v>
      </c>
      <c r="D316" t="s">
        <v>109</v>
      </c>
      <c r="E316" t="s">
        <v>166</v>
      </c>
      <c r="F316" s="9">
        <v>479450</v>
      </c>
      <c r="G316" t="s">
        <v>181</v>
      </c>
      <c r="H316" s="1">
        <v>1200</v>
      </c>
      <c r="I316">
        <v>3400</v>
      </c>
      <c r="J316">
        <v>3</v>
      </c>
      <c r="K316">
        <v>3</v>
      </c>
      <c r="M316" s="2" t="str">
        <f>HYPERLINK("http://www.windermere.com/index.cfm?fuseaction=Listing.MapPropertyInteractive&amp;ListingID=18790899&amp;resize=true&amp;windowWidth=800&amp;windowHeight=600","Map")</f>
        <v>Map</v>
      </c>
      <c r="P316" t="s">
        <v>44</v>
      </c>
      <c r="AI316" t="s">
        <v>66</v>
      </c>
      <c r="AJ316">
        <v>98103</v>
      </c>
      <c r="AS316" t="s">
        <v>831</v>
      </c>
      <c r="AT316">
        <v>18790899</v>
      </c>
      <c r="AU316" s="10">
        <v>39495</v>
      </c>
      <c r="BB316" t="s">
        <v>902</v>
      </c>
      <c r="BC316" s="6">
        <v>39365</v>
      </c>
      <c r="BG316">
        <v>130</v>
      </c>
      <c r="BH316" s="15">
        <f t="shared" ca="1" si="4"/>
        <v>1244</v>
      </c>
      <c r="BI316" s="15"/>
      <c r="BJ316" s="15"/>
    </row>
    <row r="317" spans="1:63" hidden="1" x14ac:dyDescent="0.2">
      <c r="A317">
        <v>27195187</v>
      </c>
      <c r="B317" s="2" t="str">
        <f>HYPERLINK("http://www.windermere.com/index.cfm?fuseaction=Listing.ListingDetail&amp;ListingID=18894488","Active")</f>
        <v>Active</v>
      </c>
      <c r="D317" t="s">
        <v>63</v>
      </c>
      <c r="E317" t="s">
        <v>169</v>
      </c>
      <c r="F317" s="11">
        <v>450000</v>
      </c>
      <c r="G317" t="s">
        <v>182</v>
      </c>
      <c r="H317" s="1">
        <v>2060</v>
      </c>
      <c r="I317">
        <v>5000</v>
      </c>
      <c r="J317">
        <v>4</v>
      </c>
      <c r="K317">
        <v>1</v>
      </c>
      <c r="M317" s="2" t="str">
        <f>HYPERLINK("http://www.windermere.com/index.cfm?fuseaction=Listing.MapPropertyInteractive&amp;ListingID=18894488&amp;resize=true&amp;windowWidth=800&amp;windowHeight=600","Map")</f>
        <v>Map</v>
      </c>
      <c r="AI317" t="s">
        <v>66</v>
      </c>
      <c r="AJ317">
        <v>98117</v>
      </c>
      <c r="AS317" t="s">
        <v>268</v>
      </c>
      <c r="AT317">
        <v>18894488</v>
      </c>
      <c r="AU317" s="10">
        <v>39495</v>
      </c>
      <c r="BB317" t="s">
        <v>902</v>
      </c>
      <c r="BC317" s="6">
        <v>39386</v>
      </c>
      <c r="BG317">
        <v>109</v>
      </c>
      <c r="BH317" s="15">
        <f t="shared" ca="1" si="4"/>
        <v>1223</v>
      </c>
      <c r="BI317" s="15"/>
      <c r="BJ317" s="15"/>
    </row>
    <row r="318" spans="1:63" hidden="1" x14ac:dyDescent="0.2">
      <c r="A318">
        <v>27211024</v>
      </c>
      <c r="B318" s="2" t="str">
        <f>HYPERLINK("http://www.windermere.com/index.cfm?fuseaction=Listing.ListingDetail&amp;ListingID=19072165","Active")</f>
        <v>Active</v>
      </c>
      <c r="D318" t="s">
        <v>60</v>
      </c>
      <c r="E318" t="s">
        <v>832</v>
      </c>
      <c r="F318" s="9">
        <v>479900</v>
      </c>
      <c r="G318" t="s">
        <v>129</v>
      </c>
      <c r="H318" s="1">
        <v>2080</v>
      </c>
      <c r="I318">
        <v>3000</v>
      </c>
      <c r="J318">
        <v>3</v>
      </c>
      <c r="K318">
        <v>1.5</v>
      </c>
      <c r="M318" s="2" t="str">
        <f>HYPERLINK("http://www.windermere.com/index.cfm?fuseaction=Listing.MapPropertyInteractive&amp;ListingID=19072165&amp;resize=true&amp;windowWidth=800&amp;windowHeight=600","Map")</f>
        <v>Map</v>
      </c>
      <c r="O318" s="2" t="str">
        <f>HYPERLINK("http://www.windermere.com/index.cfm?fuseaction=Listing.MultiImageViewer&amp;ListingID=19072165&amp;ln=27211024&amp;pub_mls=1","More")</f>
        <v>More</v>
      </c>
      <c r="AI318" t="s">
        <v>66</v>
      </c>
      <c r="AJ318">
        <v>98103</v>
      </c>
      <c r="AS318" t="s">
        <v>833</v>
      </c>
      <c r="AT318">
        <v>19072165</v>
      </c>
      <c r="AU318" s="10">
        <v>39495</v>
      </c>
      <c r="BB318" t="s">
        <v>902</v>
      </c>
      <c r="BC318" s="6">
        <v>39425</v>
      </c>
      <c r="BG318">
        <v>70</v>
      </c>
      <c r="BH318" s="15">
        <f t="shared" ca="1" si="4"/>
        <v>1184</v>
      </c>
      <c r="BI318" s="15"/>
      <c r="BJ318" s="15"/>
    </row>
    <row r="319" spans="1:63" hidden="1" x14ac:dyDescent="0.2">
      <c r="A319">
        <v>28007148</v>
      </c>
      <c r="B319" s="2" t="str">
        <f>HYPERLINK("http://www.windermere.com/index.cfm?fuseaction=Listing.ListingDetail&amp;ListingID=19212202","Subject To Inspection")</f>
        <v>Subject To Inspection</v>
      </c>
      <c r="D319" t="s">
        <v>99</v>
      </c>
      <c r="E319" t="s">
        <v>266</v>
      </c>
      <c r="F319" s="9">
        <v>479922</v>
      </c>
      <c r="G319" t="s">
        <v>176</v>
      </c>
      <c r="H319" s="1">
        <v>2240</v>
      </c>
      <c r="I319">
        <v>6800</v>
      </c>
      <c r="J319">
        <v>3</v>
      </c>
      <c r="K319">
        <v>1.75</v>
      </c>
      <c r="M319" s="2" t="str">
        <f>HYPERLINK("http://www.windermere.com/index.cfm?fuseaction=Listing.MapPropertyInteractive&amp;ListingID=19212202&amp;resize=true&amp;windowWidth=800&amp;windowHeight=600","Map")</f>
        <v>Map</v>
      </c>
      <c r="O319" s="2" t="str">
        <f>HYPERLINK("http://www.windermere.com/index.cfm?fuseaction=viewGallery.Home&amp;customTourID=204141&amp;wvt=0","More")</f>
        <v>More</v>
      </c>
      <c r="P319" t="s">
        <v>44</v>
      </c>
      <c r="AI319" t="s">
        <v>66</v>
      </c>
      <c r="AJ319">
        <v>98117</v>
      </c>
      <c r="AS319" t="s">
        <v>267</v>
      </c>
      <c r="AT319">
        <v>19212202</v>
      </c>
      <c r="AU319" s="10">
        <v>39495</v>
      </c>
      <c r="BB319" t="s">
        <v>902</v>
      </c>
      <c r="BC319" s="6">
        <v>39458</v>
      </c>
      <c r="BG319">
        <v>37</v>
      </c>
      <c r="BH319" s="15">
        <f t="shared" ca="1" si="4"/>
        <v>1151</v>
      </c>
      <c r="BI319" s="15"/>
      <c r="BJ319" s="15"/>
      <c r="BK319" t="str">
        <f>B319</f>
        <v>Subject To Inspection</v>
      </c>
    </row>
    <row r="320" spans="1:63" hidden="1" x14ac:dyDescent="0.2">
      <c r="A320">
        <v>27194846</v>
      </c>
      <c r="B320" s="2" t="str">
        <f>HYPERLINK("http://www.windermere.com/index.cfm?fuseaction=Listing.ListingDetail&amp;ListingID=18892529","Active")</f>
        <v>Active</v>
      </c>
      <c r="D320" t="s">
        <v>100</v>
      </c>
      <c r="E320" t="s">
        <v>840</v>
      </c>
      <c r="F320" s="16">
        <v>447950</v>
      </c>
      <c r="G320" t="s">
        <v>147</v>
      </c>
      <c r="H320" s="1">
        <v>1671</v>
      </c>
      <c r="J320">
        <v>3</v>
      </c>
      <c r="K320">
        <v>2.25</v>
      </c>
      <c r="M320" s="2" t="str">
        <f>HYPERLINK("http://www.windermere.com/index.cfm?fuseaction=Listing.MapPropertyInteractive&amp;ListingID=18892529&amp;resize=true&amp;windowWidth=800&amp;windowHeight=600","Map")</f>
        <v>Map</v>
      </c>
      <c r="O320" s="2" t="str">
        <f>HYPERLINK("http://www.windermere.com/index.cfm?fuseaction=Listing.MultiImageViewer&amp;ListingID=18892529&amp;ln=27194846&amp;pub_mls=1","More")</f>
        <v>More</v>
      </c>
      <c r="P320" t="s">
        <v>44</v>
      </c>
      <c r="AI320" t="s">
        <v>66</v>
      </c>
      <c r="AJ320">
        <v>98103</v>
      </c>
      <c r="AS320" t="s">
        <v>841</v>
      </c>
      <c r="AT320">
        <v>18892529</v>
      </c>
      <c r="AU320" s="10">
        <v>39495</v>
      </c>
      <c r="BB320" t="s">
        <v>902</v>
      </c>
      <c r="BC320" s="6">
        <v>39386</v>
      </c>
      <c r="BG320">
        <v>109</v>
      </c>
      <c r="BH320" s="15">
        <f t="shared" ca="1" si="4"/>
        <v>1223</v>
      </c>
      <c r="BI320" s="15"/>
      <c r="BJ320" s="15"/>
    </row>
    <row r="321" spans="1:63" hidden="1" x14ac:dyDescent="0.2">
      <c r="A321">
        <v>27212456</v>
      </c>
      <c r="B321" s="2" t="str">
        <f>HYPERLINK("http://www.windermere.com/index.cfm?fuseaction=Listing.ListingDetail&amp;ListingID=19088651","Active")</f>
        <v>Active</v>
      </c>
      <c r="D321" t="s">
        <v>100</v>
      </c>
      <c r="E321" t="s">
        <v>838</v>
      </c>
      <c r="F321" s="9">
        <v>479950</v>
      </c>
      <c r="G321" t="s">
        <v>147</v>
      </c>
      <c r="J321">
        <v>3</v>
      </c>
      <c r="K321">
        <v>2.5</v>
      </c>
      <c r="M321" s="2" t="str">
        <f>HYPERLINK("http://www.windermere.com/index.cfm?fuseaction=Listing.MapPropertyInteractive&amp;ListingID=19088651&amp;resize=true&amp;windowWidth=800&amp;windowHeight=600","Map")</f>
        <v>Map</v>
      </c>
      <c r="O321" s="2" t="str">
        <f>HYPERLINK("http://www.windermere.com/index.cfm?fuseaction=Listing.MultiImageViewer&amp;ListingID=19088651&amp;ln=27212456&amp;pub_mls=1","More")</f>
        <v>More</v>
      </c>
      <c r="AI321" t="s">
        <v>66</v>
      </c>
      <c r="AJ321">
        <v>98103</v>
      </c>
      <c r="AS321" t="s">
        <v>839</v>
      </c>
      <c r="AT321">
        <v>19088651</v>
      </c>
      <c r="AU321" s="10">
        <v>39495</v>
      </c>
      <c r="BB321" t="s">
        <v>902</v>
      </c>
      <c r="BC321" s="6">
        <v>39428</v>
      </c>
      <c r="BG321">
        <v>67</v>
      </c>
      <c r="BH321" s="15">
        <f t="shared" ca="1" si="4"/>
        <v>1181</v>
      </c>
      <c r="BI321" s="15"/>
      <c r="BJ321" s="15"/>
    </row>
    <row r="322" spans="1:63" hidden="1" x14ac:dyDescent="0.2">
      <c r="A322">
        <v>27212458</v>
      </c>
      <c r="B322" s="2" t="str">
        <f>HYPERLINK("http://www.windermere.com/index.cfm?fuseaction=Listing.ListingDetail&amp;ListingID=19088652","Active")</f>
        <v>Active</v>
      </c>
      <c r="D322" t="s">
        <v>100</v>
      </c>
      <c r="E322" t="s">
        <v>844</v>
      </c>
      <c r="F322" s="9">
        <v>479950</v>
      </c>
      <c r="G322" t="s">
        <v>147</v>
      </c>
      <c r="J322">
        <v>3</v>
      </c>
      <c r="K322">
        <v>2.5</v>
      </c>
      <c r="M322" s="2" t="str">
        <f>HYPERLINK("http://www.windermere.com/index.cfm?fuseaction=Listing.MapPropertyInteractive&amp;ListingID=19088652&amp;resize=true&amp;windowWidth=800&amp;windowHeight=600","Map")</f>
        <v>Map</v>
      </c>
      <c r="O322" s="2" t="str">
        <f>HYPERLINK("http://www.windermere.com/index.cfm?fuseaction=Listing.MultiImageViewer&amp;ListingID=19088652&amp;ln=27212458&amp;pub_mls=1","More")</f>
        <v>More</v>
      </c>
      <c r="AI322" t="s">
        <v>66</v>
      </c>
      <c r="AJ322">
        <v>98103</v>
      </c>
      <c r="AS322" t="s">
        <v>845</v>
      </c>
      <c r="AT322">
        <v>19088652</v>
      </c>
      <c r="AU322" s="10">
        <v>39495</v>
      </c>
      <c r="BB322" t="s">
        <v>902</v>
      </c>
      <c r="BC322" s="6">
        <v>39428</v>
      </c>
      <c r="BG322">
        <v>67</v>
      </c>
      <c r="BH322" s="15">
        <f t="shared" ca="1" si="4"/>
        <v>1181</v>
      </c>
      <c r="BI322" s="15"/>
      <c r="BJ322" s="15"/>
    </row>
    <row r="323" spans="1:63" hidden="1" x14ac:dyDescent="0.2">
      <c r="A323">
        <v>28004347</v>
      </c>
      <c r="B323" s="2" t="str">
        <f>HYPERLINK("http://www.windermere.com/index.cfm?fuseaction=Listing.ListingDetail&amp;ListingID=19175636","Subject To Inspection")</f>
        <v>Subject To Inspection</v>
      </c>
      <c r="D323" t="s">
        <v>63</v>
      </c>
      <c r="E323" t="s">
        <v>854</v>
      </c>
      <c r="F323" s="9">
        <v>479950</v>
      </c>
      <c r="G323" t="s">
        <v>239</v>
      </c>
      <c r="H323" s="1">
        <v>1796</v>
      </c>
      <c r="J323">
        <v>3</v>
      </c>
      <c r="K323">
        <v>2.5</v>
      </c>
      <c r="M323" s="2" t="str">
        <f>HYPERLINK("http://www.windermere.com/index.cfm?fuseaction=Listing.MapPropertyInteractive&amp;ListingID=19175636&amp;resize=true&amp;windowWidth=800&amp;windowHeight=600","Map")</f>
        <v>Map</v>
      </c>
      <c r="O323" s="2" t="str">
        <f>HYPERLINK("http://www.windermere.com/index.cfm?fuseaction=Listing.MultiImageViewer&amp;ListingID=19175636&amp;ln=28004347&amp;pub_mls=1","More")</f>
        <v>More</v>
      </c>
      <c r="P323" t="s">
        <v>44</v>
      </c>
      <c r="AI323" t="s">
        <v>66</v>
      </c>
      <c r="AJ323">
        <v>98107</v>
      </c>
      <c r="AS323" t="s">
        <v>855</v>
      </c>
      <c r="AT323">
        <v>19175636</v>
      </c>
      <c r="AU323" s="10">
        <v>39495</v>
      </c>
      <c r="BB323" t="s">
        <v>902</v>
      </c>
      <c r="BC323" s="6">
        <v>39454</v>
      </c>
      <c r="BG323">
        <v>41</v>
      </c>
      <c r="BH323" s="15">
        <f t="shared" ref="BH323:BH386" ca="1" si="5">TODAY()-BC323</f>
        <v>1155</v>
      </c>
      <c r="BI323" s="15"/>
      <c r="BJ323" s="15"/>
      <c r="BK323" t="str">
        <f>B323</f>
        <v>Subject To Inspection</v>
      </c>
    </row>
    <row r="324" spans="1:63" hidden="1" x14ac:dyDescent="0.2">
      <c r="A324">
        <v>28008698</v>
      </c>
      <c r="B324" s="2" t="str">
        <f>HYPERLINK("http://www.windermere.com/index.cfm?fuseaction=Listing.ListingDetail&amp;ListingID=19221882","Active")</f>
        <v>Active</v>
      </c>
      <c r="D324" t="s">
        <v>100</v>
      </c>
      <c r="E324" t="s">
        <v>836</v>
      </c>
      <c r="F324" s="9">
        <v>479950</v>
      </c>
      <c r="G324" t="s">
        <v>147</v>
      </c>
      <c r="J324">
        <v>3</v>
      </c>
      <c r="K324">
        <v>2.5</v>
      </c>
      <c r="M324" s="2" t="str">
        <f>HYPERLINK("http://www.windermere.com/index.cfm?fuseaction=Listing.MapPropertyInteractive&amp;ListingID=19221882&amp;resize=true&amp;windowWidth=800&amp;windowHeight=600","Map")</f>
        <v>Map</v>
      </c>
      <c r="O324" s="2" t="str">
        <f>HYPERLINK("http://www.windermere.com/index.cfm?fuseaction=Listing.MultiImageViewer&amp;ListingID=19221882&amp;ln=28008698&amp;pub_mls=1","More")</f>
        <v>More</v>
      </c>
      <c r="AI324" t="s">
        <v>66</v>
      </c>
      <c r="AJ324">
        <v>98103</v>
      </c>
      <c r="AS324" t="s">
        <v>837</v>
      </c>
      <c r="AT324">
        <v>19221882</v>
      </c>
      <c r="AU324" s="10">
        <v>39495</v>
      </c>
      <c r="BB324" t="s">
        <v>902</v>
      </c>
      <c r="BC324" s="6">
        <v>39461</v>
      </c>
      <c r="BG324">
        <v>34</v>
      </c>
      <c r="BH324" s="15">
        <f t="shared" ca="1" si="5"/>
        <v>1148</v>
      </c>
      <c r="BI324" s="15"/>
      <c r="BJ324" s="15"/>
    </row>
    <row r="325" spans="1:63" hidden="1" x14ac:dyDescent="0.2">
      <c r="A325">
        <v>28010411</v>
      </c>
      <c r="B325" s="2" t="str">
        <f>HYPERLINK("http://www.windermere.com/index.cfm?fuseaction=Listing.ListingDetail&amp;ListingID=19235916","Active")</f>
        <v>Active</v>
      </c>
      <c r="D325" t="s">
        <v>63</v>
      </c>
      <c r="E325" t="s">
        <v>848</v>
      </c>
      <c r="F325" s="9">
        <v>479950</v>
      </c>
      <c r="G325" t="s">
        <v>147</v>
      </c>
      <c r="H325" s="1">
        <v>2219</v>
      </c>
      <c r="J325">
        <v>3</v>
      </c>
      <c r="K325">
        <v>2.5</v>
      </c>
      <c r="M325" s="2" t="str">
        <f>HYPERLINK("http://www.windermere.com/index.cfm?fuseaction=Listing.MapPropertyInteractive&amp;ListingID=19235916&amp;resize=true&amp;windowWidth=800&amp;windowHeight=600","Map")</f>
        <v>Map</v>
      </c>
      <c r="O325" s="2" t="str">
        <f>HYPERLINK("http://www.windermere.com/index.cfm?fuseaction=Listing.MultiImageViewer&amp;ListingID=19235916&amp;ln=28010411&amp;pub_mls=1","More")</f>
        <v>More</v>
      </c>
      <c r="P325" t="s">
        <v>44</v>
      </c>
      <c r="AI325" t="s">
        <v>66</v>
      </c>
      <c r="AJ325">
        <v>98107</v>
      </c>
      <c r="AS325" t="s">
        <v>849</v>
      </c>
      <c r="AT325">
        <v>19235916</v>
      </c>
      <c r="AU325" s="10">
        <v>39495</v>
      </c>
      <c r="BB325" t="s">
        <v>902</v>
      </c>
      <c r="BC325" s="6">
        <v>39463</v>
      </c>
      <c r="BG325">
        <v>32</v>
      </c>
      <c r="BH325" s="15">
        <f t="shared" ca="1" si="5"/>
        <v>1146</v>
      </c>
      <c r="BI325" s="15"/>
      <c r="BJ325" s="15"/>
    </row>
    <row r="326" spans="1:63" hidden="1" x14ac:dyDescent="0.2">
      <c r="A326">
        <v>28010430</v>
      </c>
      <c r="B326" s="2" t="str">
        <f>HYPERLINK("http://www.windermere.com/index.cfm?fuseaction=Listing.ListingDetail&amp;ListingID=19236131","Active")</f>
        <v>Active</v>
      </c>
      <c r="D326" t="s">
        <v>63</v>
      </c>
      <c r="E326" t="s">
        <v>850</v>
      </c>
      <c r="F326" s="9">
        <v>479950</v>
      </c>
      <c r="G326" t="s">
        <v>147</v>
      </c>
      <c r="H326" s="1">
        <v>2219</v>
      </c>
      <c r="J326">
        <v>3</v>
      </c>
      <c r="K326">
        <v>2.5</v>
      </c>
      <c r="M326" s="2" t="str">
        <f>HYPERLINK("http://www.windermere.com/index.cfm?fuseaction=Listing.MapPropertyInteractive&amp;ListingID=19236131&amp;resize=true&amp;windowWidth=800&amp;windowHeight=600","Map")</f>
        <v>Map</v>
      </c>
      <c r="O326" s="2" t="str">
        <f>HYPERLINK("http://www.windermere.com/index.cfm?fuseaction=Listing.MultiImageViewer&amp;ListingID=19236131&amp;ln=28010430&amp;pub_mls=1","More")</f>
        <v>More</v>
      </c>
      <c r="P326" t="s">
        <v>44</v>
      </c>
      <c r="AI326" t="s">
        <v>66</v>
      </c>
      <c r="AJ326">
        <v>98107</v>
      </c>
      <c r="AS326" t="s">
        <v>851</v>
      </c>
      <c r="AT326">
        <v>19236131</v>
      </c>
      <c r="AU326" s="10">
        <v>39495</v>
      </c>
      <c r="BB326" t="s">
        <v>902</v>
      </c>
      <c r="BC326" s="6">
        <v>39463</v>
      </c>
      <c r="BG326">
        <v>32</v>
      </c>
      <c r="BH326" s="15">
        <f t="shared" ca="1" si="5"/>
        <v>1146</v>
      </c>
      <c r="BI326" s="15"/>
      <c r="BJ326" s="15"/>
    </row>
    <row r="327" spans="1:63" hidden="1" x14ac:dyDescent="0.2">
      <c r="A327">
        <v>28010441</v>
      </c>
      <c r="B327" s="2" t="str">
        <f>HYPERLINK("http://www.windermere.com/index.cfm?fuseaction=Listing.ListingDetail&amp;ListingID=19236178","Active")</f>
        <v>Active</v>
      </c>
      <c r="D327" t="s">
        <v>63</v>
      </c>
      <c r="E327" t="s">
        <v>852</v>
      </c>
      <c r="F327" s="9">
        <v>479950</v>
      </c>
      <c r="G327" t="s">
        <v>147</v>
      </c>
      <c r="H327" s="1">
        <v>2219</v>
      </c>
      <c r="J327">
        <v>3</v>
      </c>
      <c r="K327">
        <v>2.5</v>
      </c>
      <c r="M327" s="2" t="str">
        <f>HYPERLINK("http://www.windermere.com/index.cfm?fuseaction=Listing.MapPropertyInteractive&amp;ListingID=19236178&amp;resize=true&amp;windowWidth=800&amp;windowHeight=600","Map")</f>
        <v>Map</v>
      </c>
      <c r="O327" s="2" t="str">
        <f>HYPERLINK("http://www.windermere.com/index.cfm?fuseaction=Listing.MultiImageViewer&amp;ListingID=19236178&amp;ln=28010441&amp;pub_mls=1","More")</f>
        <v>More</v>
      </c>
      <c r="P327" t="s">
        <v>44</v>
      </c>
      <c r="AI327" t="s">
        <v>66</v>
      </c>
      <c r="AJ327">
        <v>98107</v>
      </c>
      <c r="AS327" t="s">
        <v>853</v>
      </c>
      <c r="AT327">
        <v>19236178</v>
      </c>
      <c r="AU327" s="10">
        <v>39495</v>
      </c>
      <c r="BB327" t="s">
        <v>902</v>
      </c>
      <c r="BC327" s="6">
        <v>39463</v>
      </c>
      <c r="BG327">
        <v>32</v>
      </c>
      <c r="BH327" s="15">
        <f t="shared" ca="1" si="5"/>
        <v>1146</v>
      </c>
      <c r="BI327" s="15"/>
      <c r="BJ327" s="15"/>
    </row>
    <row r="328" spans="1:63" hidden="1" x14ac:dyDescent="0.2">
      <c r="A328">
        <v>28011848</v>
      </c>
      <c r="B328" s="2" t="str">
        <f>HYPERLINK("http://www.windermere.com/index.cfm?fuseaction=Listing.ListingDetail&amp;ListingID=19247757","Subject To Inspection")</f>
        <v>Subject To Inspection</v>
      </c>
      <c r="D328" t="s">
        <v>100</v>
      </c>
      <c r="E328" t="s">
        <v>842</v>
      </c>
      <c r="F328" s="9">
        <v>479950</v>
      </c>
      <c r="G328" t="s">
        <v>147</v>
      </c>
      <c r="H328" s="1">
        <v>1350</v>
      </c>
      <c r="J328">
        <v>3</v>
      </c>
      <c r="K328">
        <v>2.25</v>
      </c>
      <c r="M328" s="2" t="str">
        <f>HYPERLINK("http://www.windermere.com/index.cfm?fuseaction=Listing.MapPropertyInteractive&amp;ListingID=19247757&amp;resize=true&amp;windowWidth=800&amp;windowHeight=600","Map")</f>
        <v>Map</v>
      </c>
      <c r="O328" s="2" t="str">
        <f>HYPERLINK("http://www.windermere.com/index.cfm?fuseaction=Listing.MultiImageViewer&amp;ListingID=19247757&amp;ln=28011848&amp;pub_mls=1","More")</f>
        <v>More</v>
      </c>
      <c r="P328" t="s">
        <v>44</v>
      </c>
      <c r="AI328" t="s">
        <v>66</v>
      </c>
      <c r="AJ328">
        <v>98103</v>
      </c>
      <c r="AS328" t="s">
        <v>843</v>
      </c>
      <c r="AT328">
        <v>19247757</v>
      </c>
      <c r="AU328" s="10">
        <v>39495</v>
      </c>
      <c r="BB328" t="s">
        <v>902</v>
      </c>
      <c r="BC328" s="6">
        <v>39465</v>
      </c>
      <c r="BG328">
        <v>30</v>
      </c>
      <c r="BH328" s="15">
        <f t="shared" ca="1" si="5"/>
        <v>1144</v>
      </c>
      <c r="BI328" s="15"/>
      <c r="BJ328" s="15"/>
      <c r="BK328" t="str">
        <f>B328</f>
        <v>Subject To Inspection</v>
      </c>
    </row>
    <row r="329" spans="1:63" hidden="1" x14ac:dyDescent="0.2">
      <c r="A329">
        <v>28018532</v>
      </c>
      <c r="B329" s="2" t="str">
        <f>HYPERLINK("http://www.windermere.com/index.cfm?fuseaction=Listing.ListingDetail&amp;ListingID=19303298","Active")</f>
        <v>Active</v>
      </c>
      <c r="D329" t="s">
        <v>109</v>
      </c>
      <c r="E329" t="s">
        <v>846</v>
      </c>
      <c r="F329" s="9">
        <v>479950</v>
      </c>
      <c r="G329" t="s">
        <v>430</v>
      </c>
      <c r="H329" s="1">
        <v>1150</v>
      </c>
      <c r="I329">
        <v>2940</v>
      </c>
      <c r="J329">
        <v>2</v>
      </c>
      <c r="K329">
        <v>1</v>
      </c>
      <c r="M329" s="2" t="str">
        <f>HYPERLINK("http://www.windermere.com/index.cfm?fuseaction=Listing.MapPropertyInteractive&amp;ListingID=19303298&amp;resize=true&amp;windowWidth=800&amp;windowHeight=600","Map")</f>
        <v>Map</v>
      </c>
      <c r="O329" s="2" t="str">
        <f>HYPERLINK("http://www.windermere.com/index.cfm?fuseaction=Listing.MultiImageViewer&amp;ListingID=19303298&amp;ln=28018532&amp;pub_mls=1","More")</f>
        <v>More</v>
      </c>
      <c r="AI329" t="s">
        <v>66</v>
      </c>
      <c r="AJ329">
        <v>98105</v>
      </c>
      <c r="AS329" t="s">
        <v>847</v>
      </c>
      <c r="AT329">
        <v>19303298</v>
      </c>
      <c r="AU329" s="10">
        <v>39495</v>
      </c>
      <c r="BB329" t="s">
        <v>902</v>
      </c>
      <c r="BC329" s="6">
        <v>39478</v>
      </c>
      <c r="BG329">
        <v>17</v>
      </c>
      <c r="BH329" s="15">
        <f t="shared" ca="1" si="5"/>
        <v>1131</v>
      </c>
      <c r="BI329" s="15"/>
      <c r="BJ329" s="15"/>
    </row>
    <row r="330" spans="1:63" hidden="1" x14ac:dyDescent="0.2">
      <c r="A330">
        <v>28024487</v>
      </c>
      <c r="B330" s="13" t="str">
        <f>HYPERLINK("http://www.windermere.com/index.cfm?fuseaction=Listing.ListingDetail&amp;ListingID=19376128","Subject To Inspection")</f>
        <v>Subject To Inspection</v>
      </c>
      <c r="D330" t="s">
        <v>60</v>
      </c>
      <c r="E330" t="s">
        <v>834</v>
      </c>
      <c r="F330" s="9">
        <v>479950</v>
      </c>
      <c r="G330" t="s">
        <v>208</v>
      </c>
      <c r="I330">
        <v>5000</v>
      </c>
      <c r="J330">
        <v>3</v>
      </c>
      <c r="K330">
        <v>2.75</v>
      </c>
      <c r="M330" s="2" t="str">
        <f>HYPERLINK("http://www.windermere.com/index.cfm?fuseaction=Listing.MapPropertyInteractive&amp;ListingID=19376128&amp;resize=true&amp;windowWidth=800&amp;windowHeight=600","Map")</f>
        <v>Map</v>
      </c>
      <c r="O330" s="2" t="str">
        <f>HYPERLINK("http://www.windermere.com/index.cfm?fuseaction=viewGallery.Home&amp;customTourID=207723&amp;wvt=0","More")</f>
        <v>More</v>
      </c>
      <c r="AI330" t="s">
        <v>66</v>
      </c>
      <c r="AJ330">
        <v>98103</v>
      </c>
      <c r="AS330" t="s">
        <v>835</v>
      </c>
      <c r="AT330">
        <v>19376128</v>
      </c>
      <c r="AU330" s="10">
        <v>39495</v>
      </c>
      <c r="BB330" t="s">
        <v>902</v>
      </c>
      <c r="BC330" s="6">
        <v>39493</v>
      </c>
      <c r="BG330">
        <v>2</v>
      </c>
      <c r="BH330" s="15">
        <f t="shared" ca="1" si="5"/>
        <v>1116</v>
      </c>
      <c r="BI330" s="15"/>
      <c r="BJ330" s="15"/>
    </row>
    <row r="331" spans="1:63" hidden="1" x14ac:dyDescent="0.2">
      <c r="A331">
        <v>28021035</v>
      </c>
      <c r="B331" s="2" t="str">
        <f>HYPERLINK("http://www.windermere.com/index.cfm?fuseaction=Listing.ListingDetail&amp;ListingID=19321902","Subject To Inspection")</f>
        <v>Subject To Inspection</v>
      </c>
      <c r="D331" t="s">
        <v>908</v>
      </c>
      <c r="E331" t="s">
        <v>856</v>
      </c>
      <c r="F331" s="9">
        <v>480000</v>
      </c>
      <c r="G331" t="s">
        <v>768</v>
      </c>
      <c r="H331" s="1">
        <v>1900</v>
      </c>
      <c r="I331">
        <v>5000</v>
      </c>
      <c r="J331">
        <v>4</v>
      </c>
      <c r="K331">
        <v>2</v>
      </c>
      <c r="M331" s="2" t="str">
        <f>HYPERLINK("http://www.windermere.com/index.cfm?fuseaction=Listing.MapPropertyInteractive&amp;ListingID=19321902&amp;resize=true&amp;windowWidth=800&amp;windowHeight=600","Map")</f>
        <v>Map</v>
      </c>
      <c r="O331" s="2" t="str">
        <f>HYPERLINK("http://www.windermere.com/index.cfm?fuseaction=Listing.MultiImageViewer&amp;ListingID=19321902&amp;ln=28021035&amp;pub_mls=1","More")</f>
        <v>More</v>
      </c>
      <c r="AI331" t="s">
        <v>66</v>
      </c>
      <c r="AJ331">
        <v>98103</v>
      </c>
      <c r="AS331" t="s">
        <v>857</v>
      </c>
      <c r="AT331">
        <v>19321902</v>
      </c>
      <c r="AU331" s="10">
        <v>39495</v>
      </c>
      <c r="BB331" t="s">
        <v>902</v>
      </c>
      <c r="BC331" s="6">
        <v>39482</v>
      </c>
      <c r="BG331">
        <v>13</v>
      </c>
      <c r="BH331" s="15">
        <f t="shared" ca="1" si="5"/>
        <v>1127</v>
      </c>
      <c r="BI331" s="15"/>
      <c r="BJ331" s="15"/>
      <c r="BK331" t="str">
        <f>B331</f>
        <v>Subject To Inspection</v>
      </c>
    </row>
    <row r="332" spans="1:63" hidden="1" x14ac:dyDescent="0.2">
      <c r="A332">
        <v>27183963</v>
      </c>
      <c r="B332" s="13" t="str">
        <f>HYPERLINK("http://www.windermere.com/index.cfm?fuseaction=Listing.ListingDetail&amp;ListingID=18791183","Subject To Inspection")</f>
        <v>Subject To Inspection</v>
      </c>
      <c r="D332" t="s">
        <v>207</v>
      </c>
      <c r="E332" t="s">
        <v>858</v>
      </c>
      <c r="F332" s="9">
        <v>484900</v>
      </c>
      <c r="G332" t="s">
        <v>154</v>
      </c>
      <c r="H332" s="1">
        <v>1405</v>
      </c>
      <c r="I332">
        <v>4840</v>
      </c>
      <c r="J332">
        <v>3</v>
      </c>
      <c r="K332">
        <v>1</v>
      </c>
      <c r="M332" s="2" t="str">
        <f>HYPERLINK("http://www.windermere.com/index.cfm?fuseaction=Listing.MapPropertyInteractive&amp;ListingID=18791183&amp;resize=true&amp;windowWidth=800&amp;windowHeight=600","Map")</f>
        <v>Map</v>
      </c>
      <c r="O332" s="2" t="str">
        <f>HYPERLINK("http://www.windermere.com/index.cfm?fuseaction=Listing.MultiImageViewer&amp;ListingID=18791183&amp;ln=27183963&amp;pub_mls=1","More")</f>
        <v>More</v>
      </c>
      <c r="P332" t="s">
        <v>44</v>
      </c>
      <c r="AI332" t="s">
        <v>66</v>
      </c>
      <c r="AJ332">
        <v>98115</v>
      </c>
      <c r="AS332" t="s">
        <v>859</v>
      </c>
      <c r="AT332">
        <v>18791183</v>
      </c>
      <c r="AU332" s="10">
        <v>39495</v>
      </c>
      <c r="BB332" t="s">
        <v>902</v>
      </c>
      <c r="BC332" s="6">
        <v>39365</v>
      </c>
      <c r="BG332">
        <v>130</v>
      </c>
      <c r="BH332" s="15">
        <f t="shared" ca="1" si="5"/>
        <v>1244</v>
      </c>
      <c r="BI332" s="15"/>
      <c r="BJ332" s="15"/>
    </row>
    <row r="333" spans="1:63" hidden="1" x14ac:dyDescent="0.2">
      <c r="A333">
        <v>28002558</v>
      </c>
      <c r="B333" s="2" t="str">
        <f>HYPERLINK("http://www.windermere.com/index.cfm?fuseaction=Listing.ListingDetail&amp;ListingID=19174633","Active")</f>
        <v>Active</v>
      </c>
      <c r="D333" t="s">
        <v>194</v>
      </c>
      <c r="E333" t="s">
        <v>1080</v>
      </c>
      <c r="F333" s="9">
        <v>485000</v>
      </c>
      <c r="G333" t="s">
        <v>186</v>
      </c>
      <c r="H333" s="1">
        <v>1950</v>
      </c>
      <c r="I333">
        <v>6262</v>
      </c>
      <c r="J333">
        <v>3</v>
      </c>
      <c r="K333">
        <v>1.75</v>
      </c>
      <c r="M333" s="2" t="str">
        <f>HYPERLINK("http://www.windermere.com/index.cfm?fuseaction=Listing.MapPropertyInteractive&amp;ListingID=19174633&amp;resize=true&amp;windowWidth=800&amp;windowHeight=600","Map")</f>
        <v>Map</v>
      </c>
      <c r="O333" s="2" t="str">
        <f>HYPERLINK("http://www.windermere.com/index.cfm?fuseaction=viewGallery.Home&amp;customTourID=203655&amp;wvt=0","More")</f>
        <v>More</v>
      </c>
      <c r="AI333" t="s">
        <v>66</v>
      </c>
      <c r="AJ333">
        <v>98115</v>
      </c>
      <c r="AS333" t="s">
        <v>1081</v>
      </c>
      <c r="AT333">
        <v>19174633</v>
      </c>
      <c r="AU333" s="10">
        <v>39495</v>
      </c>
      <c r="BB333" t="s">
        <v>902</v>
      </c>
      <c r="BC333" s="6">
        <v>39454</v>
      </c>
      <c r="BG333">
        <v>41</v>
      </c>
      <c r="BH333" s="15">
        <f t="shared" ca="1" si="5"/>
        <v>1155</v>
      </c>
      <c r="BI333" s="15"/>
      <c r="BJ333" s="15"/>
    </row>
    <row r="334" spans="1:63" hidden="1" x14ac:dyDescent="0.2">
      <c r="A334">
        <v>28004733</v>
      </c>
      <c r="B334" s="2" t="str">
        <f>HYPERLINK("http://www.windermere.com/index.cfm?fuseaction=Listing.ListingDetail&amp;ListingID=19179645","Active")</f>
        <v>Active</v>
      </c>
      <c r="D334" t="s">
        <v>192</v>
      </c>
      <c r="E334" t="s">
        <v>217</v>
      </c>
      <c r="F334" s="9">
        <v>485000</v>
      </c>
      <c r="G334" t="s">
        <v>140</v>
      </c>
      <c r="H334" s="1">
        <v>2840</v>
      </c>
      <c r="I334">
        <v>7548</v>
      </c>
      <c r="J334">
        <v>4</v>
      </c>
      <c r="K334">
        <v>2</v>
      </c>
      <c r="M334" s="2" t="str">
        <f>HYPERLINK("http://www.windermere.com/index.cfm?fuseaction=Listing.MapPropertyInteractive&amp;ListingID=19179645&amp;resize=true&amp;windowWidth=800&amp;windowHeight=600","Map")</f>
        <v>Map</v>
      </c>
      <c r="O334" s="2" t="str">
        <f>HYPERLINK("http://www.windermere.com/index.cfm?fuseaction=Listing.MultiImageViewer&amp;ListingID=19179645&amp;ln=28004733&amp;pub_mls=1","More")</f>
        <v>More</v>
      </c>
      <c r="P334" t="s">
        <v>44</v>
      </c>
      <c r="AI334" t="s">
        <v>66</v>
      </c>
      <c r="AJ334">
        <v>98115</v>
      </c>
      <c r="AS334" t="s">
        <v>860</v>
      </c>
      <c r="AT334">
        <v>19179645</v>
      </c>
      <c r="AU334" s="10">
        <v>39495</v>
      </c>
      <c r="BB334" t="s">
        <v>902</v>
      </c>
      <c r="BC334" s="6">
        <v>39455</v>
      </c>
      <c r="BG334">
        <v>40</v>
      </c>
      <c r="BH334" s="15">
        <f t="shared" ca="1" si="5"/>
        <v>1154</v>
      </c>
      <c r="BI334" s="15"/>
      <c r="BJ334" s="15"/>
    </row>
    <row r="335" spans="1:63" hidden="1" x14ac:dyDescent="0.2">
      <c r="A335">
        <v>27187573</v>
      </c>
      <c r="B335" s="2" t="str">
        <f>HYPERLINK("http://www.windermere.com/index.cfm?fuseaction=Listing.ListingDetail&amp;ListingID=18825808","Active")</f>
        <v>Active</v>
      </c>
      <c r="D335" t="s">
        <v>63</v>
      </c>
      <c r="E335" t="s">
        <v>264</v>
      </c>
      <c r="F335" s="9">
        <v>488500</v>
      </c>
      <c r="G335" t="s">
        <v>147</v>
      </c>
      <c r="H335" s="1">
        <v>1746</v>
      </c>
      <c r="J335">
        <v>2</v>
      </c>
      <c r="K335">
        <v>2.5</v>
      </c>
      <c r="M335" s="2" t="str">
        <f>HYPERLINK("http://www.windermere.com/index.cfm?fuseaction=Listing.MapPropertyInteractive&amp;ListingID=18825808&amp;resize=true&amp;windowWidth=800&amp;windowHeight=600","Map")</f>
        <v>Map</v>
      </c>
      <c r="O335" s="2" t="str">
        <f>HYPERLINK("http://www.windermere.com/index.cfm?fuseaction=viewGallery.Home&amp;customTourID=197399&amp;wvt=0","More")</f>
        <v>More</v>
      </c>
      <c r="AI335" t="s">
        <v>66</v>
      </c>
      <c r="AJ335">
        <v>98117</v>
      </c>
      <c r="AS335" t="s">
        <v>265</v>
      </c>
      <c r="AT335">
        <v>18825808</v>
      </c>
      <c r="AU335" s="10">
        <v>39495</v>
      </c>
      <c r="BB335" t="s">
        <v>902</v>
      </c>
      <c r="BC335" s="6">
        <v>39372</v>
      </c>
      <c r="BG335">
        <v>123</v>
      </c>
      <c r="BH335" s="15">
        <f t="shared" ca="1" si="5"/>
        <v>1237</v>
      </c>
      <c r="BI335" s="15"/>
      <c r="BJ335" s="15"/>
    </row>
    <row r="336" spans="1:63" hidden="1" x14ac:dyDescent="0.2">
      <c r="A336">
        <v>28002418</v>
      </c>
      <c r="B336" s="2" t="str">
        <f>HYPERLINK("http://www.windermere.com/index.cfm?fuseaction=Listing.ListingDetail&amp;ListingID=19161435","Active")</f>
        <v>Active</v>
      </c>
      <c r="C336">
        <v>705</v>
      </c>
      <c r="D336" t="s">
        <v>63</v>
      </c>
      <c r="E336" t="s">
        <v>235</v>
      </c>
      <c r="F336" s="9">
        <v>488888</v>
      </c>
      <c r="G336" t="s">
        <v>142</v>
      </c>
      <c r="H336" s="1">
        <v>1780</v>
      </c>
      <c r="I336">
        <v>4608</v>
      </c>
      <c r="J336">
        <v>3</v>
      </c>
      <c r="K336">
        <v>2</v>
      </c>
      <c r="M336" s="2" t="str">
        <f>HYPERLINK("http://www.windermere.com/index.cfm?fuseaction=Listing.MapPropertyInteractive&amp;ListingID=19161435&amp;resize=true&amp;windowWidth=800&amp;windowHeight=600","Map")</f>
        <v>Map</v>
      </c>
      <c r="N336" s="2" t="str">
        <f>HYPERLINK("http://locmedia.nwmls.com/DO_NOT_LINK/bigphoto/418/28002418.jpg?tsp=20080203093902","Photo")</f>
        <v>Photo</v>
      </c>
      <c r="O336" s="2" t="str">
        <f>HYPERLINK("http://www.windermere.com/index.cfm?fuseaction=Listing.MultiImageViewer&amp;ListingID=19161435&amp;ln=28002418&amp;pub_mls=1","More")</f>
        <v>More</v>
      </c>
      <c r="Q336" t="s">
        <v>45</v>
      </c>
      <c r="R336" t="s">
        <v>46</v>
      </c>
      <c r="S336" t="s">
        <v>106</v>
      </c>
      <c r="T336" t="s">
        <v>62</v>
      </c>
      <c r="U336" t="s">
        <v>44</v>
      </c>
      <c r="X336" t="s">
        <v>47</v>
      </c>
      <c r="Y336" t="s">
        <v>48</v>
      </c>
      <c r="Z336" t="s">
        <v>951</v>
      </c>
      <c r="AA336" t="s">
        <v>952</v>
      </c>
      <c r="AB336">
        <v>2007</v>
      </c>
      <c r="AC336">
        <v>2529</v>
      </c>
      <c r="AD336" t="s">
        <v>953</v>
      </c>
      <c r="AE336" t="s">
        <v>954</v>
      </c>
      <c r="AF336" t="s">
        <v>201</v>
      </c>
      <c r="AG336">
        <v>47.692819</v>
      </c>
      <c r="AH336">
        <v>-122.363113</v>
      </c>
      <c r="AI336" t="s">
        <v>66</v>
      </c>
      <c r="AJ336">
        <v>98117</v>
      </c>
      <c r="AK336" t="s">
        <v>41</v>
      </c>
      <c r="AL336">
        <v>12</v>
      </c>
      <c r="AM336" t="s">
        <v>40</v>
      </c>
      <c r="AO336">
        <v>0.106</v>
      </c>
      <c r="AP336" t="s">
        <v>955</v>
      </c>
      <c r="AQ336">
        <v>534</v>
      </c>
      <c r="AR336" t="s">
        <v>97</v>
      </c>
      <c r="AS336" t="s">
        <v>263</v>
      </c>
      <c r="AT336">
        <v>19161435</v>
      </c>
      <c r="AU336" s="10">
        <v>39495</v>
      </c>
      <c r="BA336" t="s">
        <v>902</v>
      </c>
      <c r="BB336" t="s">
        <v>902</v>
      </c>
      <c r="BC336" s="6">
        <v>39451</v>
      </c>
      <c r="BD336">
        <v>4</v>
      </c>
      <c r="BE336" t="s">
        <v>1274</v>
      </c>
      <c r="BF336" s="6">
        <v>39494</v>
      </c>
      <c r="BG336">
        <v>44</v>
      </c>
      <c r="BH336" s="15">
        <f t="shared" ca="1" si="5"/>
        <v>1158</v>
      </c>
      <c r="BI336" s="15"/>
      <c r="BJ336" s="15"/>
    </row>
    <row r="337" spans="1:63" hidden="1" x14ac:dyDescent="0.2">
      <c r="A337">
        <v>27199788</v>
      </c>
      <c r="B337" s="2" t="str">
        <f>HYPERLINK("http://www.windermere.com/index.cfm?fuseaction=Listing.ListingDetail&amp;ListingID=18940217","Active")</f>
        <v>Active</v>
      </c>
      <c r="D337" t="s">
        <v>100</v>
      </c>
      <c r="E337" t="s">
        <v>865</v>
      </c>
      <c r="F337" s="11">
        <v>479950</v>
      </c>
      <c r="G337" t="s">
        <v>147</v>
      </c>
      <c r="H337" s="1">
        <v>1586</v>
      </c>
      <c r="J337">
        <v>3</v>
      </c>
      <c r="K337">
        <v>2.25</v>
      </c>
      <c r="M337" s="2" t="str">
        <f>HYPERLINK("http://www.windermere.com/index.cfm?fuseaction=Listing.MapPropertyInteractive&amp;ListingID=18940217&amp;resize=true&amp;windowWidth=800&amp;windowHeight=600","Map")</f>
        <v>Map</v>
      </c>
      <c r="O337" s="2" t="str">
        <f>HYPERLINK("http://www.windermere.com/index.cfm?fuseaction=Listing.MultiImageViewer&amp;ListingID=18940217&amp;ln=27199788&amp;pub_mls=1","More")</f>
        <v>More</v>
      </c>
      <c r="P337" t="s">
        <v>44</v>
      </c>
      <c r="AI337" t="s">
        <v>66</v>
      </c>
      <c r="AJ337">
        <v>98103</v>
      </c>
      <c r="AS337" t="s">
        <v>866</v>
      </c>
      <c r="AT337">
        <v>18940217</v>
      </c>
      <c r="AU337" s="10">
        <v>39495</v>
      </c>
      <c r="BB337" t="s">
        <v>902</v>
      </c>
      <c r="BC337" s="6">
        <v>39395</v>
      </c>
      <c r="BG337">
        <v>100</v>
      </c>
      <c r="BH337" s="15">
        <f t="shared" ca="1" si="5"/>
        <v>1214</v>
      </c>
      <c r="BI337" s="15"/>
      <c r="BJ337" s="15"/>
    </row>
    <row r="338" spans="1:63" hidden="1" x14ac:dyDescent="0.2">
      <c r="A338">
        <v>28018983</v>
      </c>
      <c r="B338" s="2" t="str">
        <f>HYPERLINK("http://www.windermere.com/index.cfm?fuseaction=Listing.ListingDetail&amp;ListingID=19312722","Active")</f>
        <v>Active</v>
      </c>
      <c r="C338">
        <v>710</v>
      </c>
      <c r="D338" t="s">
        <v>192</v>
      </c>
      <c r="E338" t="s">
        <v>861</v>
      </c>
      <c r="F338" s="11">
        <v>474950</v>
      </c>
      <c r="G338" t="s">
        <v>227</v>
      </c>
      <c r="H338" s="1">
        <v>2400</v>
      </c>
      <c r="I338">
        <v>2980</v>
      </c>
      <c r="J338">
        <v>4</v>
      </c>
      <c r="K338">
        <v>1</v>
      </c>
      <c r="L338">
        <v>1</v>
      </c>
      <c r="M338" s="2" t="str">
        <f>HYPERLINK("http://www.windermere.com/index.cfm?fuseaction=Listing.MapPropertyInteractive&amp;ListingID=19312722&amp;resize=true&amp;windowWidth=800&amp;windowHeight=600","Map")</f>
        <v>Map</v>
      </c>
      <c r="N338" s="2" t="str">
        <f>HYPERLINK("http://locmedia.nwmls.com/DO_NOT_LINK/bigphoto/983/28018983.jpg?tsp=20080204214901","Photo")</f>
        <v>Photo</v>
      </c>
      <c r="O338" s="2" t="str">
        <f>HYPERLINK("http://www.windermere.com/index.cfm?fuseaction=Listing.MultiImageViewer&amp;ListingID=19312722&amp;ln=28018983&amp;pub_mls=1","More")</f>
        <v>More</v>
      </c>
      <c r="Q338" t="s">
        <v>56</v>
      </c>
      <c r="R338" t="s">
        <v>67</v>
      </c>
      <c r="S338" t="s">
        <v>53</v>
      </c>
      <c r="T338" t="s">
        <v>95</v>
      </c>
      <c r="U338" t="s">
        <v>44</v>
      </c>
      <c r="X338" t="s">
        <v>47</v>
      </c>
      <c r="Y338" t="s">
        <v>48</v>
      </c>
      <c r="Z338" t="s">
        <v>68</v>
      </c>
      <c r="AA338" t="s">
        <v>96</v>
      </c>
      <c r="AB338">
        <v>2007</v>
      </c>
      <c r="AC338">
        <v>2380</v>
      </c>
      <c r="AD338" t="s">
        <v>988</v>
      </c>
      <c r="AE338" t="s">
        <v>989</v>
      </c>
      <c r="AF338" t="s">
        <v>115</v>
      </c>
      <c r="AG338">
        <v>47.684269999999998</v>
      </c>
      <c r="AH338">
        <v>-122.316231</v>
      </c>
      <c r="AI338" t="s">
        <v>66</v>
      </c>
      <c r="AJ338">
        <v>98115</v>
      </c>
      <c r="AK338" t="s">
        <v>41</v>
      </c>
      <c r="AL338">
        <v>8</v>
      </c>
      <c r="AM338" t="s">
        <v>40</v>
      </c>
      <c r="AO338">
        <v>6.8000000000000005E-2</v>
      </c>
      <c r="AP338" t="s">
        <v>990</v>
      </c>
      <c r="AQ338">
        <v>535</v>
      </c>
      <c r="AR338" t="s">
        <v>222</v>
      </c>
      <c r="AS338" t="s">
        <v>862</v>
      </c>
      <c r="AT338">
        <v>19312722</v>
      </c>
      <c r="AU338" s="10">
        <v>39495</v>
      </c>
      <c r="BA338" t="s">
        <v>902</v>
      </c>
      <c r="BB338" t="s">
        <v>902</v>
      </c>
      <c r="BC338" s="6">
        <v>39479</v>
      </c>
      <c r="BG338">
        <v>16</v>
      </c>
      <c r="BH338" s="15">
        <f t="shared" ca="1" si="5"/>
        <v>1130</v>
      </c>
      <c r="BI338" s="15"/>
      <c r="BJ338" s="15"/>
    </row>
    <row r="339" spans="1:63" hidden="1" x14ac:dyDescent="0.2">
      <c r="A339">
        <v>28019152</v>
      </c>
      <c r="B339" s="2" t="str">
        <f>HYPERLINK("http://www.windermere.com/index.cfm?fuseaction=Listing.ListingDetail&amp;ListingID=19308244","Contingent")</f>
        <v>Contingent</v>
      </c>
      <c r="D339" t="s">
        <v>908</v>
      </c>
      <c r="E339" t="s">
        <v>863</v>
      </c>
      <c r="F339" s="9">
        <v>489000</v>
      </c>
      <c r="G339" t="s">
        <v>631</v>
      </c>
      <c r="H339" s="1">
        <v>1643</v>
      </c>
      <c r="J339">
        <v>2</v>
      </c>
      <c r="K339">
        <v>2.5</v>
      </c>
      <c r="M339" s="2" t="str">
        <f>HYPERLINK("http://www.windermere.com/index.cfm?fuseaction=Listing.MapPropertyInteractive&amp;ListingID=19308244&amp;resize=true&amp;windowWidth=800&amp;windowHeight=600","Map")</f>
        <v>Map</v>
      </c>
      <c r="O339" s="2" t="str">
        <f>HYPERLINK("http://www.windermere.com/index.cfm?fuseaction=Listing.MultiImageViewer&amp;ListingID=19308244&amp;ln=28019152&amp;pub_mls=1","More")</f>
        <v>More</v>
      </c>
      <c r="AI339" t="s">
        <v>66</v>
      </c>
      <c r="AJ339">
        <v>98133</v>
      </c>
      <c r="AS339" t="s">
        <v>864</v>
      </c>
      <c r="AT339">
        <v>19308244</v>
      </c>
      <c r="AU339" s="10">
        <v>39495</v>
      </c>
      <c r="BB339" t="s">
        <v>902</v>
      </c>
      <c r="BC339" s="6">
        <v>39479</v>
      </c>
      <c r="BG339">
        <v>16</v>
      </c>
      <c r="BH339" s="15">
        <f t="shared" ca="1" si="5"/>
        <v>1130</v>
      </c>
      <c r="BI339" s="15"/>
      <c r="BJ339" s="15"/>
      <c r="BK339" t="str">
        <f>B339</f>
        <v>Contingent</v>
      </c>
    </row>
    <row r="340" spans="1:63" hidden="1" x14ac:dyDescent="0.2">
      <c r="A340">
        <v>27205600</v>
      </c>
      <c r="B340" s="2" t="str">
        <f>HYPERLINK("http://www.windermere.com/index.cfm?fuseaction=Listing.ListingDetail&amp;ListingID=19013395","Active")</f>
        <v>Active</v>
      </c>
      <c r="D340" t="s">
        <v>99</v>
      </c>
      <c r="E340" t="s">
        <v>261</v>
      </c>
      <c r="F340" s="9">
        <v>489500</v>
      </c>
      <c r="G340" t="s">
        <v>138</v>
      </c>
      <c r="H340" s="1">
        <v>1980</v>
      </c>
      <c r="I340">
        <v>8538</v>
      </c>
      <c r="J340">
        <v>3</v>
      </c>
      <c r="K340">
        <v>2</v>
      </c>
      <c r="M340" s="2" t="str">
        <f>HYPERLINK("http://www.windermere.com/index.cfm?fuseaction=Listing.MapPropertyInteractive&amp;ListingID=19013395&amp;resize=true&amp;windowWidth=800&amp;windowHeight=600","Map")</f>
        <v>Map</v>
      </c>
      <c r="O340" s="2" t="str">
        <f>HYPERLINK("http://www.windermere.com/index.cfm?fuseaction=Listing.MultiImageViewer&amp;ListingID=19013395&amp;ln=27205600&amp;pub_mls=1","More")</f>
        <v>More</v>
      </c>
      <c r="P340" t="s">
        <v>44</v>
      </c>
      <c r="AI340" t="s">
        <v>66</v>
      </c>
      <c r="AJ340">
        <v>98117</v>
      </c>
      <c r="AS340" t="s">
        <v>262</v>
      </c>
      <c r="AT340">
        <v>19013395</v>
      </c>
      <c r="AU340" s="10">
        <v>39495</v>
      </c>
      <c r="BB340" t="s">
        <v>902</v>
      </c>
      <c r="BC340" s="6">
        <v>39412</v>
      </c>
      <c r="BG340">
        <v>83</v>
      </c>
      <c r="BH340" s="15">
        <f t="shared" ca="1" si="5"/>
        <v>1197</v>
      </c>
      <c r="BI340" s="15"/>
      <c r="BJ340" s="15"/>
    </row>
    <row r="341" spans="1:63" hidden="1" x14ac:dyDescent="0.2">
      <c r="A341">
        <v>28002334</v>
      </c>
      <c r="B341" s="2" t="str">
        <f>HYPERLINK("http://www.windermere.com/index.cfm?fuseaction=Listing.ListingDetail&amp;ListingID=19158681","Subject To Inspection")</f>
        <v>Subject To Inspection</v>
      </c>
      <c r="D341" t="s">
        <v>202</v>
      </c>
      <c r="E341" t="s">
        <v>220</v>
      </c>
      <c r="F341" s="9">
        <v>489950</v>
      </c>
      <c r="G341" t="s">
        <v>161</v>
      </c>
      <c r="H341" s="1">
        <v>2050</v>
      </c>
      <c r="I341">
        <v>7241</v>
      </c>
      <c r="J341">
        <v>3</v>
      </c>
      <c r="K341">
        <v>2</v>
      </c>
      <c r="M341" s="2" t="str">
        <f>HYPERLINK("http://www.windermere.com/index.cfm?fuseaction=Listing.MapPropertyInteractive&amp;ListingID=19158681&amp;resize=true&amp;windowWidth=800&amp;windowHeight=600","Map")</f>
        <v>Map</v>
      </c>
      <c r="O341" s="2" t="str">
        <f>HYPERLINK("http://www.windermere.com/index.cfm?fuseaction=Listing.MultiImageViewer&amp;ListingID=19158681&amp;ln=28002334&amp;pub_mls=1","More")</f>
        <v>More</v>
      </c>
      <c r="AI341" t="s">
        <v>66</v>
      </c>
      <c r="AJ341">
        <v>98125</v>
      </c>
      <c r="AS341" t="s">
        <v>867</v>
      </c>
      <c r="AT341">
        <v>19158681</v>
      </c>
      <c r="AU341" s="10">
        <v>39495</v>
      </c>
      <c r="BB341" t="s">
        <v>902</v>
      </c>
      <c r="BC341" s="6">
        <v>39451</v>
      </c>
      <c r="BG341">
        <v>44</v>
      </c>
      <c r="BH341" s="15">
        <f t="shared" ca="1" si="5"/>
        <v>1158</v>
      </c>
      <c r="BI341" s="15"/>
      <c r="BJ341" s="15"/>
      <c r="BK341" t="str">
        <f>B341</f>
        <v>Subject To Inspection</v>
      </c>
    </row>
    <row r="342" spans="1:63" hidden="1" x14ac:dyDescent="0.2">
      <c r="A342">
        <v>28010699</v>
      </c>
      <c r="B342" s="2" t="str">
        <f>HYPERLINK("http://www.windermere.com/index.cfm?fuseaction=Listing.ListingDetail&amp;ListingID=19241417","Active")</f>
        <v>Active</v>
      </c>
      <c r="D342" t="s">
        <v>88</v>
      </c>
      <c r="E342" t="s">
        <v>259</v>
      </c>
      <c r="F342" s="9">
        <v>489950</v>
      </c>
      <c r="G342" t="s">
        <v>159</v>
      </c>
      <c r="H342" s="1">
        <v>1900</v>
      </c>
      <c r="I342">
        <v>4000</v>
      </c>
      <c r="J342">
        <v>3</v>
      </c>
      <c r="K342">
        <v>1</v>
      </c>
      <c r="M342" s="2" t="str">
        <f>HYPERLINK("http://www.windermere.com/index.cfm?fuseaction=Listing.MapPropertyInteractive&amp;ListingID=19241417&amp;resize=true&amp;windowWidth=800&amp;windowHeight=600","Map")</f>
        <v>Map</v>
      </c>
      <c r="O342" s="2" t="str">
        <f>HYPERLINK("http://www.windermere.com/index.cfm?fuseaction=Listing.MultiImageViewer&amp;ListingID=19241417&amp;ln=28010699&amp;pub_mls=1","More")</f>
        <v>More</v>
      </c>
      <c r="P342" t="s">
        <v>44</v>
      </c>
      <c r="AI342" t="s">
        <v>66</v>
      </c>
      <c r="AJ342">
        <v>98117</v>
      </c>
      <c r="AS342" t="s">
        <v>260</v>
      </c>
      <c r="AT342">
        <v>19241417</v>
      </c>
      <c r="AU342" s="10">
        <v>39495</v>
      </c>
      <c r="BB342" t="s">
        <v>902</v>
      </c>
      <c r="BC342" s="6">
        <v>39464</v>
      </c>
      <c r="BG342">
        <v>31</v>
      </c>
      <c r="BH342" s="15">
        <f t="shared" ca="1" si="5"/>
        <v>1145</v>
      </c>
      <c r="BI342" s="15"/>
      <c r="BJ342" s="15"/>
    </row>
    <row r="343" spans="1:63" hidden="1" x14ac:dyDescent="0.2">
      <c r="A343">
        <v>27194132</v>
      </c>
      <c r="B343" s="2" t="str">
        <f>HYPERLINK("http://www.windermere.com/index.cfm?fuseaction=Listing.ListingDetail&amp;ListingID=18892187","Subject To Inspection")</f>
        <v>Subject To Inspection</v>
      </c>
      <c r="D343" t="s">
        <v>101</v>
      </c>
      <c r="E343" t="s">
        <v>257</v>
      </c>
      <c r="F343" s="9">
        <v>490000</v>
      </c>
      <c r="G343" t="s">
        <v>149</v>
      </c>
      <c r="H343">
        <v>850</v>
      </c>
      <c r="I343">
        <v>16117</v>
      </c>
      <c r="J343">
        <v>2</v>
      </c>
      <c r="K343">
        <v>1</v>
      </c>
      <c r="M343" s="2" t="str">
        <f>HYPERLINK("http://www.windermere.com/index.cfm?fuseaction=Listing.MapPropertyInteractive&amp;ListingID=18892187&amp;resize=true&amp;windowWidth=800&amp;windowHeight=600","Map")</f>
        <v>Map</v>
      </c>
      <c r="O343" s="2" t="str">
        <f>HYPERLINK("http://www.windermere.com/index.cfm?fuseaction=Listing.MultiImageViewer&amp;ListingID=18892187&amp;ln=27194132&amp;pub_mls=1","More")</f>
        <v>More</v>
      </c>
      <c r="AI343" t="s">
        <v>66</v>
      </c>
      <c r="AJ343">
        <v>98117</v>
      </c>
      <c r="AS343" t="s">
        <v>258</v>
      </c>
      <c r="AT343">
        <v>18892187</v>
      </c>
      <c r="AU343" s="10">
        <v>39495</v>
      </c>
      <c r="BB343" t="s">
        <v>902</v>
      </c>
      <c r="BC343" s="6">
        <v>39386</v>
      </c>
      <c r="BG343">
        <v>109</v>
      </c>
      <c r="BH343" s="15">
        <f t="shared" ca="1" si="5"/>
        <v>1223</v>
      </c>
      <c r="BI343" s="15"/>
      <c r="BJ343" s="15"/>
      <c r="BK343" t="str">
        <f>B343</f>
        <v>Subject To Inspection</v>
      </c>
    </row>
    <row r="344" spans="1:63" hidden="1" x14ac:dyDescent="0.2">
      <c r="A344">
        <v>27166657</v>
      </c>
      <c r="B344" s="2" t="str">
        <f>HYPERLINK("http://www.windermere.com/index.cfm?fuseaction=Listing.ListingDetail&amp;ListingID=18620816","Active")</f>
        <v>Active</v>
      </c>
      <c r="D344" t="s">
        <v>60</v>
      </c>
      <c r="E344" t="s">
        <v>869</v>
      </c>
      <c r="F344" s="9">
        <v>492500</v>
      </c>
      <c r="G344" t="s">
        <v>177</v>
      </c>
      <c r="H344" s="1">
        <v>1484</v>
      </c>
      <c r="I344">
        <v>3720</v>
      </c>
      <c r="J344">
        <v>2</v>
      </c>
      <c r="K344">
        <v>1.5</v>
      </c>
      <c r="M344" s="2" t="str">
        <f>HYPERLINK("http://www.windermere.com/index.cfm?fuseaction=Listing.MapPropertyInteractive&amp;ListingID=18620816&amp;resize=true&amp;windowWidth=800&amp;windowHeight=600","Map")</f>
        <v>Map</v>
      </c>
      <c r="O344" s="2" t="str">
        <f>HYPERLINK("http://www.windermere.com/index.cfm?fuseaction=Listing.MultiImageViewer&amp;ListingID=18620816&amp;ln=27166657&amp;pub_mls=1","More")</f>
        <v>More</v>
      </c>
      <c r="P344" t="s">
        <v>44</v>
      </c>
      <c r="AI344" t="s">
        <v>66</v>
      </c>
      <c r="AJ344">
        <v>98103</v>
      </c>
      <c r="AS344" t="s">
        <v>870</v>
      </c>
      <c r="AT344">
        <v>18620816</v>
      </c>
      <c r="AU344" s="10">
        <v>39495</v>
      </c>
      <c r="BB344" t="s">
        <v>902</v>
      </c>
      <c r="BC344" s="6">
        <v>39337</v>
      </c>
      <c r="BD344">
        <v>1</v>
      </c>
      <c r="BE344" s="5" t="s">
        <v>1264</v>
      </c>
      <c r="BG344">
        <v>158</v>
      </c>
      <c r="BH344" s="15">
        <f t="shared" ca="1" si="5"/>
        <v>1272</v>
      </c>
      <c r="BI344" s="15"/>
      <c r="BJ344" s="15"/>
    </row>
    <row r="345" spans="1:63" hidden="1" x14ac:dyDescent="0.2">
      <c r="A345">
        <v>28001598</v>
      </c>
      <c r="B345" s="2" t="str">
        <f>HYPERLINK("http://www.windermere.com/index.cfm?fuseaction=Listing.ListingDetail&amp;ListingID=19153177","Active")</f>
        <v>Active</v>
      </c>
      <c r="D345" t="s">
        <v>100</v>
      </c>
      <c r="E345" t="s">
        <v>871</v>
      </c>
      <c r="F345" s="9">
        <v>495000</v>
      </c>
      <c r="G345" t="s">
        <v>124</v>
      </c>
      <c r="H345" s="1">
        <v>1240</v>
      </c>
      <c r="I345">
        <v>4000</v>
      </c>
      <c r="J345">
        <v>2</v>
      </c>
      <c r="K345">
        <v>2</v>
      </c>
      <c r="M345" s="2" t="str">
        <f>HYPERLINK("http://www.windermere.com/index.cfm?fuseaction=Listing.MapPropertyInteractive&amp;ListingID=19153177&amp;resize=true&amp;windowWidth=800&amp;windowHeight=600","Map")</f>
        <v>Map</v>
      </c>
      <c r="AI345" t="s">
        <v>66</v>
      </c>
      <c r="AJ345">
        <v>98107</v>
      </c>
      <c r="AS345" t="s">
        <v>872</v>
      </c>
      <c r="AT345">
        <v>19153177</v>
      </c>
      <c r="AU345" s="10">
        <v>39495</v>
      </c>
      <c r="BB345" t="s">
        <v>902</v>
      </c>
      <c r="BC345" s="6">
        <v>39450</v>
      </c>
      <c r="BG345">
        <v>45</v>
      </c>
      <c r="BH345" s="15">
        <f t="shared" ca="1" si="5"/>
        <v>1159</v>
      </c>
      <c r="BI345" s="15"/>
      <c r="BJ345" s="15"/>
    </row>
    <row r="346" spans="1:63" hidden="1" x14ac:dyDescent="0.2">
      <c r="A346">
        <v>28003291</v>
      </c>
      <c r="B346" s="2" t="str">
        <f>HYPERLINK("http://www.windermere.com/index.cfm?fuseaction=Listing.ListingDetail&amp;ListingID=19168304","Active")</f>
        <v>Active</v>
      </c>
      <c r="D346" t="s">
        <v>192</v>
      </c>
      <c r="E346" t="s">
        <v>873</v>
      </c>
      <c r="F346" s="9">
        <v>495000</v>
      </c>
      <c r="G346" t="s">
        <v>146</v>
      </c>
      <c r="H346" s="1">
        <v>1260</v>
      </c>
      <c r="I346">
        <v>7250</v>
      </c>
      <c r="J346">
        <v>2</v>
      </c>
      <c r="K346">
        <v>1</v>
      </c>
      <c r="M346" s="2" t="str">
        <f>HYPERLINK("http://www.windermere.com/index.cfm?fuseaction=Listing.MapPropertyInteractive&amp;ListingID=19168304&amp;resize=true&amp;windowWidth=800&amp;windowHeight=600","Map")</f>
        <v>Map</v>
      </c>
      <c r="O346" s="2" t="str">
        <f>HYPERLINK("http://www.windermere.com/index.cfm?fuseaction=Listing.MultiImageViewer&amp;ListingID=19168304&amp;ln=28003291&amp;pub_mls=1","More")</f>
        <v>More</v>
      </c>
      <c r="P346" t="s">
        <v>44</v>
      </c>
      <c r="AI346" t="s">
        <v>66</v>
      </c>
      <c r="AJ346">
        <v>98115</v>
      </c>
      <c r="AS346" t="s">
        <v>874</v>
      </c>
      <c r="AT346">
        <v>19168304</v>
      </c>
      <c r="AU346" s="10">
        <v>39495</v>
      </c>
      <c r="BB346" t="s">
        <v>902</v>
      </c>
      <c r="BC346" s="6">
        <v>39452</v>
      </c>
      <c r="BG346">
        <v>43</v>
      </c>
      <c r="BH346" s="15">
        <f t="shared" ca="1" si="5"/>
        <v>1157</v>
      </c>
      <c r="BI346" s="15"/>
      <c r="BJ346" s="15"/>
    </row>
    <row r="347" spans="1:63" hidden="1" x14ac:dyDescent="0.2">
      <c r="A347">
        <v>28013425</v>
      </c>
      <c r="B347" s="2" t="str">
        <f>HYPERLINK("http://www.windermere.com/index.cfm?fuseaction=Listing.ListingDetail&amp;ListingID=19261684","Active")</f>
        <v>Active</v>
      </c>
      <c r="D347" t="s">
        <v>972</v>
      </c>
      <c r="E347" t="s">
        <v>1082</v>
      </c>
      <c r="F347" s="9">
        <v>495000</v>
      </c>
      <c r="G347" t="s">
        <v>157</v>
      </c>
      <c r="H347" s="1">
        <v>1140</v>
      </c>
      <c r="I347">
        <v>7200</v>
      </c>
      <c r="J347">
        <v>3</v>
      </c>
      <c r="K347">
        <v>1</v>
      </c>
      <c r="M347" s="2" t="str">
        <f>HYPERLINK("http://www.windermere.com/index.cfm?fuseaction=Listing.MapPropertyInteractive&amp;ListingID=19261684&amp;resize=true&amp;windowWidth=800&amp;windowHeight=600","Map")</f>
        <v>Map</v>
      </c>
      <c r="O347" s="2" t="str">
        <f>HYPERLINK("http://www.windermere.com/index.cfm?fuseaction=Listing.MultiImageViewer&amp;ListingID=19261684&amp;ln=28013425&amp;pub_mls=1","More")</f>
        <v>More</v>
      </c>
      <c r="AI347" t="s">
        <v>66</v>
      </c>
      <c r="AJ347">
        <v>98125</v>
      </c>
      <c r="AS347" t="s">
        <v>1083</v>
      </c>
      <c r="AT347">
        <v>19261684</v>
      </c>
      <c r="AU347" s="10">
        <v>39495</v>
      </c>
      <c r="BB347" t="s">
        <v>902</v>
      </c>
      <c r="BC347" s="6">
        <v>39469</v>
      </c>
      <c r="BG347">
        <v>26</v>
      </c>
      <c r="BH347" s="15">
        <f t="shared" ca="1" si="5"/>
        <v>1140</v>
      </c>
      <c r="BI347" s="15"/>
      <c r="BJ347" s="15"/>
    </row>
    <row r="348" spans="1:63" x14ac:dyDescent="0.2">
      <c r="A348">
        <v>28025807</v>
      </c>
      <c r="B348" s="2" t="str">
        <f>HYPERLINK("http://www.windermere.com/index.cfm?fuseaction=Listing.ListingDetail&amp;ListingID=19365411","Active")</f>
        <v>Active</v>
      </c>
      <c r="D348" t="s">
        <v>63</v>
      </c>
      <c r="E348" t="s">
        <v>255</v>
      </c>
      <c r="F348" s="11">
        <v>485000</v>
      </c>
      <c r="G348" t="s">
        <v>149</v>
      </c>
      <c r="H348" s="1">
        <v>2100</v>
      </c>
      <c r="I348">
        <v>4005</v>
      </c>
      <c r="J348">
        <v>3</v>
      </c>
      <c r="K348">
        <v>1</v>
      </c>
      <c r="M348" s="2" t="str">
        <f>HYPERLINK("http://www.windermere.com/index.cfm?fuseaction=Listing.MapPropertyInteractive&amp;ListingID=19365411&amp;resize=true&amp;windowWidth=800&amp;windowHeight=600","Map")</f>
        <v>Map</v>
      </c>
      <c r="O348" s="2" t="str">
        <f>HYPERLINK("http://www.windermere.com/index.cfm?fuseaction=Listing.MultiImageViewer&amp;ListingID=19365411&amp;ln=28025807&amp;pub_mls=1","More")</f>
        <v>More</v>
      </c>
      <c r="AI348" t="s">
        <v>66</v>
      </c>
      <c r="AJ348">
        <v>98117</v>
      </c>
      <c r="AS348" t="s">
        <v>256</v>
      </c>
      <c r="AT348">
        <v>19365411</v>
      </c>
      <c r="AU348" s="10">
        <v>39495</v>
      </c>
      <c r="BB348" t="s">
        <v>902</v>
      </c>
      <c r="BC348" s="6">
        <v>39491</v>
      </c>
      <c r="BD348" t="s">
        <v>1556</v>
      </c>
      <c r="BE348" t="s">
        <v>1559</v>
      </c>
      <c r="BF348" s="6">
        <v>39508</v>
      </c>
      <c r="BG348">
        <v>4</v>
      </c>
      <c r="BH348" s="15">
        <f t="shared" ca="1" si="5"/>
        <v>1118</v>
      </c>
      <c r="BI348" s="15"/>
      <c r="BJ348" s="15"/>
    </row>
    <row r="349" spans="1:63" hidden="1" x14ac:dyDescent="0.2">
      <c r="A349">
        <v>28027518</v>
      </c>
      <c r="B349" s="2" t="str">
        <f>HYPERLINK("http://www.windermere.com/index.cfm?fuseaction=Listing.ListingDetail&amp;ListingID=19377896","Active")</f>
        <v>Active</v>
      </c>
      <c r="D349" t="s">
        <v>63</v>
      </c>
      <c r="E349" t="s">
        <v>253</v>
      </c>
      <c r="F349" s="9">
        <v>495000</v>
      </c>
      <c r="G349" t="s">
        <v>239</v>
      </c>
      <c r="H349" s="1">
        <v>1670</v>
      </c>
      <c r="J349">
        <v>3</v>
      </c>
      <c r="K349">
        <v>3.5</v>
      </c>
      <c r="M349" s="2" t="str">
        <f>HYPERLINK("http://www.windermere.com/index.cfm?fuseaction=Listing.MapPropertyInteractive&amp;ListingID=19377896&amp;resize=true&amp;windowWidth=800&amp;windowHeight=600","Map")</f>
        <v>Map</v>
      </c>
      <c r="O349" s="2" t="str">
        <f>HYPERLINK("http://www.windermere.com/index.cfm?fuseaction=Listing.MultiImageViewer&amp;ListingID=19377896&amp;ln=28027518&amp;pub_mls=1","More")</f>
        <v>More</v>
      </c>
      <c r="P349" t="s">
        <v>44</v>
      </c>
      <c r="AI349" t="s">
        <v>66</v>
      </c>
      <c r="AJ349">
        <v>98117</v>
      </c>
      <c r="AS349" t="s">
        <v>254</v>
      </c>
      <c r="AT349">
        <v>19377896</v>
      </c>
      <c r="AU349" s="10">
        <v>39495</v>
      </c>
      <c r="BB349" t="s">
        <v>902</v>
      </c>
      <c r="BC349" s="6">
        <v>39493</v>
      </c>
      <c r="BG349">
        <v>2</v>
      </c>
      <c r="BH349" s="15">
        <f t="shared" ca="1" si="5"/>
        <v>1116</v>
      </c>
      <c r="BI349" s="15"/>
      <c r="BJ349" s="15"/>
    </row>
    <row r="350" spans="1:63" hidden="1" x14ac:dyDescent="0.2">
      <c r="A350">
        <v>27215393</v>
      </c>
      <c r="B350" s="13" t="str">
        <f>HYPERLINK("http://www.windermere.com/index.cfm?fuseaction=Listing.ListingDetail&amp;ListingID=19125238","Subject To Inspection")</f>
        <v>Subject To Inspection</v>
      </c>
      <c r="D350" t="s">
        <v>1011</v>
      </c>
      <c r="E350" t="s">
        <v>251</v>
      </c>
      <c r="F350" s="9">
        <v>498500</v>
      </c>
      <c r="G350" t="s">
        <v>124</v>
      </c>
      <c r="H350" s="1">
        <v>2460</v>
      </c>
      <c r="J350">
        <v>3</v>
      </c>
      <c r="K350">
        <v>1.75</v>
      </c>
      <c r="M350" s="2" t="str">
        <f>HYPERLINK("http://www.windermere.com/index.cfm?fuseaction=Listing.MapPropertyInteractive&amp;ListingID=19125238&amp;resize=true&amp;windowWidth=800&amp;windowHeight=600","Map")</f>
        <v>Map</v>
      </c>
      <c r="O350" s="2" t="str">
        <f>HYPERLINK("http://www.windermere.com/index.cfm?fuseaction=Listing.MultiImageViewer&amp;ListingID=19125238&amp;ln=27215393&amp;pub_mls=1","More")</f>
        <v>More</v>
      </c>
      <c r="P350" t="s">
        <v>44</v>
      </c>
      <c r="AI350" t="s">
        <v>66</v>
      </c>
      <c r="AJ350">
        <v>98117</v>
      </c>
      <c r="AS350" t="s">
        <v>252</v>
      </c>
      <c r="AT350">
        <v>19125238</v>
      </c>
      <c r="AU350" s="10">
        <v>39495</v>
      </c>
      <c r="BB350" t="s">
        <v>902</v>
      </c>
      <c r="BC350" s="6">
        <v>39439</v>
      </c>
      <c r="BG350">
        <v>56</v>
      </c>
      <c r="BH350" s="15">
        <f t="shared" ca="1" si="5"/>
        <v>1170</v>
      </c>
      <c r="BI350" s="15"/>
      <c r="BJ350" s="15"/>
    </row>
    <row r="351" spans="1:63" hidden="1" x14ac:dyDescent="0.2">
      <c r="A351">
        <v>27173714</v>
      </c>
      <c r="B351" s="2" t="str">
        <f>HYPERLINK("http://www.windermere.com/index.cfm?fuseaction=Listing.ListingDetail&amp;ListingID=19153814","Active")</f>
        <v>Active</v>
      </c>
      <c r="D351" t="s">
        <v>60</v>
      </c>
      <c r="E351" t="s">
        <v>875</v>
      </c>
      <c r="F351" s="9">
        <v>499000</v>
      </c>
      <c r="G351" t="s">
        <v>156</v>
      </c>
      <c r="H351" s="1">
        <v>1860</v>
      </c>
      <c r="I351">
        <v>4340</v>
      </c>
      <c r="J351">
        <v>2</v>
      </c>
      <c r="K351">
        <v>1.75</v>
      </c>
      <c r="M351" s="2" t="str">
        <f>HYPERLINK("http://www.windermere.com/index.cfm?fuseaction=Listing.MapPropertyInteractive&amp;ListingID=19153814&amp;resize=true&amp;windowWidth=800&amp;windowHeight=600","Map")</f>
        <v>Map</v>
      </c>
      <c r="O351" s="2" t="str">
        <f>HYPERLINK("http://www.windermere.com/index.cfm?fuseaction=Listing.MultiImageViewer&amp;ListingID=19153814&amp;ln=27173714&amp;pub_mls=1","More")</f>
        <v>More</v>
      </c>
      <c r="AI351" t="s">
        <v>66</v>
      </c>
      <c r="AJ351">
        <v>98103</v>
      </c>
      <c r="AS351" t="s">
        <v>876</v>
      </c>
      <c r="AT351">
        <v>19153814</v>
      </c>
      <c r="AU351" s="10">
        <v>39495</v>
      </c>
      <c r="BB351" t="s">
        <v>902</v>
      </c>
      <c r="BC351" s="6">
        <v>39347</v>
      </c>
      <c r="BG351">
        <v>148</v>
      </c>
      <c r="BH351" s="15">
        <f t="shared" ca="1" si="5"/>
        <v>1262</v>
      </c>
      <c r="BI351" s="15"/>
      <c r="BJ351" s="15"/>
    </row>
    <row r="352" spans="1:63" hidden="1" x14ac:dyDescent="0.2">
      <c r="A352">
        <v>28001855</v>
      </c>
      <c r="B352" s="2" t="str">
        <f>HYPERLINK("http://www.windermere.com/index.cfm?fuseaction=Listing.ListingDetail&amp;ListingID=19154776","Active")</f>
        <v>Active</v>
      </c>
      <c r="D352" t="s">
        <v>63</v>
      </c>
      <c r="E352" t="s">
        <v>877</v>
      </c>
      <c r="F352" s="11">
        <v>475000</v>
      </c>
      <c r="G352" t="s">
        <v>369</v>
      </c>
      <c r="H352" s="1">
        <v>1890</v>
      </c>
      <c r="I352">
        <v>5000</v>
      </c>
      <c r="J352">
        <v>3</v>
      </c>
      <c r="K352">
        <v>1.75</v>
      </c>
      <c r="M352" s="2" t="str">
        <f>HYPERLINK("http://www.windermere.com/index.cfm?fuseaction=Listing.MapPropertyInteractive&amp;ListingID=19154776&amp;resize=true&amp;windowWidth=800&amp;windowHeight=600","Map")</f>
        <v>Map</v>
      </c>
      <c r="O352" s="2" t="str">
        <f>HYPERLINK("http://www.windermere.com/index.cfm?fuseaction=Listing.MultiImageViewer&amp;ListingID=19154776&amp;ln=28001855&amp;pub_mls=1","More")</f>
        <v>More</v>
      </c>
      <c r="AI352" t="s">
        <v>66</v>
      </c>
      <c r="AJ352">
        <v>98107</v>
      </c>
      <c r="AS352" t="s">
        <v>878</v>
      </c>
      <c r="AT352">
        <v>19154776</v>
      </c>
      <c r="AU352" s="10">
        <v>39495</v>
      </c>
      <c r="BB352" t="s">
        <v>902</v>
      </c>
      <c r="BC352" s="6">
        <v>39450</v>
      </c>
      <c r="BG352">
        <v>45</v>
      </c>
      <c r="BH352" s="15">
        <f t="shared" ca="1" si="5"/>
        <v>1159</v>
      </c>
      <c r="BI352" s="15"/>
      <c r="BJ352" s="15"/>
    </row>
    <row r="353" spans="1:62" hidden="1" x14ac:dyDescent="0.2">
      <c r="A353">
        <v>28021107</v>
      </c>
      <c r="B353" s="13" t="str">
        <f>HYPERLINK("http://www.windermere.com/index.cfm?fuseaction=Listing.ListingDetail&amp;ListingID=19350736","Subject To Inspection")</f>
        <v>Subject To Inspection</v>
      </c>
      <c r="D353" t="s">
        <v>1084</v>
      </c>
      <c r="E353" t="s">
        <v>1085</v>
      </c>
      <c r="F353" s="9">
        <v>499000</v>
      </c>
      <c r="G353" t="s">
        <v>124</v>
      </c>
      <c r="H353" s="1">
        <v>2120</v>
      </c>
      <c r="I353">
        <v>5000</v>
      </c>
      <c r="J353">
        <v>3</v>
      </c>
      <c r="K353">
        <v>1.75</v>
      </c>
      <c r="M353" s="2" t="str">
        <f>HYPERLINK("http://www.windermere.com/index.cfm?fuseaction=Listing.MapPropertyInteractive&amp;ListingID=19350736&amp;resize=true&amp;windowWidth=800&amp;windowHeight=600","Map")</f>
        <v>Map</v>
      </c>
      <c r="O353" s="2" t="str">
        <f>HYPERLINK("http://www.windermere.com/index.cfm?fuseaction=Listing.MultiImageViewer&amp;ListingID=19350736&amp;ln=28021107&amp;pub_mls=1","More")</f>
        <v>More</v>
      </c>
      <c r="AI353" t="s">
        <v>66</v>
      </c>
      <c r="AJ353">
        <v>98115</v>
      </c>
      <c r="AS353" t="s">
        <v>1086</v>
      </c>
      <c r="AT353">
        <v>19350736</v>
      </c>
      <c r="AU353" s="10">
        <v>39495</v>
      </c>
      <c r="BB353" t="s">
        <v>902</v>
      </c>
      <c r="BC353" s="6">
        <v>39489</v>
      </c>
      <c r="BD353">
        <v>3</v>
      </c>
      <c r="BE353" t="s">
        <v>1275</v>
      </c>
      <c r="BF353" s="6">
        <v>39494</v>
      </c>
      <c r="BG353">
        <v>6</v>
      </c>
      <c r="BH353" s="15">
        <f t="shared" ca="1" si="5"/>
        <v>1120</v>
      </c>
      <c r="BI353" s="15"/>
      <c r="BJ353" s="15"/>
    </row>
    <row r="354" spans="1:62" hidden="1" x14ac:dyDescent="0.2">
      <c r="A354">
        <v>28027687</v>
      </c>
      <c r="B354" s="2" t="str">
        <f>HYPERLINK("http://www.windermere.com/index.cfm?fuseaction=Listing.ListingDetail&amp;ListingID=19381434","Active")</f>
        <v>Active</v>
      </c>
      <c r="D354" t="s">
        <v>100</v>
      </c>
      <c r="E354" t="s">
        <v>879</v>
      </c>
      <c r="F354" s="9">
        <v>499000</v>
      </c>
      <c r="G354" t="s">
        <v>135</v>
      </c>
      <c r="H354" s="1">
        <v>2390</v>
      </c>
      <c r="I354">
        <v>3600</v>
      </c>
      <c r="J354">
        <v>5</v>
      </c>
      <c r="K354">
        <v>2.5</v>
      </c>
      <c r="M354" s="2" t="str">
        <f>HYPERLINK("http://www.windermere.com/index.cfm?fuseaction=Listing.MapPropertyInteractive&amp;ListingID=19381434&amp;resize=true&amp;windowWidth=800&amp;windowHeight=600","Map")</f>
        <v>Map</v>
      </c>
      <c r="O354" s="2" t="str">
        <f>HYPERLINK("http://www.windermere.com/index.cfm?fuseaction=Listing.MultiImageViewer&amp;ListingID=19381434&amp;ln=28027687&amp;pub_mls=1","More")</f>
        <v>More</v>
      </c>
      <c r="P354" t="s">
        <v>44</v>
      </c>
      <c r="AI354" t="s">
        <v>66</v>
      </c>
      <c r="AJ354">
        <v>98103</v>
      </c>
      <c r="AS354" t="s">
        <v>880</v>
      </c>
      <c r="AT354">
        <v>19381434</v>
      </c>
      <c r="AU354" s="10">
        <v>39495</v>
      </c>
      <c r="BB354" t="s">
        <v>902</v>
      </c>
      <c r="BC354" s="6">
        <v>39494</v>
      </c>
      <c r="BG354">
        <v>1</v>
      </c>
      <c r="BH354" s="15">
        <f t="shared" ca="1" si="5"/>
        <v>1115</v>
      </c>
      <c r="BI354" s="15"/>
      <c r="BJ354" s="15"/>
    </row>
    <row r="355" spans="1:62" hidden="1" x14ac:dyDescent="0.2">
      <c r="A355">
        <v>27199728</v>
      </c>
      <c r="B355" s="13" t="str">
        <f>HYPERLINK("http://www.windermere.com/index.cfm?fuseaction=Listing.ListingDetail&amp;ListingID=18941377","Subject To Inspection")</f>
        <v>Subject To Inspection</v>
      </c>
      <c r="D355" t="s">
        <v>109</v>
      </c>
      <c r="E355" t="s">
        <v>881</v>
      </c>
      <c r="F355" s="9">
        <v>499900</v>
      </c>
      <c r="G355" t="s">
        <v>248</v>
      </c>
      <c r="H355" s="1">
        <v>1450</v>
      </c>
      <c r="J355">
        <v>3</v>
      </c>
      <c r="K355">
        <v>3.25</v>
      </c>
      <c r="M355" s="2" t="str">
        <f>HYPERLINK("http://www.windermere.com/index.cfm?fuseaction=Listing.MapPropertyInteractive&amp;ListingID=18941377&amp;resize=true&amp;windowWidth=800&amp;windowHeight=600","Map")</f>
        <v>Map</v>
      </c>
      <c r="O355" s="2" t="str">
        <f>HYPERLINK("http://www.windermere.com/index.cfm?fuseaction=Listing.MultiImageViewer&amp;ListingID=18941377&amp;ln=27199728&amp;pub_mls=1","More")</f>
        <v>More</v>
      </c>
      <c r="P355" t="s">
        <v>44</v>
      </c>
      <c r="AI355" t="s">
        <v>66</v>
      </c>
      <c r="AJ355">
        <v>98103</v>
      </c>
      <c r="AS355" t="s">
        <v>882</v>
      </c>
      <c r="AT355">
        <v>18941377</v>
      </c>
      <c r="AU355" s="10">
        <v>39495</v>
      </c>
      <c r="BB355" t="s">
        <v>902</v>
      </c>
      <c r="BC355" s="6">
        <v>39395</v>
      </c>
      <c r="BD355">
        <v>0</v>
      </c>
      <c r="BE355" t="s">
        <v>1258</v>
      </c>
      <c r="BG355">
        <v>100</v>
      </c>
      <c r="BH355" s="15">
        <f t="shared" ca="1" si="5"/>
        <v>1214</v>
      </c>
      <c r="BI355" s="15"/>
      <c r="BJ355" s="15"/>
    </row>
    <row r="356" spans="1:62" hidden="1" x14ac:dyDescent="0.2">
      <c r="A356">
        <v>27167787</v>
      </c>
      <c r="B356" s="2" t="str">
        <f>HYPERLINK("http://www.windermere.com/index.cfm?fuseaction=Listing.ListingDetail&amp;ListingID=18632922","Active")</f>
        <v>Active</v>
      </c>
      <c r="D356" t="s">
        <v>60</v>
      </c>
      <c r="E356" t="s">
        <v>895</v>
      </c>
      <c r="F356" s="9">
        <v>499950</v>
      </c>
      <c r="G356" t="s">
        <v>215</v>
      </c>
      <c r="H356" s="1">
        <v>2240</v>
      </c>
      <c r="I356">
        <v>3821</v>
      </c>
      <c r="J356">
        <v>4</v>
      </c>
      <c r="K356">
        <v>2.75</v>
      </c>
      <c r="M356" s="2" t="str">
        <f>HYPERLINK("http://www.windermere.com/index.cfm?fuseaction=Listing.MapPropertyInteractive&amp;ListingID=18632922&amp;resize=true&amp;windowWidth=800&amp;windowHeight=600","Map")</f>
        <v>Map</v>
      </c>
      <c r="O356" s="2" t="str">
        <f>HYPERLINK("http://www.windermere.com/index.cfm?fuseaction=viewGallery.Home&amp;customTourID=193954&amp;wvt=0","More")</f>
        <v>More</v>
      </c>
      <c r="P356" t="s">
        <v>44</v>
      </c>
      <c r="AI356" t="s">
        <v>66</v>
      </c>
      <c r="AJ356">
        <v>98103</v>
      </c>
      <c r="AS356" t="s">
        <v>896</v>
      </c>
      <c r="AT356">
        <v>18632922</v>
      </c>
      <c r="AU356" s="10">
        <v>39495</v>
      </c>
      <c r="BB356" t="s">
        <v>902</v>
      </c>
      <c r="BC356" s="6">
        <v>39338</v>
      </c>
      <c r="BG356">
        <v>157</v>
      </c>
      <c r="BH356" s="15">
        <f t="shared" ca="1" si="5"/>
        <v>1271</v>
      </c>
      <c r="BI356" s="15"/>
      <c r="BJ356" s="15"/>
    </row>
    <row r="357" spans="1:62" hidden="1" x14ac:dyDescent="0.2">
      <c r="A357">
        <v>27176949</v>
      </c>
      <c r="B357" s="2" t="str">
        <f>HYPERLINK("http://www.windermere.com/index.cfm?fuseaction=Listing.ListingDetail&amp;ListingID=18734876","Active")</f>
        <v>Active</v>
      </c>
      <c r="D357" t="s">
        <v>188</v>
      </c>
      <c r="E357" t="s">
        <v>223</v>
      </c>
      <c r="F357" s="9">
        <v>499950</v>
      </c>
      <c r="G357" t="s">
        <v>162</v>
      </c>
      <c r="H357" s="1">
        <v>1230</v>
      </c>
      <c r="I357">
        <v>8774</v>
      </c>
      <c r="J357">
        <v>3</v>
      </c>
      <c r="K357">
        <v>1</v>
      </c>
      <c r="M357" s="2" t="str">
        <f>HYPERLINK("http://www.windermere.com/index.cfm?fuseaction=Listing.MapPropertyInteractive&amp;ListingID=18734876&amp;resize=true&amp;windowWidth=800&amp;windowHeight=600","Map")</f>
        <v>Map</v>
      </c>
      <c r="O357" s="2" t="str">
        <f>HYPERLINK("http://www.windermere.com/index.cfm?fuseaction=viewGallery.Home&amp;customTourID=105948&amp;wvt=0","More")</f>
        <v>More</v>
      </c>
      <c r="AI357" t="s">
        <v>66</v>
      </c>
      <c r="AJ357">
        <v>98125</v>
      </c>
      <c r="AS357" t="s">
        <v>1089</v>
      </c>
      <c r="AT357">
        <v>18734876</v>
      </c>
      <c r="AU357" s="10">
        <v>39495</v>
      </c>
      <c r="BB357" t="s">
        <v>902</v>
      </c>
      <c r="BC357" s="6">
        <v>39354</v>
      </c>
      <c r="BG357">
        <v>141</v>
      </c>
      <c r="BH357" s="15">
        <f t="shared" ca="1" si="5"/>
        <v>1255</v>
      </c>
      <c r="BI357" s="15"/>
      <c r="BJ357" s="15"/>
    </row>
    <row r="358" spans="1:62" hidden="1" x14ac:dyDescent="0.2">
      <c r="A358">
        <v>27183015</v>
      </c>
      <c r="B358" s="2" t="str">
        <f>HYPERLINK("http://www.windermere.com/index.cfm?fuseaction=Listing.ListingDetail&amp;ListingID=18803463","Active")</f>
        <v>Active</v>
      </c>
      <c r="D358" t="s">
        <v>188</v>
      </c>
      <c r="E358" t="s">
        <v>897</v>
      </c>
      <c r="F358" s="9">
        <v>499950</v>
      </c>
      <c r="G358" t="s">
        <v>240</v>
      </c>
      <c r="H358" s="1">
        <v>2460</v>
      </c>
      <c r="I358">
        <v>7216</v>
      </c>
      <c r="J358">
        <v>5</v>
      </c>
      <c r="K358">
        <v>2.5</v>
      </c>
      <c r="M358" s="2" t="str">
        <f>HYPERLINK("http://www.windermere.com/index.cfm?fuseaction=Listing.MapPropertyInteractive&amp;ListingID=18803463&amp;resize=true&amp;windowWidth=800&amp;windowHeight=600","Map")</f>
        <v>Map</v>
      </c>
      <c r="O358" s="2" t="str">
        <f>HYPERLINK("http://www.windermere.com/index.cfm?fuseaction=Listing.MultiImageViewer&amp;ListingID=18803463&amp;ln=27183015&amp;pub_mls=1","More")</f>
        <v>More</v>
      </c>
      <c r="AI358" t="s">
        <v>66</v>
      </c>
      <c r="AJ358">
        <v>98125</v>
      </c>
      <c r="AS358" t="s">
        <v>898</v>
      </c>
      <c r="AT358">
        <v>18803463</v>
      </c>
      <c r="AU358" s="10">
        <v>39495</v>
      </c>
      <c r="BB358" t="s">
        <v>902</v>
      </c>
      <c r="BC358" s="6">
        <v>39367</v>
      </c>
      <c r="BG358">
        <v>128</v>
      </c>
      <c r="BH358" s="15">
        <f t="shared" ca="1" si="5"/>
        <v>1242</v>
      </c>
      <c r="BI358" s="15"/>
      <c r="BJ358" s="15"/>
    </row>
    <row r="359" spans="1:62" hidden="1" x14ac:dyDescent="0.2">
      <c r="A359">
        <v>28008220</v>
      </c>
      <c r="B359" s="2" t="str">
        <f>HYPERLINK("http://www.windermere.com/index.cfm?fuseaction=Listing.ListingDetail&amp;ListingID=19219494","Active")</f>
        <v>Active</v>
      </c>
      <c r="D359" t="s">
        <v>55</v>
      </c>
      <c r="E359" t="s">
        <v>249</v>
      </c>
      <c r="F359" s="9">
        <v>499950</v>
      </c>
      <c r="G359" t="s">
        <v>129</v>
      </c>
      <c r="H359" s="1">
        <v>1180</v>
      </c>
      <c r="I359">
        <v>4700</v>
      </c>
      <c r="J359">
        <v>3</v>
      </c>
      <c r="K359">
        <v>1.5</v>
      </c>
      <c r="M359" s="2" t="str">
        <f>HYPERLINK("http://www.windermere.com/index.cfm?fuseaction=Listing.MapPropertyInteractive&amp;ListingID=19219494&amp;resize=true&amp;windowWidth=800&amp;windowHeight=600","Map")</f>
        <v>Map</v>
      </c>
      <c r="O359" s="2" t="str">
        <f>HYPERLINK("http://www.windermere.com/index.cfm?fuseaction=Listing.MultiImageViewer&amp;ListingID=19219494&amp;ln=28008220&amp;pub_mls=1","More")</f>
        <v>More</v>
      </c>
      <c r="AI359" t="s">
        <v>66</v>
      </c>
      <c r="AJ359">
        <v>98117</v>
      </c>
      <c r="AS359" t="s">
        <v>250</v>
      </c>
      <c r="AT359">
        <v>19219494</v>
      </c>
      <c r="AU359" s="10">
        <v>39495</v>
      </c>
      <c r="BB359" t="s">
        <v>902</v>
      </c>
      <c r="BC359" s="6">
        <v>39460</v>
      </c>
      <c r="BG359">
        <v>35</v>
      </c>
      <c r="BH359" s="15">
        <f t="shared" ca="1" si="5"/>
        <v>1149</v>
      </c>
      <c r="BI359" s="15"/>
      <c r="BJ359" s="15"/>
    </row>
    <row r="360" spans="1:62" hidden="1" x14ac:dyDescent="0.2">
      <c r="A360">
        <v>28014004</v>
      </c>
      <c r="B360" s="2" t="str">
        <f>HYPERLINK("http://www.windermere.com/index.cfm?fuseaction=Listing.ListingDetail&amp;ListingID=19265101","Active")</f>
        <v>Active</v>
      </c>
      <c r="D360" t="s">
        <v>226</v>
      </c>
      <c r="E360" t="s">
        <v>891</v>
      </c>
      <c r="F360" s="11">
        <v>489950</v>
      </c>
      <c r="G360" t="s">
        <v>239</v>
      </c>
      <c r="H360" s="1">
        <v>1545</v>
      </c>
      <c r="J360">
        <v>3</v>
      </c>
      <c r="K360">
        <v>2.5</v>
      </c>
      <c r="M360" s="2" t="str">
        <f>HYPERLINK("http://www.windermere.com/index.cfm?fuseaction=Listing.MapPropertyInteractive&amp;ListingID=19265101&amp;resize=true&amp;windowWidth=800&amp;windowHeight=600","Map")</f>
        <v>Map</v>
      </c>
      <c r="O360" s="2" t="str">
        <f>HYPERLINK("http://www.windermere.com/index.cfm?fuseaction=Listing.MultiImageViewer&amp;ListingID=19265101&amp;ln=28014004&amp;pub_mls=1","More")</f>
        <v>More</v>
      </c>
      <c r="P360" t="s">
        <v>44</v>
      </c>
      <c r="AI360" t="s">
        <v>66</v>
      </c>
      <c r="AJ360">
        <v>98105</v>
      </c>
      <c r="AS360" t="s">
        <v>892</v>
      </c>
      <c r="AT360">
        <v>19265101</v>
      </c>
      <c r="AU360" s="10">
        <v>39495</v>
      </c>
      <c r="BB360" t="s">
        <v>902</v>
      </c>
      <c r="BC360" s="6">
        <v>39470</v>
      </c>
      <c r="BG360">
        <v>25</v>
      </c>
      <c r="BH360" s="15">
        <f t="shared" ca="1" si="5"/>
        <v>1139</v>
      </c>
      <c r="BI360" s="15"/>
      <c r="BJ360" s="15"/>
    </row>
    <row r="361" spans="1:62" hidden="1" x14ac:dyDescent="0.2">
      <c r="A361">
        <v>28014006</v>
      </c>
      <c r="B361" s="2" t="str">
        <f>HYPERLINK("http://www.windermere.com/index.cfm?fuseaction=Listing.ListingDetail&amp;ListingID=19265102","Active")</f>
        <v>Active</v>
      </c>
      <c r="D361" t="s">
        <v>226</v>
      </c>
      <c r="E361" t="s">
        <v>889</v>
      </c>
      <c r="F361" s="11">
        <v>474995</v>
      </c>
      <c r="G361" t="s">
        <v>239</v>
      </c>
      <c r="H361" s="1">
        <v>1545</v>
      </c>
      <c r="J361">
        <v>3</v>
      </c>
      <c r="K361">
        <v>2.5</v>
      </c>
      <c r="M361" s="2" t="str">
        <f>HYPERLINK("http://www.windermere.com/index.cfm?fuseaction=Listing.MapPropertyInteractive&amp;ListingID=19265102&amp;resize=true&amp;windowWidth=800&amp;windowHeight=600","Map")</f>
        <v>Map</v>
      </c>
      <c r="O361" s="2" t="str">
        <f>HYPERLINK("http://www.windermere.com/index.cfm?fuseaction=Listing.MultiImageViewer&amp;ListingID=19265102&amp;ln=28014006&amp;pub_mls=1","More")</f>
        <v>More</v>
      </c>
      <c r="P361" t="s">
        <v>44</v>
      </c>
      <c r="AI361" t="s">
        <v>66</v>
      </c>
      <c r="AJ361">
        <v>98105</v>
      </c>
      <c r="AS361" t="s">
        <v>890</v>
      </c>
      <c r="AT361">
        <v>19265102</v>
      </c>
      <c r="AU361" s="10">
        <v>39495</v>
      </c>
      <c r="BB361" t="s">
        <v>902</v>
      </c>
      <c r="BC361" s="6">
        <v>39470</v>
      </c>
      <c r="BG361">
        <v>25</v>
      </c>
      <c r="BH361" s="15">
        <f t="shared" ca="1" si="5"/>
        <v>1139</v>
      </c>
      <c r="BI361" s="15"/>
      <c r="BJ361" s="15"/>
    </row>
    <row r="362" spans="1:62" hidden="1" x14ac:dyDescent="0.2">
      <c r="A362">
        <v>28020407</v>
      </c>
      <c r="B362" s="2" t="str">
        <f>HYPERLINK("http://www.windermere.com/index.cfm?fuseaction=Listing.ListingDetail&amp;ListingID=19318148","Active")</f>
        <v>Active</v>
      </c>
      <c r="D362" t="s">
        <v>213</v>
      </c>
      <c r="E362" t="s">
        <v>1087</v>
      </c>
      <c r="F362" s="9">
        <v>499950</v>
      </c>
      <c r="G362" t="s">
        <v>868</v>
      </c>
      <c r="H362" s="1">
        <v>1780</v>
      </c>
      <c r="I362">
        <v>5051</v>
      </c>
      <c r="J362">
        <v>3</v>
      </c>
      <c r="K362">
        <v>2</v>
      </c>
      <c r="M362" s="2" t="str">
        <f>HYPERLINK("http://www.windermere.com/index.cfm?fuseaction=Listing.MapPropertyInteractive&amp;ListingID=19318148&amp;resize=true&amp;windowWidth=800&amp;windowHeight=600","Map")</f>
        <v>Map</v>
      </c>
      <c r="O362" s="2" t="str">
        <f>HYPERLINK("http://www.windermere.com/index.cfm?fuseaction=Listing.MultiImageViewer&amp;ListingID=19318148&amp;ln=28020407&amp;pub_mls=1","More")</f>
        <v>More</v>
      </c>
      <c r="P362" t="s">
        <v>44</v>
      </c>
      <c r="AI362" t="s">
        <v>66</v>
      </c>
      <c r="AJ362">
        <v>98125</v>
      </c>
      <c r="AS362" t="s">
        <v>1088</v>
      </c>
      <c r="AT362">
        <v>19318148</v>
      </c>
      <c r="AU362" s="10">
        <v>39495</v>
      </c>
      <c r="BB362" t="s">
        <v>902</v>
      </c>
      <c r="BC362" s="6">
        <v>39481</v>
      </c>
      <c r="BG362">
        <v>14</v>
      </c>
      <c r="BH362" s="15">
        <f t="shared" ca="1" si="5"/>
        <v>1128</v>
      </c>
      <c r="BI362" s="15"/>
      <c r="BJ362" s="15"/>
    </row>
    <row r="363" spans="1:62" x14ac:dyDescent="0.2">
      <c r="A363">
        <v>28022663</v>
      </c>
      <c r="B363" s="2" t="str">
        <f>HYPERLINK("http://www.windermere.com/index.cfm?fuseaction=Listing.ListingDetail&amp;ListingID=19336224","Active")</f>
        <v>Active</v>
      </c>
      <c r="D363" t="s">
        <v>194</v>
      </c>
      <c r="E363" t="s">
        <v>1090</v>
      </c>
      <c r="F363" s="9">
        <v>499950</v>
      </c>
      <c r="G363" t="s">
        <v>721</v>
      </c>
      <c r="H363" s="1">
        <v>1400</v>
      </c>
      <c r="I363">
        <v>6120</v>
      </c>
      <c r="J363">
        <v>2</v>
      </c>
      <c r="K363">
        <v>2</v>
      </c>
      <c r="M363" s="2" t="str">
        <f>HYPERLINK("http://www.windermere.com/index.cfm?fuseaction=Listing.MapPropertyInteractive&amp;ListingID=19336224&amp;resize=true&amp;windowWidth=800&amp;windowHeight=600","Map")</f>
        <v>Map</v>
      </c>
      <c r="O363" s="2" t="str">
        <f>HYPERLINK("http://www.windermere.com/index.cfm?fuseaction=viewGallery.Home&amp;customTourID=206977&amp;wvt=0","More")</f>
        <v>More</v>
      </c>
      <c r="P363" t="s">
        <v>44</v>
      </c>
      <c r="AI363" t="s">
        <v>66</v>
      </c>
      <c r="AJ363">
        <v>98115</v>
      </c>
      <c r="AS363" t="s">
        <v>1091</v>
      </c>
      <c r="AT363">
        <v>19336224</v>
      </c>
      <c r="AU363" s="10">
        <v>39495</v>
      </c>
      <c r="BB363" t="s">
        <v>902</v>
      </c>
      <c r="BC363" s="6">
        <v>39485</v>
      </c>
      <c r="BD363" t="s">
        <v>1552</v>
      </c>
      <c r="BE363" t="s">
        <v>1551</v>
      </c>
      <c r="BF363" s="6">
        <v>39508</v>
      </c>
      <c r="BG363">
        <v>10</v>
      </c>
      <c r="BH363" s="15">
        <f t="shared" ca="1" si="5"/>
        <v>1124</v>
      </c>
      <c r="BI363" s="15"/>
      <c r="BJ363" s="15"/>
    </row>
    <row r="364" spans="1:62" hidden="1" x14ac:dyDescent="0.2">
      <c r="A364">
        <v>28023001</v>
      </c>
      <c r="B364" s="4" t="str">
        <f>HYPERLINK("http://www.windermere.com/index.cfm?fuseaction=Listing.ListingDetail&amp;ListingID=19336980","Subject To Inspection")</f>
        <v>Subject To Inspection</v>
      </c>
      <c r="D364" t="s">
        <v>100</v>
      </c>
      <c r="E364" t="s">
        <v>883</v>
      </c>
      <c r="F364" s="9">
        <v>499950</v>
      </c>
      <c r="G364" t="s">
        <v>239</v>
      </c>
      <c r="J364">
        <v>3</v>
      </c>
      <c r="K364">
        <v>2.25</v>
      </c>
      <c r="M364" s="2" t="str">
        <f>HYPERLINK("http://www.windermere.com/index.cfm?fuseaction=Listing.MapPropertyInteractive&amp;ListingID=19336980&amp;resize=true&amp;windowWidth=800&amp;windowHeight=600","Map")</f>
        <v>Map</v>
      </c>
      <c r="O364" s="2" t="str">
        <f>HYPERLINK("http://www.windermere.com/index.cfm?fuseaction=viewGallery.Home&amp;customTourID=198344&amp;wvt=0","More")</f>
        <v>More</v>
      </c>
      <c r="AI364" t="s">
        <v>66</v>
      </c>
      <c r="AJ364">
        <v>98103</v>
      </c>
      <c r="AS364" t="s">
        <v>884</v>
      </c>
      <c r="AT364">
        <v>19336980</v>
      </c>
      <c r="AU364" s="10">
        <v>39495</v>
      </c>
      <c r="BB364" t="s">
        <v>902</v>
      </c>
      <c r="BC364" s="6">
        <v>39485</v>
      </c>
      <c r="BG364">
        <v>10</v>
      </c>
      <c r="BH364" s="15">
        <f t="shared" ca="1" si="5"/>
        <v>1124</v>
      </c>
      <c r="BI364" s="15"/>
      <c r="BJ364" s="15"/>
    </row>
    <row r="365" spans="1:62" hidden="1" x14ac:dyDescent="0.2">
      <c r="A365">
        <v>28024790</v>
      </c>
      <c r="B365" s="2" t="str">
        <f>HYPERLINK("http://www.windermere.com/index.cfm?fuseaction=Listing.ListingDetail&amp;ListingID=19376679","Active")</f>
        <v>Active</v>
      </c>
      <c r="D365" t="s">
        <v>70</v>
      </c>
      <c r="E365" t="s">
        <v>893</v>
      </c>
      <c r="F365" s="9">
        <v>499950</v>
      </c>
      <c r="G365" t="s">
        <v>135</v>
      </c>
      <c r="H365" s="1">
        <v>2120</v>
      </c>
      <c r="I365">
        <v>6700</v>
      </c>
      <c r="J365">
        <v>3</v>
      </c>
      <c r="K365">
        <v>1.5</v>
      </c>
      <c r="M365" s="2" t="str">
        <f>HYPERLINK("http://www.windermere.com/index.cfm?fuseaction=Listing.MapPropertyInteractive&amp;ListingID=19376679&amp;resize=true&amp;windowWidth=800&amp;windowHeight=600","Map")</f>
        <v>Map</v>
      </c>
      <c r="O365" s="2" t="str">
        <f>HYPERLINK("http://www.windermere.com/index.cfm?fuseaction=viewGallery.Home&amp;customTourID=207709&amp;wvt=0","More")</f>
        <v>More</v>
      </c>
      <c r="AI365" t="s">
        <v>66</v>
      </c>
      <c r="AJ365">
        <v>98103</v>
      </c>
      <c r="AS365" t="s">
        <v>894</v>
      </c>
      <c r="AT365">
        <v>19376679</v>
      </c>
      <c r="AU365" s="10">
        <v>39495</v>
      </c>
      <c r="BB365" t="s">
        <v>902</v>
      </c>
      <c r="BC365" s="6">
        <v>39493</v>
      </c>
      <c r="BG365">
        <v>2</v>
      </c>
      <c r="BH365" s="15">
        <f t="shared" ca="1" si="5"/>
        <v>1116</v>
      </c>
      <c r="BI365" s="15"/>
      <c r="BJ365" s="15"/>
    </row>
    <row r="366" spans="1:62" hidden="1" x14ac:dyDescent="0.2">
      <c r="A366">
        <v>28027231</v>
      </c>
      <c r="B366" s="2" t="str">
        <f>HYPERLINK("http://www.windermere.com/index.cfm?fuseaction=Listing.ListingDetail&amp;ListingID=19371419","Active")</f>
        <v>Active</v>
      </c>
      <c r="D366" t="s">
        <v>100</v>
      </c>
      <c r="E366" t="s">
        <v>885</v>
      </c>
      <c r="F366" s="9">
        <v>499950</v>
      </c>
      <c r="G366" t="s">
        <v>147</v>
      </c>
      <c r="H366" s="1">
        <v>1470</v>
      </c>
      <c r="J366">
        <v>3</v>
      </c>
      <c r="K366">
        <v>2.5</v>
      </c>
      <c r="M366" s="2" t="str">
        <f>HYPERLINK("http://www.windermere.com/index.cfm?fuseaction=Listing.MapPropertyInteractive&amp;ListingID=19371419&amp;resize=true&amp;windowWidth=800&amp;windowHeight=600","Map")</f>
        <v>Map</v>
      </c>
      <c r="O366" s="2" t="str">
        <f>HYPERLINK("http://www.windermere.com/index.cfm?fuseaction=Listing.MultiImageViewer&amp;ListingID=19371419&amp;ln=28027231&amp;pub_mls=1","More")</f>
        <v>More</v>
      </c>
      <c r="AI366" t="s">
        <v>66</v>
      </c>
      <c r="AJ366">
        <v>98103</v>
      </c>
      <c r="AS366" t="s">
        <v>886</v>
      </c>
      <c r="AT366">
        <v>19371419</v>
      </c>
      <c r="AU366" s="10">
        <v>39495</v>
      </c>
      <c r="BB366" t="s">
        <v>902</v>
      </c>
      <c r="BC366" s="6">
        <v>39492</v>
      </c>
      <c r="BG366">
        <v>3</v>
      </c>
      <c r="BH366" s="15">
        <f t="shared" ca="1" si="5"/>
        <v>1117</v>
      </c>
      <c r="BI366" s="15"/>
      <c r="BJ366" s="15"/>
    </row>
    <row r="367" spans="1:62" hidden="1" x14ac:dyDescent="0.2">
      <c r="A367">
        <v>28027236</v>
      </c>
      <c r="B367" s="2" t="str">
        <f>HYPERLINK("http://www.windermere.com/index.cfm?fuseaction=Listing.ListingDetail&amp;ListingID=19371420","Active")</f>
        <v>Active</v>
      </c>
      <c r="D367" t="s">
        <v>100</v>
      </c>
      <c r="E367" t="s">
        <v>887</v>
      </c>
      <c r="F367" s="9">
        <v>499950</v>
      </c>
      <c r="G367" t="s">
        <v>147</v>
      </c>
      <c r="H367" s="1">
        <v>1470</v>
      </c>
      <c r="J367">
        <v>3</v>
      </c>
      <c r="K367">
        <v>2.5</v>
      </c>
      <c r="M367" s="2" t="str">
        <f>HYPERLINK("http://www.windermere.com/index.cfm?fuseaction=Listing.MapPropertyInteractive&amp;ListingID=19371420&amp;resize=true&amp;windowWidth=800&amp;windowHeight=600","Map")</f>
        <v>Map</v>
      </c>
      <c r="O367" s="2" t="str">
        <f>HYPERLINK("http://www.windermere.com/index.cfm?fuseaction=Listing.MultiImageViewer&amp;ListingID=19371420&amp;ln=28027236&amp;pub_mls=1","More")</f>
        <v>More</v>
      </c>
      <c r="AI367" t="s">
        <v>66</v>
      </c>
      <c r="AJ367">
        <v>98103</v>
      </c>
      <c r="AS367" t="s">
        <v>888</v>
      </c>
      <c r="AT367">
        <v>19371420</v>
      </c>
      <c r="AU367" s="10">
        <v>39495</v>
      </c>
      <c r="BB367" t="s">
        <v>902</v>
      </c>
      <c r="BC367" s="6">
        <v>39492</v>
      </c>
      <c r="BG367">
        <v>3</v>
      </c>
      <c r="BH367" s="15">
        <f t="shared" ca="1" si="5"/>
        <v>1117</v>
      </c>
      <c r="BI367" s="15"/>
      <c r="BJ367" s="15"/>
    </row>
    <row r="368" spans="1:62" hidden="1" x14ac:dyDescent="0.2">
      <c r="A368">
        <v>27159537</v>
      </c>
      <c r="B368" s="2" t="str">
        <f>HYPERLINK("http://www.windermere.com/index.cfm?fuseaction=Listing.ListingDetail&amp;ListingID=18548242","Active")</f>
        <v>Active</v>
      </c>
      <c r="D368" t="s">
        <v>60</v>
      </c>
      <c r="E368" t="s">
        <v>175</v>
      </c>
      <c r="F368" s="9">
        <v>499999</v>
      </c>
      <c r="G368" t="s">
        <v>135</v>
      </c>
      <c r="H368" s="1">
        <v>1460</v>
      </c>
      <c r="I368">
        <v>3060</v>
      </c>
      <c r="J368">
        <v>3</v>
      </c>
      <c r="K368">
        <v>1.75</v>
      </c>
      <c r="M368" s="2" t="str">
        <f>HYPERLINK("http://www.windermere.com/index.cfm?fuseaction=Listing.MapPropertyInteractive&amp;ListingID=18548242&amp;resize=true&amp;windowWidth=800&amp;windowHeight=600","Map")</f>
        <v>Map</v>
      </c>
      <c r="O368" s="2" t="str">
        <f>HYPERLINK("http://www.windermere.com/index.cfm?fuseaction=Listing.MultiImageViewer&amp;ListingID=18548242&amp;ln=27159537&amp;pub_mls=1","More")</f>
        <v>More</v>
      </c>
      <c r="P368" t="s">
        <v>44</v>
      </c>
      <c r="AI368" t="s">
        <v>66</v>
      </c>
      <c r="AJ368">
        <v>98105</v>
      </c>
      <c r="AS368" t="s">
        <v>899</v>
      </c>
      <c r="AT368">
        <v>18548242</v>
      </c>
      <c r="AU368" s="10">
        <v>39495</v>
      </c>
      <c r="BB368" t="s">
        <v>902</v>
      </c>
      <c r="BC368" s="6">
        <v>39325</v>
      </c>
      <c r="BD368">
        <v>1</v>
      </c>
      <c r="BE368" s="5" t="s">
        <v>1255</v>
      </c>
      <c r="BG368">
        <v>170</v>
      </c>
      <c r="BH368" s="15">
        <f t="shared" ca="1" si="5"/>
        <v>1284</v>
      </c>
      <c r="BI368" s="15"/>
      <c r="BJ368" s="15"/>
    </row>
    <row r="369" spans="1:63" hidden="1" x14ac:dyDescent="0.2">
      <c r="A369">
        <v>27185399</v>
      </c>
      <c r="B369" s="2" t="str">
        <f>HYPERLINK("http://www.windermere.com/index.cfm?fuseaction=Listing.ListingDetail&amp;ListingID=18801515","Active")</f>
        <v>Active</v>
      </c>
      <c r="D369" t="s">
        <v>55</v>
      </c>
      <c r="E369" t="s">
        <v>246</v>
      </c>
      <c r="F369" s="11">
        <v>500000</v>
      </c>
      <c r="G369" t="s">
        <v>176</v>
      </c>
      <c r="H369" s="1">
        <v>1800</v>
      </c>
      <c r="I369">
        <v>4600</v>
      </c>
      <c r="J369">
        <v>4</v>
      </c>
      <c r="K369">
        <v>1.75</v>
      </c>
      <c r="M369" s="2" t="str">
        <f>HYPERLINK("http://www.windermere.com/index.cfm?fuseaction=Listing.MapPropertyInteractive&amp;ListingID=18801515&amp;resize=true&amp;windowWidth=800&amp;windowHeight=600","Map")</f>
        <v>Map</v>
      </c>
      <c r="O369" s="2" t="str">
        <f>HYPERLINK("http://www.windermere.com/index.cfm?fuseaction=Listing.MultiImageViewer&amp;ListingID=18801515&amp;ln=27185399&amp;pub_mls=1","More")</f>
        <v>More</v>
      </c>
      <c r="AI369" t="s">
        <v>66</v>
      </c>
      <c r="AJ369">
        <v>98117</v>
      </c>
      <c r="AS369" t="s">
        <v>247</v>
      </c>
      <c r="AT369">
        <v>18801515</v>
      </c>
      <c r="AU369" s="10">
        <v>39495</v>
      </c>
      <c r="BB369" t="s">
        <v>902</v>
      </c>
      <c r="BC369" s="6">
        <v>39367</v>
      </c>
      <c r="BG369">
        <v>128</v>
      </c>
      <c r="BH369" s="15">
        <f t="shared" ca="1" si="5"/>
        <v>1242</v>
      </c>
      <c r="BI369" s="15"/>
      <c r="BJ369" s="15"/>
    </row>
    <row r="370" spans="1:63" hidden="1" x14ac:dyDescent="0.2">
      <c r="A370">
        <v>27192377</v>
      </c>
      <c r="B370" s="2" t="str">
        <f>HYPERLINK("http://www.windermere.com/index.cfm?fuseaction=Listing.ListingDetail&amp;ListingID=18868122","Active")</f>
        <v>Active</v>
      </c>
      <c r="D370" t="s">
        <v>55</v>
      </c>
      <c r="E370" t="s">
        <v>243</v>
      </c>
      <c r="F370" s="9">
        <v>500000</v>
      </c>
      <c r="G370" t="s">
        <v>244</v>
      </c>
      <c r="H370" s="1">
        <v>2400</v>
      </c>
      <c r="J370">
        <v>3</v>
      </c>
      <c r="K370">
        <v>2.5</v>
      </c>
      <c r="M370" s="2" t="str">
        <f>HYPERLINK("http://www.windermere.com/index.cfm?fuseaction=Listing.MapPropertyInteractive&amp;ListingID=18868122&amp;resize=true&amp;windowWidth=800&amp;windowHeight=600","Map")</f>
        <v>Map</v>
      </c>
      <c r="O370" s="2" t="str">
        <f>HYPERLINK("http://www.windermere.com/index.cfm?fuseaction=Listing.MultiImageViewer&amp;ListingID=18868122&amp;ln=27192377&amp;pub_mls=1","More")</f>
        <v>More</v>
      </c>
      <c r="AI370" t="s">
        <v>66</v>
      </c>
      <c r="AJ370">
        <v>98117</v>
      </c>
      <c r="AS370" t="s">
        <v>245</v>
      </c>
      <c r="AT370">
        <v>18868122</v>
      </c>
      <c r="AU370" s="10">
        <v>39495</v>
      </c>
      <c r="BB370" t="s">
        <v>902</v>
      </c>
      <c r="BC370" s="6">
        <v>39381</v>
      </c>
      <c r="BG370">
        <v>114</v>
      </c>
      <c r="BH370" s="15">
        <f t="shared" ca="1" si="5"/>
        <v>1228</v>
      </c>
      <c r="BI370" s="15"/>
      <c r="BJ370" s="15"/>
    </row>
    <row r="371" spans="1:63" hidden="1" x14ac:dyDescent="0.2">
      <c r="A371">
        <v>28011273</v>
      </c>
      <c r="B371" s="2" t="str">
        <f>HYPERLINK("http://www.windermere.com/index.cfm?fuseaction=Listing.ListingDetail&amp;ListingID=19242886","Active")</f>
        <v>Active</v>
      </c>
      <c r="D371" t="s">
        <v>1010</v>
      </c>
      <c r="E371" t="s">
        <v>241</v>
      </c>
      <c r="F371" s="9">
        <v>500000</v>
      </c>
      <c r="G371" t="s">
        <v>159</v>
      </c>
      <c r="H371" s="1">
        <v>2300</v>
      </c>
      <c r="I371">
        <v>4200</v>
      </c>
      <c r="J371">
        <v>4</v>
      </c>
      <c r="K371">
        <v>1.5</v>
      </c>
      <c r="M371" s="2" t="str">
        <f>HYPERLINK("http://www.windermere.com/index.cfm?fuseaction=Listing.MapPropertyInteractive&amp;ListingID=19242886&amp;resize=true&amp;windowWidth=800&amp;windowHeight=600","Map")</f>
        <v>Map</v>
      </c>
      <c r="O371" s="2" t="str">
        <f>HYPERLINK("http://www.windermere.com/index.cfm?fuseaction=Listing.MultiImageViewer&amp;ListingID=19242886&amp;ln=28011273&amp;pub_mls=1","More")</f>
        <v>More</v>
      </c>
      <c r="AI371" t="s">
        <v>66</v>
      </c>
      <c r="AJ371">
        <v>98117</v>
      </c>
      <c r="AS371" t="s">
        <v>242</v>
      </c>
      <c r="AT371">
        <v>19242886</v>
      </c>
      <c r="AU371" s="10">
        <v>39495</v>
      </c>
      <c r="BB371" t="s">
        <v>902</v>
      </c>
      <c r="BC371" s="6">
        <v>39465</v>
      </c>
      <c r="BG371">
        <v>30</v>
      </c>
      <c r="BH371" s="15">
        <f t="shared" ca="1" si="5"/>
        <v>1144</v>
      </c>
      <c r="BI371" s="15"/>
      <c r="BJ371" s="15"/>
    </row>
    <row r="372" spans="1:63" hidden="1" x14ac:dyDescent="0.2">
      <c r="A372">
        <v>28027350</v>
      </c>
      <c r="B372" s="2" t="str">
        <f>HYPERLINK("http://www.windermere.com/index.cfm?fuseaction=Listing.ListingDetail&amp;ListingID=19378561","Active")</f>
        <v>Active</v>
      </c>
      <c r="D372" t="s">
        <v>100</v>
      </c>
      <c r="E372" s="3" t="s">
        <v>1302</v>
      </c>
      <c r="F372" s="9">
        <v>500000</v>
      </c>
      <c r="G372" t="s">
        <v>430</v>
      </c>
      <c r="H372" s="1">
        <v>1780</v>
      </c>
      <c r="I372">
        <v>4800</v>
      </c>
      <c r="J372">
        <v>3</v>
      </c>
      <c r="K372">
        <v>1</v>
      </c>
      <c r="M372" s="2" t="str">
        <f>HYPERLINK("http://www.windermere.com/index.cfm?fuseaction=Listing.MapPropertyInteractive&amp;ListingID=19378561&amp;resize=true&amp;windowWidth=800&amp;windowHeight=600","Map")</f>
        <v>Map</v>
      </c>
      <c r="O372" s="2" t="str">
        <f>HYPERLINK("http://www.windermere.com/index.cfm?fuseaction=Listing.MultiImageViewer&amp;ListingID=19378561&amp;ln=28027350&amp;pub_mls=1","More")</f>
        <v>More</v>
      </c>
      <c r="P372" t="s">
        <v>44</v>
      </c>
      <c r="AI372" t="s">
        <v>66</v>
      </c>
      <c r="AJ372">
        <v>98103</v>
      </c>
      <c r="AS372" t="s">
        <v>900</v>
      </c>
      <c r="AT372">
        <v>19378561</v>
      </c>
      <c r="AU372" s="10">
        <v>39495</v>
      </c>
      <c r="BB372" t="s">
        <v>902</v>
      </c>
      <c r="BC372" s="6">
        <v>39493</v>
      </c>
      <c r="BG372">
        <v>2</v>
      </c>
      <c r="BH372" s="15">
        <f t="shared" ca="1" si="5"/>
        <v>1116</v>
      </c>
      <c r="BI372" s="15"/>
      <c r="BJ372" s="15"/>
    </row>
    <row r="373" spans="1:63" hidden="1" x14ac:dyDescent="0.2">
      <c r="A373">
        <v>27182712</v>
      </c>
      <c r="B373" s="2" t="str">
        <f>HYPERLINK("http://www.windermere.com/index.cfm?fuseaction=Listing.ListingDetail&amp;ListingID=18779676","Active")</f>
        <v>Active</v>
      </c>
      <c r="D373" t="s">
        <v>66</v>
      </c>
      <c r="E373" t="s">
        <v>1094</v>
      </c>
      <c r="F373" s="9">
        <v>509000</v>
      </c>
      <c r="G373" t="s">
        <v>137</v>
      </c>
      <c r="H373" s="1">
        <v>2340</v>
      </c>
      <c r="I373">
        <v>8820</v>
      </c>
      <c r="J373">
        <v>4</v>
      </c>
      <c r="K373">
        <v>1.75</v>
      </c>
      <c r="M373" s="2" t="str">
        <f>HYPERLINK("http://www.windermere.com/index.cfm?fuseaction=Listing.MapPropertyInteractive&amp;ListingID=18779676&amp;resize=true&amp;windowWidth=800&amp;windowHeight=600","Map")</f>
        <v>Map</v>
      </c>
      <c r="AI373" t="s">
        <v>66</v>
      </c>
      <c r="AJ373">
        <v>98117</v>
      </c>
      <c r="AS373" t="s">
        <v>1095</v>
      </c>
      <c r="AT373">
        <v>18779676</v>
      </c>
      <c r="AU373" s="10">
        <v>39495</v>
      </c>
      <c r="BB373" t="s">
        <v>902</v>
      </c>
      <c r="BC373" s="6">
        <v>39363</v>
      </c>
      <c r="BG373">
        <v>132</v>
      </c>
      <c r="BH373" s="15">
        <f t="shared" ca="1" si="5"/>
        <v>1246</v>
      </c>
      <c r="BI373" s="15"/>
      <c r="BJ373" s="15"/>
    </row>
    <row r="374" spans="1:63" hidden="1" x14ac:dyDescent="0.2">
      <c r="A374">
        <v>28013361</v>
      </c>
      <c r="B374" s="2" t="str">
        <f>HYPERLINK("http://www.windermere.com/index.cfm?fuseaction=Listing.ListingDetail&amp;ListingID=19264293","Subject To Inspection")</f>
        <v>Subject To Inspection</v>
      </c>
      <c r="D374" t="s">
        <v>1096</v>
      </c>
      <c r="E374" t="s">
        <v>1097</v>
      </c>
      <c r="F374" s="9">
        <v>524900</v>
      </c>
      <c r="G374" t="s">
        <v>164</v>
      </c>
      <c r="H374" s="1">
        <v>2320</v>
      </c>
      <c r="I374">
        <v>5100</v>
      </c>
      <c r="J374">
        <v>2</v>
      </c>
      <c r="K374">
        <v>2</v>
      </c>
      <c r="M374" s="2" t="str">
        <f>HYPERLINK("http://www.windermere.com/index.cfm?fuseaction=Listing.MapPropertyInteractive&amp;ListingID=19264293&amp;resize=true&amp;windowWidth=800&amp;windowHeight=600","Map")</f>
        <v>Map</v>
      </c>
      <c r="O374" s="2" t="str">
        <f>HYPERLINK("http://www.windermere.com/index.cfm?fuseaction=viewGallery.Home&amp;customTourID=205329&amp;wvt=0","More")</f>
        <v>More</v>
      </c>
      <c r="AI374" t="s">
        <v>66</v>
      </c>
      <c r="AJ374">
        <v>98117</v>
      </c>
      <c r="AS374" t="s">
        <v>1098</v>
      </c>
      <c r="AT374">
        <v>19264293</v>
      </c>
      <c r="AU374" s="10">
        <v>39495</v>
      </c>
      <c r="BB374" t="s">
        <v>902</v>
      </c>
      <c r="BC374" s="6">
        <v>39469</v>
      </c>
      <c r="BG374">
        <v>26</v>
      </c>
      <c r="BH374" s="15">
        <f t="shared" ca="1" si="5"/>
        <v>1140</v>
      </c>
      <c r="BI374" s="15"/>
      <c r="BJ374" s="15"/>
      <c r="BK374" t="str">
        <f>B374</f>
        <v>Subject To Inspection</v>
      </c>
    </row>
    <row r="375" spans="1:63" hidden="1" x14ac:dyDescent="0.2">
      <c r="A375">
        <v>28016773</v>
      </c>
      <c r="B375" s="2" t="str">
        <f>HYPERLINK("http://www.windermere.com/index.cfm?fuseaction=Listing.ListingDetail&amp;ListingID=19296030","Active")</f>
        <v>Active</v>
      </c>
      <c r="D375" t="s">
        <v>63</v>
      </c>
      <c r="E375" t="s">
        <v>1099</v>
      </c>
      <c r="F375" s="9">
        <v>524924</v>
      </c>
      <c r="G375" t="s">
        <v>140</v>
      </c>
      <c r="H375" s="1">
        <v>1520</v>
      </c>
      <c r="I375">
        <v>3750</v>
      </c>
      <c r="J375">
        <v>3</v>
      </c>
      <c r="K375">
        <v>1.75</v>
      </c>
      <c r="M375" s="2" t="str">
        <f>HYPERLINK("http://www.windermere.com/index.cfm?fuseaction=Listing.MapPropertyInteractive&amp;ListingID=19296030&amp;resize=true&amp;windowWidth=800&amp;windowHeight=600","Map")</f>
        <v>Map</v>
      </c>
      <c r="O375" s="2" t="str">
        <f>HYPERLINK("http://www.windermere.com/index.cfm?fuseaction=viewGallery.Home&amp;customTourID=205928&amp;wvt=0","More")</f>
        <v>More</v>
      </c>
      <c r="P375" t="s">
        <v>44</v>
      </c>
      <c r="AI375" t="s">
        <v>66</v>
      </c>
      <c r="AJ375">
        <v>98117</v>
      </c>
      <c r="AS375" t="s">
        <v>1100</v>
      </c>
      <c r="AT375">
        <v>19296030</v>
      </c>
      <c r="AU375" s="10">
        <v>39495</v>
      </c>
      <c r="BB375" t="s">
        <v>902</v>
      </c>
      <c r="BC375" s="6">
        <v>39478</v>
      </c>
      <c r="BG375">
        <v>17</v>
      </c>
      <c r="BH375" s="15">
        <f t="shared" ca="1" si="5"/>
        <v>1131</v>
      </c>
      <c r="BI375" s="15"/>
      <c r="BJ375" s="15"/>
    </row>
    <row r="376" spans="1:63" hidden="1" x14ac:dyDescent="0.2">
      <c r="A376">
        <v>28008105</v>
      </c>
      <c r="B376" s="2" t="str">
        <f>HYPERLINK("http://www.windermere.com/index.cfm?fuseaction=Listing.ListingDetail&amp;ListingID=19219049","Active")</f>
        <v>Active</v>
      </c>
      <c r="D376" t="s">
        <v>78</v>
      </c>
      <c r="E376" t="s">
        <v>1101</v>
      </c>
      <c r="F376" s="9">
        <v>524950</v>
      </c>
      <c r="G376" t="s">
        <v>146</v>
      </c>
      <c r="H376" s="1">
        <v>1540</v>
      </c>
      <c r="I376">
        <v>3880</v>
      </c>
      <c r="J376">
        <v>4</v>
      </c>
      <c r="K376">
        <v>2</v>
      </c>
      <c r="M376" s="2" t="str">
        <f>HYPERLINK("http://www.windermere.com/index.cfm?fuseaction=Listing.MapPropertyInteractive&amp;ListingID=19219049&amp;resize=true&amp;windowWidth=800&amp;windowHeight=600","Map")</f>
        <v>Map</v>
      </c>
      <c r="O376" s="2" t="str">
        <f>HYPERLINK("http://www.windermere.com/index.cfm?fuseaction=Listing.MultiImageViewer&amp;ListingID=19219049&amp;ln=28008105&amp;pub_mls=1","More")</f>
        <v>More</v>
      </c>
      <c r="P376" t="s">
        <v>44</v>
      </c>
      <c r="AI376" t="s">
        <v>66</v>
      </c>
      <c r="AJ376">
        <v>98117</v>
      </c>
      <c r="AS376" t="s">
        <v>1102</v>
      </c>
      <c r="AT376">
        <v>19219049</v>
      </c>
      <c r="AU376" s="10">
        <v>39495</v>
      </c>
      <c r="BB376" t="s">
        <v>902</v>
      </c>
      <c r="BC376" s="6">
        <v>39460</v>
      </c>
      <c r="BG376">
        <v>35</v>
      </c>
      <c r="BH376" s="15">
        <f t="shared" ca="1" si="5"/>
        <v>1149</v>
      </c>
      <c r="BI376" s="15"/>
      <c r="BJ376" s="15"/>
    </row>
    <row r="377" spans="1:63" hidden="1" x14ac:dyDescent="0.2">
      <c r="A377">
        <v>27049642</v>
      </c>
      <c r="B377" s="2" t="str">
        <f>HYPERLINK("http://www.windermere.com/index.cfm?fuseaction=Listing.ListingDetail&amp;ListingID=19326308","Active")</f>
        <v>Active</v>
      </c>
      <c r="D377" t="s">
        <v>63</v>
      </c>
      <c r="E377" t="s">
        <v>1103</v>
      </c>
      <c r="F377" s="9">
        <v>525000</v>
      </c>
      <c r="G377" t="s">
        <v>151</v>
      </c>
      <c r="H377" s="1">
        <v>3000</v>
      </c>
      <c r="I377">
        <v>4230</v>
      </c>
      <c r="J377">
        <v>5</v>
      </c>
      <c r="K377">
        <v>1.5</v>
      </c>
      <c r="M377" s="2" t="str">
        <f>HYPERLINK("http://www.windermere.com/index.cfm?fuseaction=Listing.MapPropertyInteractive&amp;ListingID=19326308&amp;resize=true&amp;windowWidth=800&amp;windowHeight=600","Map")</f>
        <v>Map</v>
      </c>
      <c r="O377" s="2" t="str">
        <f>HYPERLINK("http://www.windermere.com/index.cfm?fuseaction=Listing.MultiImageViewer&amp;ListingID=19326308&amp;ln=27049642&amp;pub_mls=1","More")</f>
        <v>More</v>
      </c>
      <c r="P377" t="s">
        <v>44</v>
      </c>
      <c r="AI377" t="s">
        <v>66</v>
      </c>
      <c r="AJ377">
        <v>98117</v>
      </c>
      <c r="AS377" t="s">
        <v>1104</v>
      </c>
      <c r="AT377">
        <v>19326308</v>
      </c>
      <c r="AU377" s="10">
        <v>39495</v>
      </c>
      <c r="BB377" t="s">
        <v>902</v>
      </c>
      <c r="BC377" s="6">
        <v>39169</v>
      </c>
      <c r="BD377">
        <v>1</v>
      </c>
      <c r="BG377">
        <v>326</v>
      </c>
      <c r="BH377" s="15">
        <f t="shared" ca="1" si="5"/>
        <v>1440</v>
      </c>
      <c r="BI377" s="15"/>
      <c r="BJ377" s="15"/>
    </row>
    <row r="378" spans="1:63" hidden="1" x14ac:dyDescent="0.2">
      <c r="A378">
        <v>27165871</v>
      </c>
      <c r="B378" s="2" t="str">
        <f>HYPERLINK("http://www.windermere.com/index.cfm?fuseaction=Listing.ListingDetail&amp;ListingID=18613160","Active")</f>
        <v>Active</v>
      </c>
      <c r="D378" t="s">
        <v>63</v>
      </c>
      <c r="E378" t="s">
        <v>1105</v>
      </c>
      <c r="F378" s="9">
        <v>535000</v>
      </c>
      <c r="G378" t="s">
        <v>157</v>
      </c>
      <c r="H378" s="1">
        <v>2060</v>
      </c>
      <c r="I378">
        <v>3796</v>
      </c>
      <c r="J378">
        <v>4</v>
      </c>
      <c r="K378">
        <v>2</v>
      </c>
      <c r="M378" s="2" t="str">
        <f>HYPERLINK("http://www.windermere.com/index.cfm?fuseaction=Listing.MapPropertyInteractive&amp;ListingID=18613160&amp;resize=true&amp;windowWidth=800&amp;windowHeight=600","Map")</f>
        <v>Map</v>
      </c>
      <c r="O378" s="2" t="str">
        <f>HYPERLINK("http://www.windermere.com/index.cfm?fuseaction=Listing.MultiImageViewer&amp;ListingID=18613160&amp;ln=27165871&amp;pub_mls=1","More")</f>
        <v>More</v>
      </c>
      <c r="AI378" t="s">
        <v>66</v>
      </c>
      <c r="AJ378">
        <v>98117</v>
      </c>
      <c r="AS378" t="s">
        <v>1106</v>
      </c>
      <c r="AT378">
        <v>18613160</v>
      </c>
      <c r="AU378" s="10">
        <v>39495</v>
      </c>
      <c r="BB378" t="s">
        <v>902</v>
      </c>
      <c r="BC378" s="6">
        <v>39336</v>
      </c>
      <c r="BD378">
        <v>1</v>
      </c>
      <c r="BE378" s="5" t="s">
        <v>1262</v>
      </c>
      <c r="BG378">
        <v>159</v>
      </c>
      <c r="BH378" s="15">
        <f t="shared" ca="1" si="5"/>
        <v>1273</v>
      </c>
      <c r="BI378" s="15"/>
      <c r="BJ378" s="15"/>
    </row>
    <row r="379" spans="1:63" hidden="1" x14ac:dyDescent="0.2">
      <c r="A379">
        <v>28018682</v>
      </c>
      <c r="B379" s="2" t="str">
        <f>HYPERLINK("http://www.windermere.com/index.cfm?fuseaction=Listing.ListingDetail&amp;ListingID=19304182","Subject To Inspection")</f>
        <v>Subject To Inspection</v>
      </c>
      <c r="D379" t="s">
        <v>88</v>
      </c>
      <c r="E379" t="s">
        <v>1107</v>
      </c>
      <c r="F379" s="9">
        <v>537000</v>
      </c>
      <c r="G379" t="s">
        <v>786</v>
      </c>
      <c r="H379" s="1">
        <v>2060</v>
      </c>
      <c r="I379">
        <v>3500</v>
      </c>
      <c r="J379">
        <v>4</v>
      </c>
      <c r="K379">
        <v>2.5</v>
      </c>
      <c r="M379" s="2" t="str">
        <f>HYPERLINK("http://www.windermere.com/index.cfm?fuseaction=Listing.MapPropertyInteractive&amp;ListingID=19304182&amp;resize=true&amp;windowWidth=800&amp;windowHeight=600","Map")</f>
        <v>Map</v>
      </c>
      <c r="O379" s="2" t="str">
        <f>HYPERLINK("http://www.windermere.com/index.cfm?fuseaction=Listing.MultiImageViewer&amp;ListingID=19304182&amp;ln=28018682&amp;pub_mls=1","More")</f>
        <v>More</v>
      </c>
      <c r="P379" t="s">
        <v>44</v>
      </c>
      <c r="AI379" t="s">
        <v>66</v>
      </c>
      <c r="AJ379">
        <v>98117</v>
      </c>
      <c r="AS379" t="s">
        <v>1108</v>
      </c>
      <c r="AT379">
        <v>19304182</v>
      </c>
      <c r="AU379" s="10">
        <v>39495</v>
      </c>
      <c r="BB379" t="s">
        <v>902</v>
      </c>
      <c r="BC379" s="6">
        <v>39478</v>
      </c>
      <c r="BG379">
        <v>17</v>
      </c>
      <c r="BH379" s="15">
        <f t="shared" ca="1" si="5"/>
        <v>1131</v>
      </c>
      <c r="BI379" s="15"/>
      <c r="BJ379" s="15"/>
      <c r="BK379" t="str">
        <f>B379</f>
        <v>Subject To Inspection</v>
      </c>
    </row>
    <row r="380" spans="1:63" hidden="1" x14ac:dyDescent="0.2">
      <c r="A380">
        <v>28024386</v>
      </c>
      <c r="B380" s="2" t="str">
        <f>HYPERLINK("http://www.windermere.com/index.cfm?fuseaction=Listing.ListingDetail&amp;ListingID=19347056","Active")</f>
        <v>Active</v>
      </c>
      <c r="D380" t="s">
        <v>101</v>
      </c>
      <c r="E380" t="s">
        <v>1109</v>
      </c>
      <c r="F380" s="11">
        <v>539500</v>
      </c>
      <c r="G380" t="s">
        <v>168</v>
      </c>
      <c r="I380">
        <v>5000</v>
      </c>
      <c r="J380">
        <v>3</v>
      </c>
      <c r="K380">
        <v>1.75</v>
      </c>
      <c r="M380" s="2" t="str">
        <f>HYPERLINK("http://www.windermere.com/index.cfm?fuseaction=Listing.MapPropertyInteractive&amp;ListingID=19347056&amp;resize=true&amp;windowWidth=800&amp;windowHeight=600","Map")</f>
        <v>Map</v>
      </c>
      <c r="O380" s="2" t="str">
        <f>HYPERLINK("http://www.windermere.com/index.cfm?fuseaction=Listing.MultiImageViewer&amp;ListingID=19347056&amp;ln=28024386&amp;pub_mls=1","More")</f>
        <v>More</v>
      </c>
      <c r="AI380" t="s">
        <v>66</v>
      </c>
      <c r="AJ380">
        <v>98117</v>
      </c>
      <c r="AS380" t="s">
        <v>1110</v>
      </c>
      <c r="AT380">
        <v>19347056</v>
      </c>
      <c r="AU380" s="10">
        <v>39495</v>
      </c>
      <c r="BB380" t="s">
        <v>902</v>
      </c>
      <c r="BC380" s="6">
        <v>39487</v>
      </c>
      <c r="BG380">
        <v>8</v>
      </c>
      <c r="BH380" s="15">
        <f t="shared" ca="1" si="5"/>
        <v>1122</v>
      </c>
      <c r="BI380" s="15"/>
      <c r="BJ380" s="15"/>
    </row>
    <row r="381" spans="1:63" hidden="1" x14ac:dyDescent="0.2">
      <c r="A381">
        <v>27185790</v>
      </c>
      <c r="B381" s="4" t="str">
        <f>HYPERLINK("http://www.windermere.com/index.cfm?fuseaction=Listing.ListingDetail&amp;ListingID=18811833","Subject To Inspection")</f>
        <v>Subject To Inspection</v>
      </c>
      <c r="D381" t="s">
        <v>63</v>
      </c>
      <c r="E381" t="s">
        <v>1111</v>
      </c>
      <c r="F381" s="9">
        <v>549950</v>
      </c>
      <c r="G381" t="s">
        <v>151</v>
      </c>
      <c r="H381" s="1">
        <v>2490</v>
      </c>
      <c r="I381">
        <v>3350</v>
      </c>
      <c r="J381">
        <v>3</v>
      </c>
      <c r="K381">
        <v>1.75</v>
      </c>
      <c r="M381" s="2" t="str">
        <f>HYPERLINK("http://www.windermere.com/index.cfm?fuseaction=Listing.MapPropertyInteractive&amp;ListingID=18811833&amp;resize=true&amp;windowWidth=800&amp;windowHeight=600","Map")</f>
        <v>Map</v>
      </c>
      <c r="O381" s="2" t="str">
        <f>HYPERLINK("http://www.windermere.com/index.cfm?fuseaction=viewGallery.Home&amp;customTourID=197410&amp;wvt=0","More")</f>
        <v>More</v>
      </c>
      <c r="P381" t="s">
        <v>44</v>
      </c>
      <c r="AI381" t="s">
        <v>66</v>
      </c>
      <c r="AJ381">
        <v>98117</v>
      </c>
      <c r="AS381" t="s">
        <v>1112</v>
      </c>
      <c r="AT381">
        <v>18811833</v>
      </c>
      <c r="AU381" s="10">
        <v>39495</v>
      </c>
      <c r="BB381" t="s">
        <v>902</v>
      </c>
      <c r="BC381" s="6">
        <v>39370</v>
      </c>
      <c r="BG381">
        <v>125</v>
      </c>
      <c r="BH381" s="15">
        <f t="shared" ca="1" si="5"/>
        <v>1239</v>
      </c>
      <c r="BI381" s="15"/>
      <c r="BJ381" s="15"/>
    </row>
    <row r="382" spans="1:63" hidden="1" x14ac:dyDescent="0.2">
      <c r="A382">
        <v>28007665</v>
      </c>
      <c r="B382" s="2" t="str">
        <f>HYPERLINK("http://www.windermere.com/index.cfm?fuseaction=Listing.ListingDetail&amp;ListingID=19215921","Active")</f>
        <v>Active</v>
      </c>
      <c r="D382" t="s">
        <v>88</v>
      </c>
      <c r="E382" t="s">
        <v>1113</v>
      </c>
      <c r="F382" s="11">
        <v>535000</v>
      </c>
      <c r="G382" t="s">
        <v>126</v>
      </c>
      <c r="H382" s="1">
        <v>2010</v>
      </c>
      <c r="J382">
        <v>4</v>
      </c>
      <c r="K382">
        <v>2</v>
      </c>
      <c r="M382" s="2" t="str">
        <f>HYPERLINK("http://www.windermere.com/index.cfm?fuseaction=Listing.MapPropertyInteractive&amp;ListingID=19215921&amp;resize=true&amp;windowWidth=800&amp;windowHeight=600","Map")</f>
        <v>Map</v>
      </c>
      <c r="O382" s="2" t="str">
        <f>HYPERLINK("http://www.windermere.com/index.cfm?fuseaction=viewGallery.Home&amp;customTourID=204275&amp;wvt=0","More")</f>
        <v>More</v>
      </c>
      <c r="P382" t="s">
        <v>44</v>
      </c>
      <c r="AI382" t="s">
        <v>66</v>
      </c>
      <c r="AJ382">
        <v>98117</v>
      </c>
      <c r="AS382" t="s">
        <v>1114</v>
      </c>
      <c r="AT382">
        <v>19215921</v>
      </c>
      <c r="AU382" s="10">
        <v>39495</v>
      </c>
      <c r="BB382" t="s">
        <v>902</v>
      </c>
      <c r="BC382" s="6">
        <v>39459</v>
      </c>
      <c r="BG382">
        <v>36</v>
      </c>
      <c r="BH382" s="15">
        <f t="shared" ca="1" si="5"/>
        <v>1150</v>
      </c>
      <c r="BI382" s="15"/>
      <c r="BJ382" s="15"/>
    </row>
    <row r="383" spans="1:63" hidden="1" x14ac:dyDescent="0.2">
      <c r="A383">
        <v>28021052</v>
      </c>
      <c r="B383" s="2" t="str">
        <f>HYPERLINK("http://www.windermere.com/index.cfm?fuseaction=Listing.ListingDetail&amp;ListingID=19327126","Active")</f>
        <v>Active</v>
      </c>
      <c r="D383" t="s">
        <v>99</v>
      </c>
      <c r="E383" t="s">
        <v>1115</v>
      </c>
      <c r="F383" s="9">
        <v>550000</v>
      </c>
      <c r="G383" t="s">
        <v>708</v>
      </c>
      <c r="H383" s="1">
        <v>2100</v>
      </c>
      <c r="I383">
        <v>7204</v>
      </c>
      <c r="J383">
        <v>3</v>
      </c>
      <c r="K383">
        <v>2.75</v>
      </c>
      <c r="M383" s="2" t="str">
        <f>HYPERLINK("http://www.windermere.com/index.cfm?fuseaction=Listing.MapPropertyInteractive&amp;ListingID=19327126&amp;resize=true&amp;windowWidth=800&amp;windowHeight=600","Map")</f>
        <v>Map</v>
      </c>
      <c r="O383" s="2" t="str">
        <f>HYPERLINK("http://www.windermere.com/index.cfm?fuseaction=Listing.MultiImageViewer&amp;ListingID=19327126&amp;ln=28021052&amp;pub_mls=1","More")</f>
        <v>More</v>
      </c>
      <c r="P383" t="s">
        <v>44</v>
      </c>
      <c r="AI383" t="s">
        <v>66</v>
      </c>
      <c r="AJ383">
        <v>98117</v>
      </c>
      <c r="AS383" t="s">
        <v>1116</v>
      </c>
      <c r="AT383">
        <v>19327126</v>
      </c>
      <c r="AU383" s="10">
        <v>39495</v>
      </c>
      <c r="BB383" t="s">
        <v>902</v>
      </c>
      <c r="BC383" s="6">
        <v>39483</v>
      </c>
      <c r="BG383">
        <v>12</v>
      </c>
      <c r="BH383" s="15">
        <f t="shared" ca="1" si="5"/>
        <v>1126</v>
      </c>
      <c r="BI383" s="15"/>
      <c r="BJ383" s="15"/>
    </row>
    <row r="384" spans="1:63" hidden="1" x14ac:dyDescent="0.2">
      <c r="A384">
        <v>27136843</v>
      </c>
      <c r="B384" s="2" t="str">
        <f>HYPERLINK("http://www.windermere.com/index.cfm?fuseaction=Listing.ListingDetail&amp;ListingID=18370665","Active")</f>
        <v>Active</v>
      </c>
      <c r="D384" t="s">
        <v>99</v>
      </c>
      <c r="E384" t="s">
        <v>1117</v>
      </c>
      <c r="F384" s="9">
        <v>555000</v>
      </c>
      <c r="G384" t="s">
        <v>1118</v>
      </c>
      <c r="H384" s="1">
        <v>2000</v>
      </c>
      <c r="I384">
        <v>7359</v>
      </c>
      <c r="J384">
        <v>4</v>
      </c>
      <c r="K384">
        <v>3</v>
      </c>
      <c r="M384" s="2" t="str">
        <f>HYPERLINK("http://www.windermere.com/index.cfm?fuseaction=Listing.MapPropertyInteractive&amp;ListingID=18370665&amp;resize=true&amp;windowWidth=800&amp;windowHeight=600","Map")</f>
        <v>Map</v>
      </c>
      <c r="O384" s="2" t="str">
        <f>HYPERLINK("http://www.windermere.com/index.cfm?fuseaction=Listing.MultiImageViewer&amp;ListingID=18370665&amp;ln=27136843&amp;pub_mls=1","More")</f>
        <v>More</v>
      </c>
      <c r="P384" t="s">
        <v>44</v>
      </c>
      <c r="AI384" t="s">
        <v>66</v>
      </c>
      <c r="AJ384">
        <v>98117</v>
      </c>
      <c r="AS384" t="s">
        <v>1119</v>
      </c>
      <c r="AT384">
        <v>18370665</v>
      </c>
      <c r="AU384" s="10">
        <v>39495</v>
      </c>
      <c r="BB384" t="s">
        <v>902</v>
      </c>
      <c r="BC384" s="6">
        <v>39290</v>
      </c>
      <c r="BD384">
        <v>-2</v>
      </c>
      <c r="BE384" s="5" t="s">
        <v>1251</v>
      </c>
      <c r="BG384">
        <v>205</v>
      </c>
      <c r="BH384" s="15">
        <f t="shared" ca="1" si="5"/>
        <v>1319</v>
      </c>
      <c r="BI384" s="15"/>
      <c r="BJ384" s="15"/>
    </row>
    <row r="385" spans="1:63" hidden="1" x14ac:dyDescent="0.2">
      <c r="A385">
        <v>27168320</v>
      </c>
      <c r="B385" s="2" t="str">
        <f>HYPERLINK("http://www.windermere.com/index.cfm?fuseaction=Listing.ListingDetail&amp;ListingID=18631941","Active")</f>
        <v>Active</v>
      </c>
      <c r="D385" t="s">
        <v>99</v>
      </c>
      <c r="E385" t="s">
        <v>1120</v>
      </c>
      <c r="F385" s="11">
        <v>509000</v>
      </c>
      <c r="G385" t="s">
        <v>634</v>
      </c>
      <c r="H385" s="12">
        <v>1962</v>
      </c>
      <c r="I385">
        <v>5415</v>
      </c>
      <c r="J385">
        <v>5</v>
      </c>
      <c r="K385">
        <v>3</v>
      </c>
      <c r="M385" s="2" t="str">
        <f>HYPERLINK("http://www.windermere.com/index.cfm?fuseaction=Listing.MapPropertyInteractive&amp;ListingID=18631941&amp;resize=true&amp;windowWidth=800&amp;windowHeight=600","Map")</f>
        <v>Map</v>
      </c>
      <c r="O385" s="2" t="str">
        <f>HYPERLINK("http://www.windermere.com/index.cfm?fuseaction=Listing.MultiImageViewer&amp;ListingID=18631941&amp;ln=27168320&amp;pub_mls=1","More")</f>
        <v>More</v>
      </c>
      <c r="P385" t="s">
        <v>44</v>
      </c>
      <c r="AI385" t="s">
        <v>66</v>
      </c>
      <c r="AJ385">
        <v>98117</v>
      </c>
      <c r="AS385" t="s">
        <v>1121</v>
      </c>
      <c r="AT385">
        <v>18631941</v>
      </c>
      <c r="AU385" s="10">
        <v>39495</v>
      </c>
      <c r="BB385" t="s">
        <v>902</v>
      </c>
      <c r="BC385" s="6">
        <v>39338</v>
      </c>
      <c r="BG385">
        <v>157</v>
      </c>
      <c r="BH385" s="15">
        <f t="shared" ca="1" si="5"/>
        <v>1271</v>
      </c>
      <c r="BI385" s="15"/>
      <c r="BJ385" s="15"/>
    </row>
    <row r="386" spans="1:63" hidden="1" x14ac:dyDescent="0.2">
      <c r="A386">
        <v>27207271</v>
      </c>
      <c r="B386" s="2" t="str">
        <f>HYPERLINK("http://www.windermere.com/index.cfm?fuseaction=Listing.ListingDetail&amp;ListingID=19038432","Active")</f>
        <v>Active</v>
      </c>
      <c r="D386" t="s">
        <v>63</v>
      </c>
      <c r="E386" t="s">
        <v>1122</v>
      </c>
      <c r="F386" s="9">
        <v>559950</v>
      </c>
      <c r="G386" t="s">
        <v>129</v>
      </c>
      <c r="H386" s="1">
        <v>2870</v>
      </c>
      <c r="I386">
        <v>4158</v>
      </c>
      <c r="J386">
        <v>3</v>
      </c>
      <c r="K386">
        <v>1.75</v>
      </c>
      <c r="M386" s="2" t="str">
        <f>HYPERLINK("http://www.windermere.com/index.cfm?fuseaction=Listing.MapPropertyInteractive&amp;ListingID=19038432&amp;resize=true&amp;windowWidth=800&amp;windowHeight=600","Map")</f>
        <v>Map</v>
      </c>
      <c r="O386" s="2" t="str">
        <f>HYPERLINK("http://www.windermere.com/index.cfm?fuseaction=Listing.MultiImageViewer&amp;ListingID=19038432&amp;ln=27207271&amp;pub_mls=1","More")</f>
        <v>More</v>
      </c>
      <c r="P386" t="s">
        <v>44</v>
      </c>
      <c r="AI386" t="s">
        <v>66</v>
      </c>
      <c r="AJ386">
        <v>98117</v>
      </c>
      <c r="AS386" t="s">
        <v>1123</v>
      </c>
      <c r="AT386">
        <v>19038432</v>
      </c>
      <c r="AU386" s="10">
        <v>39495</v>
      </c>
      <c r="BB386" t="s">
        <v>902</v>
      </c>
      <c r="BC386" s="6">
        <v>39417</v>
      </c>
      <c r="BG386">
        <v>78</v>
      </c>
      <c r="BH386" s="15">
        <f t="shared" ca="1" si="5"/>
        <v>1192</v>
      </c>
      <c r="BI386" s="15"/>
      <c r="BJ386" s="15"/>
    </row>
    <row r="387" spans="1:63" hidden="1" x14ac:dyDescent="0.2">
      <c r="A387">
        <v>28019206</v>
      </c>
      <c r="B387" s="2" t="str">
        <f>HYPERLINK("http://www.windermere.com/index.cfm?fuseaction=Listing.ListingDetail&amp;ListingID=19308826","Subject To Inspection")</f>
        <v>Subject To Inspection</v>
      </c>
      <c r="D387" t="s">
        <v>55</v>
      </c>
      <c r="E387" t="s">
        <v>1124</v>
      </c>
      <c r="F387" s="9">
        <v>560000</v>
      </c>
      <c r="G387" t="s">
        <v>177</v>
      </c>
      <c r="H387" s="1">
        <v>2700</v>
      </c>
      <c r="I387">
        <v>5648</v>
      </c>
      <c r="J387">
        <v>4</v>
      </c>
      <c r="K387">
        <v>2.5</v>
      </c>
      <c r="M387" s="2" t="str">
        <f>HYPERLINK("http://www.windermere.com/index.cfm?fuseaction=Listing.MapPropertyInteractive&amp;ListingID=19308826&amp;resize=true&amp;windowWidth=800&amp;windowHeight=600","Map")</f>
        <v>Map</v>
      </c>
      <c r="O387" s="2" t="str">
        <f>HYPERLINK("http://www.windermere.com/index.cfm?fuseaction=Listing.MultiImageViewer&amp;ListingID=19308826&amp;ln=28019206&amp;pub_mls=1","More")</f>
        <v>More</v>
      </c>
      <c r="AI387" t="s">
        <v>66</v>
      </c>
      <c r="AJ387">
        <v>98117</v>
      </c>
      <c r="AS387" t="s">
        <v>1125</v>
      </c>
      <c r="AT387">
        <v>19308826</v>
      </c>
      <c r="AU387" s="10">
        <v>39495</v>
      </c>
      <c r="BB387" t="s">
        <v>902</v>
      </c>
      <c r="BC387" s="6">
        <v>39479</v>
      </c>
      <c r="BG387">
        <v>16</v>
      </c>
      <c r="BH387" s="15">
        <f t="shared" ref="BH387:BH442" ca="1" si="6">TODAY()-BC387</f>
        <v>1130</v>
      </c>
      <c r="BI387" s="15"/>
      <c r="BJ387" s="15"/>
      <c r="BK387" t="str">
        <f>B387</f>
        <v>Subject To Inspection</v>
      </c>
    </row>
    <row r="388" spans="1:63" hidden="1" x14ac:dyDescent="0.2">
      <c r="A388">
        <v>28017090</v>
      </c>
      <c r="B388" s="2" t="str">
        <f>HYPERLINK("http://www.windermere.com/index.cfm?fuseaction=Listing.ListingDetail&amp;ListingID=19295724","Active")</f>
        <v>Active</v>
      </c>
      <c r="D388" s="17" t="s">
        <v>63</v>
      </c>
      <c r="E388" t="s">
        <v>1126</v>
      </c>
      <c r="F388" s="11">
        <v>554950</v>
      </c>
      <c r="G388" t="s">
        <v>176</v>
      </c>
      <c r="H388" s="1">
        <v>2590</v>
      </c>
      <c r="I388">
        <v>4224</v>
      </c>
      <c r="J388">
        <v>3</v>
      </c>
      <c r="K388">
        <v>2</v>
      </c>
      <c r="M388" s="2" t="str">
        <f>HYPERLINK("http://www.windermere.com/index.cfm?fuseaction=Listing.MapPropertyInteractive&amp;ListingID=19295724&amp;resize=true&amp;windowWidth=800&amp;windowHeight=600","Map")</f>
        <v>Map</v>
      </c>
      <c r="O388" s="2" t="str">
        <f>HYPERLINK("http://www.windermere.com/index.cfm?fuseaction=Listing.MultiImageViewer&amp;ListingID=19295724&amp;ln=28017090&amp;pub_mls=1","More")</f>
        <v>More</v>
      </c>
      <c r="AI388" t="s">
        <v>66</v>
      </c>
      <c r="AJ388">
        <v>98117</v>
      </c>
      <c r="AS388" t="s">
        <v>1127</v>
      </c>
      <c r="AT388">
        <v>19295724</v>
      </c>
      <c r="AU388" s="10">
        <v>39495</v>
      </c>
      <c r="BB388" t="s">
        <v>902</v>
      </c>
      <c r="BC388" s="6">
        <v>39477</v>
      </c>
      <c r="BG388">
        <v>18</v>
      </c>
      <c r="BH388" s="15">
        <f t="shared" ca="1" si="6"/>
        <v>1132</v>
      </c>
      <c r="BI388" s="15"/>
      <c r="BJ388" s="15"/>
    </row>
    <row r="389" spans="1:63" hidden="1" x14ac:dyDescent="0.2">
      <c r="A389">
        <v>28026215</v>
      </c>
      <c r="B389" s="13" t="str">
        <f>HYPERLINK("http://www.windermere.com/index.cfm?fuseaction=Listing.ListingDetail&amp;ListingID=19368908","Subject To Inspection")</f>
        <v>Subject To Inspection</v>
      </c>
      <c r="D389" t="s">
        <v>63</v>
      </c>
      <c r="E389" t="s">
        <v>1128</v>
      </c>
      <c r="F389" s="9">
        <v>569500</v>
      </c>
      <c r="G389" t="s">
        <v>153</v>
      </c>
      <c r="H389" s="1">
        <v>2860</v>
      </c>
      <c r="I389">
        <v>4000</v>
      </c>
      <c r="J389">
        <v>4</v>
      </c>
      <c r="K389">
        <v>2</v>
      </c>
      <c r="M389" s="2" t="str">
        <f>HYPERLINK("http://www.windermere.com/index.cfm?fuseaction=Listing.MapPropertyInteractive&amp;ListingID=19368908&amp;resize=true&amp;windowWidth=800&amp;windowHeight=600","Map")</f>
        <v>Map</v>
      </c>
      <c r="O389" s="2" t="str">
        <f>HYPERLINK("http://www.windermere.com/index.cfm?fuseaction=Listing.MultiImageViewer&amp;ListingID=19368908&amp;ln=28026215&amp;pub_mls=1","More")</f>
        <v>More</v>
      </c>
      <c r="P389" t="s">
        <v>44</v>
      </c>
      <c r="AI389" t="s">
        <v>66</v>
      </c>
      <c r="AJ389">
        <v>98117</v>
      </c>
      <c r="AS389" t="s">
        <v>1129</v>
      </c>
      <c r="AT389">
        <v>19368908</v>
      </c>
      <c r="AU389" s="10">
        <v>39495</v>
      </c>
      <c r="BB389" t="s">
        <v>902</v>
      </c>
      <c r="BC389" s="6">
        <v>39492</v>
      </c>
      <c r="BG389">
        <v>3</v>
      </c>
      <c r="BH389" s="15">
        <f t="shared" ca="1" si="6"/>
        <v>1117</v>
      </c>
      <c r="BI389" s="15"/>
      <c r="BJ389" s="15"/>
    </row>
    <row r="390" spans="1:63" hidden="1" x14ac:dyDescent="0.2">
      <c r="A390">
        <v>28000608</v>
      </c>
      <c r="B390" s="2" t="str">
        <f>HYPERLINK("http://www.windermere.com/index.cfm?fuseaction=Listing.ListingDetail&amp;ListingID=19146533","Active")</f>
        <v>Active</v>
      </c>
      <c r="D390" t="s">
        <v>88</v>
      </c>
      <c r="E390" t="s">
        <v>1132</v>
      </c>
      <c r="F390" s="9">
        <v>575000</v>
      </c>
      <c r="G390" t="s">
        <v>170</v>
      </c>
      <c r="J390">
        <v>3</v>
      </c>
      <c r="K390">
        <v>2</v>
      </c>
      <c r="M390" s="2" t="str">
        <f>HYPERLINK("http://www.windermere.com/index.cfm?fuseaction=Listing.MapPropertyInteractive&amp;ListingID=19146533&amp;resize=true&amp;windowWidth=800&amp;windowHeight=600","Map")</f>
        <v>Map</v>
      </c>
      <c r="O390" s="2" t="str">
        <f>HYPERLINK("http://www.windermere.com/index.cfm?fuseaction=Listing.MultiImageViewer&amp;ListingID=19146533&amp;ln=28000608&amp;pub_mls=1","More")</f>
        <v>More</v>
      </c>
      <c r="AI390" t="s">
        <v>66</v>
      </c>
      <c r="AJ390">
        <v>98117</v>
      </c>
      <c r="AS390" t="s">
        <v>1133</v>
      </c>
      <c r="AT390">
        <v>19146533</v>
      </c>
      <c r="AU390" s="10">
        <v>39495</v>
      </c>
      <c r="BB390" t="s">
        <v>902</v>
      </c>
      <c r="BC390" s="6">
        <v>39449</v>
      </c>
      <c r="BG390">
        <v>46</v>
      </c>
      <c r="BH390" s="15">
        <f t="shared" ca="1" si="6"/>
        <v>1160</v>
      </c>
      <c r="BI390" s="15"/>
      <c r="BJ390" s="15"/>
    </row>
    <row r="391" spans="1:63" hidden="1" x14ac:dyDescent="0.2">
      <c r="A391">
        <v>28005685</v>
      </c>
      <c r="B391" s="2" t="str">
        <f>HYPERLINK("http://www.windermere.com/index.cfm?fuseaction=Listing.ListingDetail&amp;ListingID=19187084","Active")</f>
        <v>Active</v>
      </c>
      <c r="D391" t="s">
        <v>1011</v>
      </c>
      <c r="E391" t="s">
        <v>1130</v>
      </c>
      <c r="F391" s="11">
        <v>565000</v>
      </c>
      <c r="G391" t="s">
        <v>227</v>
      </c>
      <c r="H391" s="1">
        <v>2520</v>
      </c>
      <c r="I391">
        <v>5000</v>
      </c>
      <c r="J391">
        <v>3</v>
      </c>
      <c r="K391">
        <v>1.75</v>
      </c>
      <c r="M391" s="2" t="str">
        <f>HYPERLINK("http://www.windermere.com/index.cfm?fuseaction=Listing.MapPropertyInteractive&amp;ListingID=19187084&amp;resize=true&amp;windowWidth=800&amp;windowHeight=600","Map")</f>
        <v>Map</v>
      </c>
      <c r="O391" s="2" t="str">
        <f>HYPERLINK("http://www.windermere.com/index.cfm?fuseaction=Listing.MultiImageViewer&amp;ListingID=19187084&amp;ln=28005685&amp;pub_mls=1","More")</f>
        <v>More</v>
      </c>
      <c r="P391" t="s">
        <v>44</v>
      </c>
      <c r="AI391" t="s">
        <v>66</v>
      </c>
      <c r="AJ391">
        <v>98117</v>
      </c>
      <c r="AS391" t="s">
        <v>1131</v>
      </c>
      <c r="AT391">
        <v>19187084</v>
      </c>
      <c r="AU391" s="10">
        <v>39495</v>
      </c>
      <c r="BB391" t="s">
        <v>902</v>
      </c>
      <c r="BC391" s="6">
        <v>39456</v>
      </c>
      <c r="BG391">
        <v>39</v>
      </c>
      <c r="BH391" s="15">
        <f t="shared" ca="1" si="6"/>
        <v>1153</v>
      </c>
      <c r="BI391" s="15"/>
      <c r="BJ391" s="15"/>
    </row>
    <row r="392" spans="1:63" hidden="1" x14ac:dyDescent="0.2">
      <c r="A392">
        <v>27213643</v>
      </c>
      <c r="B392" s="2" t="str">
        <f>HYPERLINK("http://www.windermere.com/index.cfm?fuseaction=Listing.ListingDetail&amp;ListingID=19103376","Subject To Inspection")</f>
        <v>Subject To Inspection</v>
      </c>
      <c r="D392" t="s">
        <v>1134</v>
      </c>
      <c r="E392" t="s">
        <v>1135</v>
      </c>
      <c r="F392" s="9">
        <v>580000</v>
      </c>
      <c r="G392" t="s">
        <v>409</v>
      </c>
      <c r="H392" s="1">
        <v>2120</v>
      </c>
      <c r="I392">
        <v>6009</v>
      </c>
      <c r="J392">
        <v>3</v>
      </c>
      <c r="K392">
        <v>1.75</v>
      </c>
      <c r="M392" s="2" t="str">
        <f>HYPERLINK("http://www.windermere.com/index.cfm?fuseaction=Listing.MapPropertyInteractive&amp;ListingID=19103376&amp;resize=true&amp;windowWidth=800&amp;windowHeight=600","Map")</f>
        <v>Map</v>
      </c>
      <c r="O392" s="2" t="str">
        <f>HYPERLINK("http://www.windermere.com/index.cfm?fuseaction=Listing.MultiImageViewer&amp;ListingID=19103376&amp;ln=27213643&amp;pub_mls=1","More")</f>
        <v>More</v>
      </c>
      <c r="P392" t="s">
        <v>44</v>
      </c>
      <c r="AI392" t="s">
        <v>66</v>
      </c>
      <c r="AJ392">
        <v>98117</v>
      </c>
      <c r="AS392" t="s">
        <v>1136</v>
      </c>
      <c r="AT392">
        <v>19103376</v>
      </c>
      <c r="AU392" s="10">
        <v>39495</v>
      </c>
      <c r="BB392" t="s">
        <v>902</v>
      </c>
      <c r="BC392" s="6">
        <v>39433</v>
      </c>
      <c r="BG392">
        <v>62</v>
      </c>
      <c r="BH392" s="15">
        <f t="shared" ca="1" si="6"/>
        <v>1176</v>
      </c>
      <c r="BI392" s="15"/>
      <c r="BJ392" s="15"/>
      <c r="BK392" t="str">
        <f>B392</f>
        <v>Subject To Inspection</v>
      </c>
    </row>
    <row r="393" spans="1:63" hidden="1" x14ac:dyDescent="0.2">
      <c r="A393">
        <v>28010205</v>
      </c>
      <c r="B393" s="2" t="str">
        <f>HYPERLINK("http://www.windermere.com/index.cfm?fuseaction=Listing.ListingDetail&amp;ListingID=19234794","Active")</f>
        <v>Active</v>
      </c>
      <c r="D393" t="s">
        <v>63</v>
      </c>
      <c r="E393" t="s">
        <v>1137</v>
      </c>
      <c r="F393" s="9">
        <v>585000</v>
      </c>
      <c r="G393" t="s">
        <v>161</v>
      </c>
      <c r="H393" s="1">
        <v>1650</v>
      </c>
      <c r="I393">
        <v>4640</v>
      </c>
      <c r="J393">
        <v>4</v>
      </c>
      <c r="K393">
        <v>2</v>
      </c>
      <c r="M393" s="2" t="str">
        <f>HYPERLINK("http://www.windermere.com/index.cfm?fuseaction=Listing.MapPropertyInteractive&amp;ListingID=19234794&amp;resize=true&amp;windowWidth=800&amp;windowHeight=600","Map")</f>
        <v>Map</v>
      </c>
      <c r="O393" s="2" t="str">
        <f>HYPERLINK("http://www.windermere.com/index.cfm?fuseaction=Listing.MultiImageViewer&amp;ListingID=19234794&amp;ln=28010205&amp;pub_mls=1","More")</f>
        <v>More</v>
      </c>
      <c r="P393" t="s">
        <v>44</v>
      </c>
      <c r="AI393" t="s">
        <v>66</v>
      </c>
      <c r="AJ393">
        <v>98117</v>
      </c>
      <c r="AS393" t="s">
        <v>1138</v>
      </c>
      <c r="AT393">
        <v>19234794</v>
      </c>
      <c r="AU393" s="10">
        <v>39495</v>
      </c>
      <c r="BB393" t="s">
        <v>902</v>
      </c>
      <c r="BC393" s="6">
        <v>39463</v>
      </c>
      <c r="BG393">
        <v>32</v>
      </c>
      <c r="BH393" s="15">
        <f t="shared" ca="1" si="6"/>
        <v>1146</v>
      </c>
      <c r="BI393" s="15"/>
      <c r="BJ393" s="15"/>
    </row>
    <row r="394" spans="1:63" hidden="1" x14ac:dyDescent="0.2">
      <c r="A394">
        <v>28005197</v>
      </c>
      <c r="B394" s="2" t="str">
        <f>HYPERLINK("http://www.windermere.com/index.cfm?fuseaction=Listing.ListingDetail&amp;ListingID=19182010","Subject To Inspection")</f>
        <v>Subject To Inspection</v>
      </c>
      <c r="D394" t="s">
        <v>63</v>
      </c>
      <c r="E394" t="s">
        <v>1139</v>
      </c>
      <c r="F394" s="9">
        <v>589000</v>
      </c>
      <c r="G394" t="s">
        <v>146</v>
      </c>
      <c r="I394">
        <v>6250</v>
      </c>
      <c r="J394">
        <v>3</v>
      </c>
      <c r="K394">
        <v>2</v>
      </c>
      <c r="M394" s="2" t="str">
        <f>HYPERLINK("http://www.windermere.com/index.cfm?fuseaction=Listing.MapPropertyInteractive&amp;ListingID=19182010&amp;resize=true&amp;windowWidth=800&amp;windowHeight=600","Map")</f>
        <v>Map</v>
      </c>
      <c r="O394" s="2" t="str">
        <f>HYPERLINK("http://www.windermere.com/index.cfm?fuseaction=Listing.MultiImageViewer&amp;ListingID=19182010&amp;ln=28005197&amp;pub_mls=1","More")</f>
        <v>More</v>
      </c>
      <c r="P394" t="s">
        <v>44</v>
      </c>
      <c r="AI394" t="s">
        <v>66</v>
      </c>
      <c r="AJ394">
        <v>98117</v>
      </c>
      <c r="AS394" t="s">
        <v>1140</v>
      </c>
      <c r="AT394">
        <v>19182010</v>
      </c>
      <c r="AU394" s="10">
        <v>39495</v>
      </c>
      <c r="BB394" t="s">
        <v>902</v>
      </c>
      <c r="BC394" s="6">
        <v>39455</v>
      </c>
      <c r="BG394">
        <v>40</v>
      </c>
      <c r="BH394" s="15">
        <f t="shared" ca="1" si="6"/>
        <v>1154</v>
      </c>
      <c r="BI394" s="15"/>
      <c r="BJ394" s="15"/>
      <c r="BK394" t="str">
        <f>B394</f>
        <v>Subject To Inspection</v>
      </c>
    </row>
    <row r="395" spans="1:63" hidden="1" x14ac:dyDescent="0.2">
      <c r="A395">
        <v>28000534</v>
      </c>
      <c r="B395" s="2" t="str">
        <f>HYPERLINK("http://www.windermere.com/index.cfm?fuseaction=Listing.ListingDetail&amp;ListingID=19146142","Active")</f>
        <v>Active</v>
      </c>
      <c r="D395" t="s">
        <v>1011</v>
      </c>
      <c r="E395" t="s">
        <v>1141</v>
      </c>
      <c r="F395" s="9">
        <v>590000</v>
      </c>
      <c r="G395" t="s">
        <v>132</v>
      </c>
      <c r="I395">
        <v>7640</v>
      </c>
      <c r="J395">
        <v>3</v>
      </c>
      <c r="K395">
        <v>1.75</v>
      </c>
      <c r="M395" s="2" t="str">
        <f>HYPERLINK("http://www.windermere.com/index.cfm?fuseaction=Listing.MapPropertyInteractive&amp;ListingID=19146142&amp;resize=true&amp;windowWidth=800&amp;windowHeight=600","Map")</f>
        <v>Map</v>
      </c>
      <c r="O395" s="2" t="str">
        <f>HYPERLINK("http://www.windermere.com/index.cfm?fuseaction=Listing.MultiImageViewer&amp;ListingID=19146142&amp;ln=28000534&amp;pub_mls=1","More")</f>
        <v>More</v>
      </c>
      <c r="P395" t="s">
        <v>44</v>
      </c>
      <c r="AI395" t="s">
        <v>66</v>
      </c>
      <c r="AJ395">
        <v>98117</v>
      </c>
      <c r="AS395" t="s">
        <v>1142</v>
      </c>
      <c r="AT395">
        <v>19146142</v>
      </c>
      <c r="AU395" s="10">
        <v>39495</v>
      </c>
      <c r="BB395" t="s">
        <v>902</v>
      </c>
      <c r="BC395" s="6">
        <v>39449</v>
      </c>
      <c r="BG395">
        <v>46</v>
      </c>
      <c r="BH395" s="15">
        <f t="shared" ca="1" si="6"/>
        <v>1160</v>
      </c>
      <c r="BI395" s="15"/>
      <c r="BJ395" s="15"/>
    </row>
    <row r="396" spans="1:63" hidden="1" x14ac:dyDescent="0.2">
      <c r="A396">
        <v>28000049</v>
      </c>
      <c r="B396" s="2" t="str">
        <f>HYPERLINK("http://www.windermere.com/index.cfm?fuseaction=Listing.ListingDetail&amp;ListingID=19141822","Active")</f>
        <v>Active</v>
      </c>
      <c r="D396" t="s">
        <v>1011</v>
      </c>
      <c r="E396" t="s">
        <v>1143</v>
      </c>
      <c r="F396" s="9">
        <v>594950</v>
      </c>
      <c r="G396" t="s">
        <v>146</v>
      </c>
      <c r="H396" s="1">
        <v>2300</v>
      </c>
      <c r="I396">
        <v>4756</v>
      </c>
      <c r="J396">
        <v>4</v>
      </c>
      <c r="K396">
        <v>2.5</v>
      </c>
      <c r="M396" s="2" t="str">
        <f>HYPERLINK("http://www.windermere.com/index.cfm?fuseaction=Listing.MapPropertyInteractive&amp;ListingID=19141822&amp;resize=true&amp;windowWidth=800&amp;windowHeight=600","Map")</f>
        <v>Map</v>
      </c>
      <c r="O396" s="2" t="str">
        <f>HYPERLINK("http://www.windermere.com/index.cfm?fuseaction=Listing.MultiImageViewer&amp;ListingID=19141822&amp;ln=28000049&amp;pub_mls=1","More")</f>
        <v>More</v>
      </c>
      <c r="P396" t="s">
        <v>44</v>
      </c>
      <c r="AI396" t="s">
        <v>66</v>
      </c>
      <c r="AJ396">
        <v>98117</v>
      </c>
      <c r="AS396" t="s">
        <v>1144</v>
      </c>
      <c r="AT396">
        <v>19141822</v>
      </c>
      <c r="AU396" s="10">
        <v>39495</v>
      </c>
      <c r="BB396" t="s">
        <v>902</v>
      </c>
      <c r="BC396" s="6">
        <v>39448</v>
      </c>
      <c r="BG396">
        <v>47</v>
      </c>
      <c r="BH396" s="15">
        <f t="shared" ca="1" si="6"/>
        <v>1161</v>
      </c>
      <c r="BI396" s="15"/>
      <c r="BJ396" s="15"/>
    </row>
    <row r="397" spans="1:63" hidden="1" x14ac:dyDescent="0.2">
      <c r="A397">
        <v>28023397</v>
      </c>
      <c r="B397" s="2" t="str">
        <f>HYPERLINK("http://www.windermere.com/index.cfm?fuseaction=Listing.ListingDetail&amp;ListingID=19338665","Active")</f>
        <v>Active</v>
      </c>
      <c r="D397" t="s">
        <v>63</v>
      </c>
      <c r="E397" t="s">
        <v>1145</v>
      </c>
      <c r="F397" s="9">
        <v>595000</v>
      </c>
      <c r="G397" t="s">
        <v>1146</v>
      </c>
      <c r="H397" s="1">
        <v>1840</v>
      </c>
      <c r="I397">
        <v>3960</v>
      </c>
      <c r="J397">
        <v>3</v>
      </c>
      <c r="K397">
        <v>2</v>
      </c>
      <c r="M397" s="2" t="str">
        <f>HYPERLINK("http://www.windermere.com/index.cfm?fuseaction=Listing.MapPropertyInteractive&amp;ListingID=19338665&amp;resize=true&amp;windowWidth=800&amp;windowHeight=600","Map")</f>
        <v>Map</v>
      </c>
      <c r="O397" s="2" t="str">
        <f>HYPERLINK("http://www.windermere.com/index.cfm?fuseaction=Listing.MultiImageViewer&amp;ListingID=19338665&amp;ln=28023397&amp;pub_mls=1","More")</f>
        <v>More</v>
      </c>
      <c r="AI397" t="s">
        <v>66</v>
      </c>
      <c r="AJ397">
        <v>98117</v>
      </c>
      <c r="AS397" t="s">
        <v>1147</v>
      </c>
      <c r="AT397">
        <v>19338665</v>
      </c>
      <c r="AU397" s="10">
        <v>39495</v>
      </c>
      <c r="BB397" t="s">
        <v>902</v>
      </c>
      <c r="BC397" s="6">
        <v>39485</v>
      </c>
      <c r="BG397">
        <v>10</v>
      </c>
      <c r="BH397" s="15">
        <f t="shared" ca="1" si="6"/>
        <v>1124</v>
      </c>
      <c r="BI397" s="15"/>
      <c r="BJ397" s="15"/>
    </row>
    <row r="398" spans="1:63" hidden="1" x14ac:dyDescent="0.2">
      <c r="A398">
        <v>27214711</v>
      </c>
      <c r="B398" s="2" t="str">
        <f>HYPERLINK("http://www.windermere.com/index.cfm?fuseaction=Listing.ListingDetail&amp;ListingID=19115696","Active")</f>
        <v>Active</v>
      </c>
      <c r="D398" t="s">
        <v>63</v>
      </c>
      <c r="E398" t="s">
        <v>1150</v>
      </c>
      <c r="F398" s="9">
        <v>599000</v>
      </c>
      <c r="G398" t="s">
        <v>137</v>
      </c>
      <c r="H398" s="1">
        <v>2000</v>
      </c>
      <c r="I398">
        <v>5750</v>
      </c>
      <c r="J398">
        <v>3</v>
      </c>
      <c r="K398">
        <v>1.75</v>
      </c>
      <c r="M398" s="2" t="str">
        <f>HYPERLINK("http://www.windermere.com/index.cfm?fuseaction=Listing.MapPropertyInteractive&amp;ListingID=19115696&amp;resize=true&amp;windowWidth=800&amp;windowHeight=600","Map")</f>
        <v>Map</v>
      </c>
      <c r="O398" s="2" t="str">
        <f>HYPERLINK("http://www.windermere.com/index.cfm?fuseaction=Listing.MultiImageViewer&amp;ListingID=19115696&amp;ln=27214711&amp;pub_mls=1","More")</f>
        <v>More</v>
      </c>
      <c r="P398" t="s">
        <v>44</v>
      </c>
      <c r="AI398" t="s">
        <v>66</v>
      </c>
      <c r="AJ398">
        <v>98117</v>
      </c>
      <c r="AS398" t="s">
        <v>1151</v>
      </c>
      <c r="AT398">
        <v>19115696</v>
      </c>
      <c r="AU398" s="10">
        <v>39495</v>
      </c>
      <c r="BB398" t="s">
        <v>902</v>
      </c>
      <c r="BC398" s="6">
        <v>39436</v>
      </c>
      <c r="BG398">
        <v>59</v>
      </c>
      <c r="BH398" s="15">
        <f t="shared" ca="1" si="6"/>
        <v>1173</v>
      </c>
      <c r="BI398" s="15"/>
      <c r="BJ398" s="15"/>
    </row>
    <row r="399" spans="1:63" hidden="1" x14ac:dyDescent="0.2">
      <c r="A399">
        <v>28009407</v>
      </c>
      <c r="B399" s="2" t="str">
        <f>HYPERLINK("http://www.windermere.com/index.cfm?fuseaction=Listing.ListingDetail&amp;ListingID=19227645","Active")</f>
        <v>Active</v>
      </c>
      <c r="D399" t="s">
        <v>1011</v>
      </c>
      <c r="E399" t="s">
        <v>1148</v>
      </c>
      <c r="F399" s="9">
        <v>599000</v>
      </c>
      <c r="G399" t="s">
        <v>171</v>
      </c>
      <c r="H399" s="1">
        <v>3020</v>
      </c>
      <c r="J399">
        <v>4</v>
      </c>
      <c r="K399">
        <v>2.5</v>
      </c>
      <c r="M399" s="2" t="str">
        <f>HYPERLINK("http://www.windermere.com/index.cfm?fuseaction=Listing.MapPropertyInteractive&amp;ListingID=19227645&amp;resize=true&amp;windowWidth=800&amp;windowHeight=600","Map")</f>
        <v>Map</v>
      </c>
      <c r="O399" s="2" t="str">
        <f>HYPERLINK("http://www.windermere.com/index.cfm?fuseaction=Listing.MultiImageViewer&amp;ListingID=19227645&amp;ln=28009407&amp;pub_mls=1","More")</f>
        <v>More</v>
      </c>
      <c r="P399" t="s">
        <v>44</v>
      </c>
      <c r="AI399" t="s">
        <v>66</v>
      </c>
      <c r="AJ399">
        <v>98117</v>
      </c>
      <c r="AS399" t="s">
        <v>1149</v>
      </c>
      <c r="AT399">
        <v>19227645</v>
      </c>
      <c r="AU399" s="10">
        <v>39495</v>
      </c>
      <c r="BB399" t="s">
        <v>902</v>
      </c>
      <c r="BC399" s="6">
        <v>39463</v>
      </c>
      <c r="BG399">
        <v>32</v>
      </c>
      <c r="BH399" s="15">
        <f t="shared" ca="1" si="6"/>
        <v>1146</v>
      </c>
      <c r="BI399" s="15"/>
      <c r="BJ399" s="15"/>
    </row>
    <row r="400" spans="1:63" hidden="1" x14ac:dyDescent="0.2">
      <c r="A400">
        <v>28011619</v>
      </c>
      <c r="B400" s="2" t="str">
        <f>HYPERLINK("http://www.windermere.com/index.cfm?fuseaction=Listing.ListingDetail&amp;ListingID=19262546","Subject To Inspection")</f>
        <v>Subject To Inspection</v>
      </c>
      <c r="D400" t="s">
        <v>88</v>
      </c>
      <c r="E400" t="s">
        <v>1152</v>
      </c>
      <c r="F400" s="9">
        <v>599900</v>
      </c>
      <c r="G400" t="s">
        <v>173</v>
      </c>
      <c r="H400" s="1">
        <v>2080</v>
      </c>
      <c r="I400">
        <v>5000</v>
      </c>
      <c r="J400">
        <v>2</v>
      </c>
      <c r="K400">
        <v>1</v>
      </c>
      <c r="M400" s="2" t="str">
        <f>HYPERLINK("http://www.windermere.com/index.cfm?fuseaction=Listing.MapPropertyInteractive&amp;ListingID=19262546&amp;resize=true&amp;windowWidth=800&amp;windowHeight=600","Map")</f>
        <v>Map</v>
      </c>
      <c r="O400" s="2" t="str">
        <f>HYPERLINK("http://www.windermere.com/index.cfm?fuseaction=viewGallery.Home&amp;customTourID=204973&amp;wvt=0","More")</f>
        <v>More</v>
      </c>
      <c r="P400" t="s">
        <v>44</v>
      </c>
      <c r="AI400" t="s">
        <v>66</v>
      </c>
      <c r="AJ400">
        <v>98117</v>
      </c>
      <c r="AS400" t="s">
        <v>1153</v>
      </c>
      <c r="AT400">
        <v>19262546</v>
      </c>
      <c r="AU400" s="10">
        <v>39495</v>
      </c>
      <c r="BB400" t="s">
        <v>902</v>
      </c>
      <c r="BC400" s="6">
        <v>39469</v>
      </c>
      <c r="BG400">
        <v>26</v>
      </c>
      <c r="BH400" s="15">
        <f t="shared" ca="1" si="6"/>
        <v>1140</v>
      </c>
      <c r="BI400" s="15"/>
      <c r="BJ400" s="15"/>
      <c r="BK400" t="str">
        <f>B400</f>
        <v>Subject To Inspection</v>
      </c>
    </row>
    <row r="401" spans="1:63" hidden="1" x14ac:dyDescent="0.2">
      <c r="A401">
        <v>28028148</v>
      </c>
      <c r="B401" s="2" t="str">
        <f>HYPERLINK("http://www.windermere.com/index.cfm?fuseaction=Listing.ListingDetail&amp;ListingID=19378194","Active")</f>
        <v>Active</v>
      </c>
      <c r="D401" t="s">
        <v>99</v>
      </c>
      <c r="E401" t="s">
        <v>1154</v>
      </c>
      <c r="F401" s="11">
        <v>599900</v>
      </c>
      <c r="G401" t="s">
        <v>124</v>
      </c>
      <c r="H401" s="1">
        <v>2440</v>
      </c>
      <c r="I401">
        <v>8910</v>
      </c>
      <c r="J401">
        <v>3</v>
      </c>
      <c r="K401">
        <v>1.75</v>
      </c>
      <c r="M401" s="2" t="str">
        <f>HYPERLINK("http://www.windermere.com/index.cfm?fuseaction=Listing.MapPropertyInteractive&amp;ListingID=19378194&amp;resize=true&amp;windowWidth=800&amp;windowHeight=600","Map")</f>
        <v>Map</v>
      </c>
      <c r="O401" s="2" t="str">
        <f>HYPERLINK("http://www.windermere.com/index.cfm?fuseaction=Listing.MultiImageViewer&amp;ListingID=19378194&amp;ln=28028148&amp;pub_mls=1","More")</f>
        <v>More</v>
      </c>
      <c r="AI401" t="s">
        <v>66</v>
      </c>
      <c r="AJ401">
        <v>98117</v>
      </c>
      <c r="AS401" t="s">
        <v>1155</v>
      </c>
      <c r="AT401">
        <v>19378194</v>
      </c>
      <c r="AU401" s="10">
        <v>39495</v>
      </c>
      <c r="BB401" t="s">
        <v>902</v>
      </c>
      <c r="BC401" s="6">
        <v>39493</v>
      </c>
      <c r="BG401">
        <v>2</v>
      </c>
      <c r="BH401" s="15">
        <f t="shared" ca="1" si="6"/>
        <v>1116</v>
      </c>
      <c r="BI401" s="15"/>
      <c r="BJ401" s="15"/>
    </row>
    <row r="402" spans="1:63" hidden="1" x14ac:dyDescent="0.2">
      <c r="A402">
        <v>28023849</v>
      </c>
      <c r="B402" s="2" t="str">
        <f>HYPERLINK("http://www.windermere.com/index.cfm?fuseaction=Listing.ListingDetail&amp;ListingID=19342514","Active")</f>
        <v>Active</v>
      </c>
      <c r="D402" t="s">
        <v>99</v>
      </c>
      <c r="E402" t="s">
        <v>1156</v>
      </c>
      <c r="F402" s="9">
        <v>618000</v>
      </c>
      <c r="G402" t="s">
        <v>146</v>
      </c>
      <c r="H402" s="1">
        <v>1720</v>
      </c>
      <c r="I402">
        <v>11653</v>
      </c>
      <c r="J402">
        <v>3</v>
      </c>
      <c r="K402">
        <v>1.5</v>
      </c>
      <c r="M402" s="2" t="str">
        <f>HYPERLINK("http://www.windermere.com/index.cfm?fuseaction=Listing.MapPropertyInteractive&amp;ListingID=19342514&amp;resize=true&amp;windowWidth=800&amp;windowHeight=600","Map")</f>
        <v>Map</v>
      </c>
      <c r="O402" s="2" t="str">
        <f>HYPERLINK("http://www.windermere.com/index.cfm?fuseaction=Listing.MultiImageViewer&amp;ListingID=19342514&amp;ln=28023849&amp;pub_mls=1","More")</f>
        <v>More</v>
      </c>
      <c r="P402" t="s">
        <v>44</v>
      </c>
      <c r="AI402" t="s">
        <v>66</v>
      </c>
      <c r="AJ402">
        <v>98117</v>
      </c>
      <c r="AS402" t="s">
        <v>1157</v>
      </c>
      <c r="AT402">
        <v>19342514</v>
      </c>
      <c r="AU402" s="10">
        <v>39495</v>
      </c>
      <c r="BB402" t="s">
        <v>902</v>
      </c>
      <c r="BC402" s="6">
        <v>39486</v>
      </c>
      <c r="BG402">
        <v>9</v>
      </c>
      <c r="BH402" s="15">
        <f t="shared" ca="1" si="6"/>
        <v>1123</v>
      </c>
      <c r="BI402" s="15"/>
      <c r="BJ402" s="15"/>
    </row>
    <row r="403" spans="1:63" hidden="1" x14ac:dyDescent="0.2">
      <c r="A403">
        <v>27138728</v>
      </c>
      <c r="B403" s="2" t="str">
        <f>HYPERLINK("http://www.windermere.com/index.cfm?fuseaction=Listing.ListingDetail&amp;ListingID=18900215","Active")</f>
        <v>Active</v>
      </c>
      <c r="D403" t="s">
        <v>101</v>
      </c>
      <c r="E403" t="s">
        <v>1158</v>
      </c>
      <c r="F403" s="9">
        <v>625000</v>
      </c>
      <c r="G403" t="s">
        <v>168</v>
      </c>
      <c r="H403" s="1">
        <v>2140</v>
      </c>
      <c r="I403">
        <v>6600</v>
      </c>
      <c r="J403">
        <v>4</v>
      </c>
      <c r="K403">
        <v>1.75</v>
      </c>
      <c r="M403" s="2" t="str">
        <f>HYPERLINK("http://www.windermere.com/index.cfm?fuseaction=Listing.MapPropertyInteractive&amp;ListingID=18900215&amp;resize=true&amp;windowWidth=800&amp;windowHeight=600","Map")</f>
        <v>Map</v>
      </c>
      <c r="O403" s="2" t="str">
        <f>HYPERLINK("http://www.windermere.com/index.cfm?fuseaction=Listing.MultiImageViewer&amp;ListingID=18900215&amp;ln=27138728&amp;pub_mls=1","More")</f>
        <v>More</v>
      </c>
      <c r="P403" t="s">
        <v>44</v>
      </c>
      <c r="AI403" t="s">
        <v>66</v>
      </c>
      <c r="AJ403">
        <v>98117</v>
      </c>
      <c r="AS403" t="s">
        <v>1159</v>
      </c>
      <c r="AT403">
        <v>18900215</v>
      </c>
      <c r="AU403" s="10">
        <v>39495</v>
      </c>
      <c r="BB403" t="s">
        <v>902</v>
      </c>
      <c r="BC403" s="6">
        <v>39293</v>
      </c>
      <c r="BD403">
        <v>2</v>
      </c>
      <c r="BG403">
        <v>202</v>
      </c>
      <c r="BH403" s="15">
        <f t="shared" ca="1" si="6"/>
        <v>1316</v>
      </c>
      <c r="BI403" s="15"/>
      <c r="BJ403" s="15"/>
    </row>
    <row r="404" spans="1:63" hidden="1" x14ac:dyDescent="0.2">
      <c r="A404">
        <v>28025594</v>
      </c>
      <c r="B404" s="2" t="str">
        <f>HYPERLINK("http://www.windermere.com/index.cfm?fuseaction=Listing.ListingDetail&amp;ListingID=19356196","Active")</f>
        <v>Active</v>
      </c>
      <c r="D404" t="s">
        <v>88</v>
      </c>
      <c r="E404" t="s">
        <v>1160</v>
      </c>
      <c r="F404" s="9">
        <v>625000</v>
      </c>
      <c r="G404" t="s">
        <v>430</v>
      </c>
      <c r="H404" s="1">
        <v>3380</v>
      </c>
      <c r="I404">
        <v>3750</v>
      </c>
      <c r="J404">
        <v>3</v>
      </c>
      <c r="K404">
        <v>2.5</v>
      </c>
      <c r="M404" s="2" t="str">
        <f>HYPERLINK("http://www.windermere.com/index.cfm?fuseaction=Listing.MapPropertyInteractive&amp;ListingID=19356196&amp;resize=true&amp;windowWidth=800&amp;windowHeight=600","Map")</f>
        <v>Map</v>
      </c>
      <c r="O404" s="2" t="str">
        <f>HYPERLINK("http://www.windermere.com/index.cfm?fuseaction=Listing.MultiImageViewer&amp;ListingID=19356196&amp;ln=28025594&amp;pub_mls=1","More")</f>
        <v>More</v>
      </c>
      <c r="P404" t="s">
        <v>44</v>
      </c>
      <c r="AI404" t="s">
        <v>66</v>
      </c>
      <c r="AJ404">
        <v>98117</v>
      </c>
      <c r="AS404" t="s">
        <v>1161</v>
      </c>
      <c r="AT404">
        <v>19356196</v>
      </c>
      <c r="AU404" s="10">
        <v>39495</v>
      </c>
      <c r="BB404" t="s">
        <v>902</v>
      </c>
      <c r="BC404" s="6">
        <v>39490</v>
      </c>
      <c r="BG404">
        <v>5</v>
      </c>
      <c r="BH404" s="15">
        <f t="shared" ca="1" si="6"/>
        <v>1119</v>
      </c>
      <c r="BI404" s="15"/>
      <c r="BJ404" s="15"/>
    </row>
    <row r="405" spans="1:63" hidden="1" x14ac:dyDescent="0.2">
      <c r="A405">
        <v>28024868</v>
      </c>
      <c r="B405" s="2" t="str">
        <f>HYPERLINK("http://www.windermere.com/index.cfm?fuseaction=Listing.ListingDetail&amp;ListingID=19351026","Active")</f>
        <v>Active</v>
      </c>
      <c r="D405" t="s">
        <v>101</v>
      </c>
      <c r="E405" t="s">
        <v>1162</v>
      </c>
      <c r="F405" s="9">
        <v>659950</v>
      </c>
      <c r="G405" t="s">
        <v>147</v>
      </c>
      <c r="H405" s="1">
        <v>2659</v>
      </c>
      <c r="J405">
        <v>4</v>
      </c>
      <c r="K405">
        <v>3.5</v>
      </c>
      <c r="M405" s="2" t="str">
        <f>HYPERLINK("http://www.windermere.com/index.cfm?fuseaction=Listing.MapPropertyInteractive&amp;ListingID=19351026&amp;resize=true&amp;windowWidth=800&amp;windowHeight=600","Map")</f>
        <v>Map</v>
      </c>
      <c r="O405" s="2" t="str">
        <f>HYPERLINK("http://www.windermere.com/index.cfm?fuseaction=Listing.MultiImageViewer&amp;ListingID=19351026&amp;ln=28024868&amp;pub_mls=1","More")</f>
        <v>More</v>
      </c>
      <c r="AI405" t="s">
        <v>66</v>
      </c>
      <c r="AJ405">
        <v>98117</v>
      </c>
      <c r="AS405" t="s">
        <v>1163</v>
      </c>
      <c r="AT405">
        <v>19351026</v>
      </c>
      <c r="AU405" s="10">
        <v>39495</v>
      </c>
      <c r="BB405" t="s">
        <v>902</v>
      </c>
      <c r="BC405" s="6">
        <v>39489</v>
      </c>
      <c r="BG405">
        <v>6</v>
      </c>
      <c r="BH405" s="15">
        <f t="shared" ca="1" si="6"/>
        <v>1120</v>
      </c>
      <c r="BI405" s="15"/>
      <c r="BJ405" s="15"/>
    </row>
    <row r="406" spans="1:63" hidden="1" x14ac:dyDescent="0.2">
      <c r="A406">
        <v>27187552</v>
      </c>
      <c r="B406" s="2" t="str">
        <f>HYPERLINK("http://www.windermere.com/index.cfm?fuseaction=Listing.ListingDetail&amp;ListingID=18825661","Subject To Inspection")</f>
        <v>Subject To Inspection</v>
      </c>
      <c r="D406" t="s">
        <v>63</v>
      </c>
      <c r="E406" t="s">
        <v>1164</v>
      </c>
      <c r="F406" s="9">
        <v>669500</v>
      </c>
      <c r="G406" t="s">
        <v>147</v>
      </c>
      <c r="H406" s="1">
        <v>2425</v>
      </c>
      <c r="J406">
        <v>4</v>
      </c>
      <c r="K406">
        <v>3.5</v>
      </c>
      <c r="M406" s="2" t="str">
        <f>HYPERLINK("http://www.windermere.com/index.cfm?fuseaction=Listing.MapPropertyInteractive&amp;ListingID=18825661&amp;resize=true&amp;windowWidth=800&amp;windowHeight=600","Map")</f>
        <v>Map</v>
      </c>
      <c r="O406" s="2" t="str">
        <f>HYPERLINK("http://www.windermere.com/index.cfm?fuseaction=viewGallery.Home&amp;customTourID=197563&amp;wvt=0","More")</f>
        <v>More</v>
      </c>
      <c r="AI406" t="s">
        <v>66</v>
      </c>
      <c r="AJ406">
        <v>98117</v>
      </c>
      <c r="AS406" t="s">
        <v>1165</v>
      </c>
      <c r="AT406">
        <v>18825661</v>
      </c>
      <c r="AU406" s="10">
        <v>39495</v>
      </c>
      <c r="BB406" t="s">
        <v>902</v>
      </c>
      <c r="BC406" s="6">
        <v>39372</v>
      </c>
      <c r="BG406">
        <v>123</v>
      </c>
      <c r="BH406" s="15">
        <f t="shared" ca="1" si="6"/>
        <v>1237</v>
      </c>
      <c r="BI406" s="15"/>
      <c r="BJ406" s="15"/>
      <c r="BK406" t="str">
        <f>B406</f>
        <v>Subject To Inspection</v>
      </c>
    </row>
    <row r="407" spans="1:63" hidden="1" x14ac:dyDescent="0.2">
      <c r="A407">
        <v>27203745</v>
      </c>
      <c r="B407" s="2" t="str">
        <f>HYPERLINK("http://www.windermere.com/index.cfm?fuseaction=Listing.ListingDetail&amp;ListingID=18992860","Active")</f>
        <v>Active</v>
      </c>
      <c r="D407" t="s">
        <v>63</v>
      </c>
      <c r="E407" t="s">
        <v>1166</v>
      </c>
      <c r="F407" s="9">
        <v>674950</v>
      </c>
      <c r="G407" t="s">
        <v>134</v>
      </c>
      <c r="H407" s="1">
        <v>2140</v>
      </c>
      <c r="I407">
        <v>3877</v>
      </c>
      <c r="J407">
        <v>3</v>
      </c>
      <c r="K407">
        <v>2.75</v>
      </c>
      <c r="M407" s="2" t="str">
        <f>HYPERLINK("http://www.windermere.com/index.cfm?fuseaction=Listing.MapPropertyInteractive&amp;ListingID=18992860&amp;resize=true&amp;windowWidth=800&amp;windowHeight=600","Map")</f>
        <v>Map</v>
      </c>
      <c r="O407" s="2" t="str">
        <f>HYPERLINK("http://www.windermere.com/index.cfm?fuseaction=Listing.MultiImageViewer&amp;ListingID=18992860&amp;ln=27203745&amp;pub_mls=1","More")</f>
        <v>More</v>
      </c>
      <c r="P407" t="s">
        <v>44</v>
      </c>
      <c r="AI407" t="s">
        <v>66</v>
      </c>
      <c r="AJ407">
        <v>98117</v>
      </c>
      <c r="AS407" t="s">
        <v>1167</v>
      </c>
      <c r="AT407">
        <v>18992860</v>
      </c>
      <c r="AU407" s="10">
        <v>39495</v>
      </c>
      <c r="BB407" t="s">
        <v>902</v>
      </c>
      <c r="BC407" s="6">
        <v>39489</v>
      </c>
      <c r="BG407">
        <v>93</v>
      </c>
      <c r="BH407" s="15">
        <f t="shared" ca="1" si="6"/>
        <v>1120</v>
      </c>
      <c r="BI407" s="15"/>
      <c r="BJ407" s="15"/>
    </row>
    <row r="408" spans="1:63" hidden="1" x14ac:dyDescent="0.2">
      <c r="A408">
        <v>27212473</v>
      </c>
      <c r="B408" s="2" t="str">
        <f>HYPERLINK("http://www.windermere.com/index.cfm?fuseaction=Listing.ListingDetail&amp;ListingID=19092155","Active")</f>
        <v>Active</v>
      </c>
      <c r="D408" t="s">
        <v>63</v>
      </c>
      <c r="E408" t="s">
        <v>1168</v>
      </c>
      <c r="F408" s="9">
        <v>674950</v>
      </c>
      <c r="G408" t="s">
        <v>135</v>
      </c>
      <c r="H408" s="1">
        <v>2260</v>
      </c>
      <c r="J408">
        <v>4</v>
      </c>
      <c r="K408">
        <v>2.25</v>
      </c>
      <c r="M408" s="2" t="str">
        <f>HYPERLINK("http://www.windermere.com/index.cfm?fuseaction=Listing.MapPropertyInteractive&amp;ListingID=19092155&amp;resize=true&amp;windowWidth=800&amp;windowHeight=600","Map")</f>
        <v>Map</v>
      </c>
      <c r="O408" s="2" t="str">
        <f>HYPERLINK("http://www.windermere.com/index.cfm?fuseaction=Listing.MultiImageViewer&amp;ListingID=19092155&amp;ln=27212473&amp;pub_mls=1","More")</f>
        <v>More</v>
      </c>
      <c r="AI408" t="s">
        <v>66</v>
      </c>
      <c r="AJ408">
        <v>98117</v>
      </c>
      <c r="AS408" t="s">
        <v>1169</v>
      </c>
      <c r="AT408">
        <v>19092155</v>
      </c>
      <c r="AU408" s="10">
        <v>39495</v>
      </c>
      <c r="BB408" t="s">
        <v>902</v>
      </c>
      <c r="BC408" s="6">
        <v>39429</v>
      </c>
      <c r="BG408">
        <v>69</v>
      </c>
      <c r="BH408" s="15">
        <f t="shared" ca="1" si="6"/>
        <v>1180</v>
      </c>
      <c r="BI408" s="15"/>
      <c r="BJ408" s="15"/>
      <c r="BK408" t="s">
        <v>1345</v>
      </c>
    </row>
    <row r="409" spans="1:63" hidden="1" x14ac:dyDescent="0.2">
      <c r="A409">
        <v>27207281</v>
      </c>
      <c r="B409" s="2" t="str">
        <f>HYPERLINK("http://www.windermere.com/index.cfm?fuseaction=Listing.ListingDetail&amp;ListingID=19034826","Active")</f>
        <v>Active</v>
      </c>
      <c r="D409" t="s">
        <v>1170</v>
      </c>
      <c r="E409" t="s">
        <v>1171</v>
      </c>
      <c r="F409" s="11">
        <v>629950</v>
      </c>
      <c r="G409" t="s">
        <v>239</v>
      </c>
      <c r="H409" s="1">
        <v>1785</v>
      </c>
      <c r="J409">
        <v>3</v>
      </c>
      <c r="K409">
        <v>2.5</v>
      </c>
      <c r="M409" s="2" t="str">
        <f>HYPERLINK("http://www.windermere.com/index.cfm?fuseaction=Listing.MapPropertyInteractive&amp;ListingID=19034826&amp;resize=true&amp;windowWidth=800&amp;windowHeight=600","Map")</f>
        <v>Map</v>
      </c>
      <c r="O409" s="2" t="str">
        <f>HYPERLINK("http://www.windermere.com/index.cfm?fuseaction=Listing.MultiImageViewer&amp;ListingID=19034826&amp;ln=27207281&amp;pub_mls=1","More")</f>
        <v>More</v>
      </c>
      <c r="P409" t="s">
        <v>44</v>
      </c>
      <c r="AI409" t="s">
        <v>66</v>
      </c>
      <c r="AJ409">
        <v>98117</v>
      </c>
      <c r="AS409" t="s">
        <v>1172</v>
      </c>
      <c r="AT409">
        <v>19034826</v>
      </c>
      <c r="AU409" s="10">
        <v>39495</v>
      </c>
      <c r="BB409" t="s">
        <v>902</v>
      </c>
      <c r="BC409" s="6">
        <v>39416</v>
      </c>
      <c r="BG409">
        <v>82</v>
      </c>
      <c r="BH409" s="15">
        <f t="shared" ca="1" si="6"/>
        <v>1193</v>
      </c>
      <c r="BI409" s="15"/>
      <c r="BJ409" s="15"/>
    </row>
    <row r="410" spans="1:63" hidden="1" x14ac:dyDescent="0.2">
      <c r="A410">
        <v>28011311</v>
      </c>
      <c r="B410" s="2" t="str">
        <f>HYPERLINK("http://www.windermere.com/index.cfm?fuseaction=Listing.ListingDetail&amp;ListingID=19243527","Active")</f>
        <v>Active</v>
      </c>
      <c r="D410" t="s">
        <v>63</v>
      </c>
      <c r="E410" t="s">
        <v>1173</v>
      </c>
      <c r="F410" s="9">
        <v>695000</v>
      </c>
      <c r="G410" t="s">
        <v>177</v>
      </c>
      <c r="H410" s="1">
        <v>1940</v>
      </c>
      <c r="I410">
        <v>3000</v>
      </c>
      <c r="J410">
        <v>3</v>
      </c>
      <c r="K410">
        <v>2.75</v>
      </c>
      <c r="M410" s="2" t="str">
        <f>HYPERLINK("http://www.windermere.com/index.cfm?fuseaction=Listing.MapPropertyInteractive&amp;ListingID=19243527&amp;resize=true&amp;windowWidth=800&amp;windowHeight=600","Map")</f>
        <v>Map</v>
      </c>
      <c r="O410" s="2" t="str">
        <f>HYPERLINK("http://www.windermere.com/index.cfm?fuseaction=Listing.MultiImageViewer&amp;ListingID=19243527&amp;ln=28011311&amp;pub_mls=1","More")</f>
        <v>More</v>
      </c>
      <c r="P410" t="s">
        <v>44</v>
      </c>
      <c r="AI410" t="s">
        <v>66</v>
      </c>
      <c r="AJ410">
        <v>98117</v>
      </c>
      <c r="AS410" t="s">
        <v>1174</v>
      </c>
      <c r="AT410">
        <v>19243527</v>
      </c>
      <c r="AU410" s="10">
        <v>39495</v>
      </c>
      <c r="BB410" t="s">
        <v>902</v>
      </c>
      <c r="BC410" s="6">
        <v>39465</v>
      </c>
      <c r="BG410">
        <v>33</v>
      </c>
      <c r="BH410" s="15">
        <f t="shared" ca="1" si="6"/>
        <v>1144</v>
      </c>
      <c r="BI410" s="15"/>
      <c r="BJ410" s="15"/>
    </row>
    <row r="411" spans="1:63" hidden="1" x14ac:dyDescent="0.2">
      <c r="A411">
        <v>28004731</v>
      </c>
      <c r="B411" s="2" t="str">
        <f>HYPERLINK("http://www.windermere.com/index.cfm?fuseaction=Listing.ListingDetail&amp;ListingID=19181505","Active")</f>
        <v>Active</v>
      </c>
      <c r="D411" t="s">
        <v>1170</v>
      </c>
      <c r="E411" t="s">
        <v>1181</v>
      </c>
      <c r="F411" s="11">
        <v>689950</v>
      </c>
      <c r="G411" t="s">
        <v>239</v>
      </c>
      <c r="H411" s="1">
        <v>2093</v>
      </c>
      <c r="J411">
        <v>3</v>
      </c>
      <c r="K411">
        <v>2.5</v>
      </c>
      <c r="M411" s="2" t="str">
        <f>HYPERLINK("http://www.windermere.com/index.cfm?fuseaction=Listing.MapPropertyInteractive&amp;ListingID=19181505&amp;resize=true&amp;windowWidth=800&amp;windowHeight=600","Map")</f>
        <v>Map</v>
      </c>
      <c r="O411" s="2" t="str">
        <f>HYPERLINK("http://www.windermere.com/index.cfm?fuseaction=Listing.MultiImageViewer&amp;ListingID=19181505&amp;ln=28004731&amp;pub_mls=1","More")</f>
        <v>More</v>
      </c>
      <c r="P411" t="s">
        <v>44</v>
      </c>
      <c r="AI411" t="s">
        <v>66</v>
      </c>
      <c r="AJ411">
        <v>98117</v>
      </c>
      <c r="AS411" t="s">
        <v>1182</v>
      </c>
      <c r="AT411">
        <v>19181505</v>
      </c>
      <c r="AU411" s="10">
        <v>39495</v>
      </c>
      <c r="BB411" t="s">
        <v>902</v>
      </c>
      <c r="BC411" s="6">
        <v>39455</v>
      </c>
      <c r="BG411">
        <v>43</v>
      </c>
      <c r="BH411" s="15">
        <f t="shared" ca="1" si="6"/>
        <v>1154</v>
      </c>
      <c r="BI411" s="15"/>
      <c r="BJ411" s="15"/>
    </row>
    <row r="412" spans="1:63" hidden="1" x14ac:dyDescent="0.2">
      <c r="A412">
        <v>28004734</v>
      </c>
      <c r="B412" s="2" t="str">
        <f>HYPERLINK("http://www.windermere.com/index.cfm?fuseaction=Listing.ListingDetail&amp;ListingID=19181506","Active")</f>
        <v>Active</v>
      </c>
      <c r="D412" t="s">
        <v>1170</v>
      </c>
      <c r="E412" t="s">
        <v>1175</v>
      </c>
      <c r="F412" s="11">
        <v>689950</v>
      </c>
      <c r="G412" t="s">
        <v>239</v>
      </c>
      <c r="H412" s="1">
        <v>2094</v>
      </c>
      <c r="J412">
        <v>3</v>
      </c>
      <c r="K412">
        <v>2.5</v>
      </c>
      <c r="M412" s="2" t="str">
        <f>HYPERLINK("http://www.windermere.com/index.cfm?fuseaction=Listing.MapPropertyInteractive&amp;ListingID=19181506&amp;resize=true&amp;windowWidth=800&amp;windowHeight=600","Map")</f>
        <v>Map</v>
      </c>
      <c r="O412" s="2" t="str">
        <f>HYPERLINK("http://www.windermere.com/index.cfm?fuseaction=Listing.MultiImageViewer&amp;ListingID=19181506&amp;ln=28004734&amp;pub_mls=1","More")</f>
        <v>More</v>
      </c>
      <c r="P412" t="s">
        <v>44</v>
      </c>
      <c r="AI412" t="s">
        <v>66</v>
      </c>
      <c r="AJ412">
        <v>98117</v>
      </c>
      <c r="AS412" t="s">
        <v>1176</v>
      </c>
      <c r="AT412">
        <v>19181506</v>
      </c>
      <c r="AU412" s="10">
        <v>39495</v>
      </c>
      <c r="BB412" t="s">
        <v>902</v>
      </c>
      <c r="BC412" s="6">
        <v>39455</v>
      </c>
      <c r="BG412">
        <v>43</v>
      </c>
      <c r="BH412" s="15">
        <f t="shared" ca="1" si="6"/>
        <v>1154</v>
      </c>
      <c r="BI412" s="15"/>
      <c r="BJ412" s="15"/>
    </row>
    <row r="413" spans="1:63" hidden="1" x14ac:dyDescent="0.2">
      <c r="A413">
        <v>28004743</v>
      </c>
      <c r="B413" s="2" t="str">
        <f>HYPERLINK("http://www.windermere.com/index.cfm?fuseaction=Listing.ListingDetail&amp;ListingID=19181512","Active")</f>
        <v>Active</v>
      </c>
      <c r="D413" t="s">
        <v>1170</v>
      </c>
      <c r="E413" t="s">
        <v>1177</v>
      </c>
      <c r="F413" s="11">
        <v>689950</v>
      </c>
      <c r="G413" t="s">
        <v>239</v>
      </c>
      <c r="H413" s="1">
        <v>2093</v>
      </c>
      <c r="J413">
        <v>3</v>
      </c>
      <c r="K413">
        <v>2.5</v>
      </c>
      <c r="M413" s="2" t="str">
        <f>HYPERLINK("http://www.windermere.com/index.cfm?fuseaction=Listing.MapPropertyInteractive&amp;ListingID=19181512&amp;resize=true&amp;windowWidth=800&amp;windowHeight=600","Map")</f>
        <v>Map</v>
      </c>
      <c r="O413" s="2" t="str">
        <f>HYPERLINK("http://www.windermere.com/index.cfm?fuseaction=Listing.MultiImageViewer&amp;ListingID=19181512&amp;ln=28004743&amp;pub_mls=1","More")</f>
        <v>More</v>
      </c>
      <c r="P413" t="s">
        <v>44</v>
      </c>
      <c r="AI413" t="s">
        <v>66</v>
      </c>
      <c r="AJ413">
        <v>98117</v>
      </c>
      <c r="AS413" t="s">
        <v>1178</v>
      </c>
      <c r="AT413">
        <v>19181512</v>
      </c>
      <c r="AU413" s="10">
        <v>39495</v>
      </c>
      <c r="BB413" t="s">
        <v>902</v>
      </c>
      <c r="BC413" s="6">
        <v>39455</v>
      </c>
      <c r="BG413">
        <v>43</v>
      </c>
      <c r="BH413" s="15">
        <f t="shared" ca="1" si="6"/>
        <v>1154</v>
      </c>
      <c r="BI413" s="15"/>
      <c r="BJ413" s="15"/>
    </row>
    <row r="414" spans="1:63" hidden="1" x14ac:dyDescent="0.2">
      <c r="A414">
        <v>28004745</v>
      </c>
      <c r="B414" s="2" t="str">
        <f>HYPERLINK("http://www.windermere.com/index.cfm?fuseaction=Listing.ListingDetail&amp;ListingID=19181513","Active")</f>
        <v>Active</v>
      </c>
      <c r="D414" t="s">
        <v>1170</v>
      </c>
      <c r="E414" t="s">
        <v>1179</v>
      </c>
      <c r="F414" s="11">
        <v>694950</v>
      </c>
      <c r="G414" t="s">
        <v>239</v>
      </c>
      <c r="H414" s="1">
        <v>2094</v>
      </c>
      <c r="J414">
        <v>3</v>
      </c>
      <c r="K414">
        <v>2.5</v>
      </c>
      <c r="M414" s="2" t="str">
        <f>HYPERLINK("http://www.windermere.com/index.cfm?fuseaction=Listing.MapPropertyInteractive&amp;ListingID=19181513&amp;resize=true&amp;windowWidth=800&amp;windowHeight=600","Map")</f>
        <v>Map</v>
      </c>
      <c r="O414" s="2" t="str">
        <f>HYPERLINK("http://www.windermere.com/index.cfm?fuseaction=Listing.MultiImageViewer&amp;ListingID=19181513&amp;ln=28004745&amp;pub_mls=1","More")</f>
        <v>More</v>
      </c>
      <c r="P414" t="s">
        <v>44</v>
      </c>
      <c r="AI414" t="s">
        <v>66</v>
      </c>
      <c r="AJ414">
        <v>98117</v>
      </c>
      <c r="AS414" t="s">
        <v>1180</v>
      </c>
      <c r="AT414">
        <v>19181513</v>
      </c>
      <c r="AU414" s="10">
        <v>39495</v>
      </c>
      <c r="BB414" t="s">
        <v>902</v>
      </c>
      <c r="BC414" s="6">
        <v>39455</v>
      </c>
      <c r="BG414">
        <v>43</v>
      </c>
      <c r="BH414" s="15">
        <f t="shared" ca="1" si="6"/>
        <v>1154</v>
      </c>
      <c r="BI414" s="15"/>
      <c r="BJ414" s="15"/>
    </row>
    <row r="415" spans="1:63" hidden="1" x14ac:dyDescent="0.2">
      <c r="A415">
        <v>28027450</v>
      </c>
      <c r="B415" s="2" t="str">
        <f>HYPERLINK("http://www.windermere.com/index.cfm?fuseaction=Listing.ListingDetail&amp;ListingID=19373391","Active")</f>
        <v>Active</v>
      </c>
      <c r="D415" t="s">
        <v>1134</v>
      </c>
      <c r="E415" t="s">
        <v>1183</v>
      </c>
      <c r="F415" s="9">
        <v>700000</v>
      </c>
      <c r="G415" t="s">
        <v>409</v>
      </c>
      <c r="H415" s="1">
        <v>2550</v>
      </c>
      <c r="I415">
        <v>7440</v>
      </c>
      <c r="J415">
        <v>3</v>
      </c>
      <c r="K415">
        <v>2.5</v>
      </c>
      <c r="M415" s="2" t="str">
        <f>HYPERLINK("http://www.windermere.com/index.cfm?fuseaction=Listing.MapPropertyInteractive&amp;ListingID=19373391&amp;resize=true&amp;windowWidth=800&amp;windowHeight=600","Map")</f>
        <v>Map</v>
      </c>
      <c r="O415" s="2" t="str">
        <f>HYPERLINK("http://www.windermere.com/index.cfm?fuseaction=Listing.MultiImageViewer&amp;ListingID=19373391&amp;ln=28027450&amp;pub_mls=1","More")</f>
        <v>More</v>
      </c>
      <c r="P415" t="s">
        <v>44</v>
      </c>
      <c r="AI415" t="s">
        <v>66</v>
      </c>
      <c r="AJ415">
        <v>98117</v>
      </c>
      <c r="AS415" t="s">
        <v>1184</v>
      </c>
      <c r="AT415">
        <v>19373391</v>
      </c>
      <c r="AU415" s="10">
        <v>39495</v>
      </c>
      <c r="BB415" t="s">
        <v>902</v>
      </c>
      <c r="BC415" s="6">
        <v>39492</v>
      </c>
      <c r="BG415">
        <v>6</v>
      </c>
      <c r="BH415" s="15">
        <f t="shared" ca="1" si="6"/>
        <v>1117</v>
      </c>
      <c r="BI415" s="15"/>
      <c r="BJ415" s="15"/>
    </row>
    <row r="416" spans="1:63" hidden="1" x14ac:dyDescent="0.2">
      <c r="A416">
        <v>28004740</v>
      </c>
      <c r="B416" s="2" t="str">
        <f>HYPERLINK("http://www.windermere.com/index.cfm?fuseaction=Listing.ListingDetail&amp;ListingID=19181511","Active")</f>
        <v>Active</v>
      </c>
      <c r="D416" t="s">
        <v>1170</v>
      </c>
      <c r="E416" t="s">
        <v>1185</v>
      </c>
      <c r="F416" s="11">
        <v>689950</v>
      </c>
      <c r="G416" t="s">
        <v>239</v>
      </c>
      <c r="H416" s="1">
        <v>2072</v>
      </c>
      <c r="J416">
        <v>3</v>
      </c>
      <c r="K416">
        <v>2.5</v>
      </c>
      <c r="M416" s="2" t="str">
        <f>HYPERLINK("http://www.windermere.com/index.cfm?fuseaction=Listing.MapPropertyInteractive&amp;ListingID=19181511&amp;resize=true&amp;windowWidth=800&amp;windowHeight=600","Map")</f>
        <v>Map</v>
      </c>
      <c r="O416" s="2" t="str">
        <f>HYPERLINK("http://www.windermere.com/index.cfm?fuseaction=Listing.MultiImageViewer&amp;ListingID=19181511&amp;ln=28004740&amp;pub_mls=1","More")</f>
        <v>More</v>
      </c>
      <c r="P416" t="s">
        <v>44</v>
      </c>
      <c r="AI416" t="s">
        <v>66</v>
      </c>
      <c r="AJ416">
        <v>98117</v>
      </c>
      <c r="AS416" t="s">
        <v>1186</v>
      </c>
      <c r="AT416">
        <v>19181511</v>
      </c>
      <c r="AU416" s="10">
        <v>39495</v>
      </c>
      <c r="BB416" t="s">
        <v>902</v>
      </c>
      <c r="BC416" s="6">
        <v>39455</v>
      </c>
      <c r="BG416">
        <v>43</v>
      </c>
      <c r="BH416" s="15">
        <f t="shared" ca="1" si="6"/>
        <v>1154</v>
      </c>
      <c r="BI416" s="15"/>
      <c r="BJ416" s="15"/>
    </row>
    <row r="417" spans="1:62" hidden="1" x14ac:dyDescent="0.2">
      <c r="A417">
        <v>28004738</v>
      </c>
      <c r="B417" s="2" t="str">
        <f>HYPERLINK("http://www.windermere.com/index.cfm?fuseaction=Listing.ListingDetail&amp;ListingID=19181507","Active")</f>
        <v>Active</v>
      </c>
      <c r="D417" t="s">
        <v>1170</v>
      </c>
      <c r="E417" t="s">
        <v>1187</v>
      </c>
      <c r="F417" s="11">
        <v>699950</v>
      </c>
      <c r="G417" t="s">
        <v>239</v>
      </c>
      <c r="H417" s="1">
        <v>2089</v>
      </c>
      <c r="J417">
        <v>3</v>
      </c>
      <c r="K417">
        <v>2.5</v>
      </c>
      <c r="M417" s="2" t="str">
        <f>HYPERLINK("http://www.windermere.com/index.cfm?fuseaction=Listing.MapPropertyInteractive&amp;ListingID=19181507&amp;resize=true&amp;windowWidth=800&amp;windowHeight=600","Map")</f>
        <v>Map</v>
      </c>
      <c r="O417" s="2" t="str">
        <f>HYPERLINK("http://www.windermere.com/index.cfm?fuseaction=Listing.MultiImageViewer&amp;ListingID=19181507&amp;ln=28004738&amp;pub_mls=1","More")</f>
        <v>More</v>
      </c>
      <c r="P417" t="s">
        <v>44</v>
      </c>
      <c r="AI417" t="s">
        <v>66</v>
      </c>
      <c r="AJ417">
        <v>98117</v>
      </c>
      <c r="AS417" t="s">
        <v>1188</v>
      </c>
      <c r="AT417">
        <v>19181507</v>
      </c>
      <c r="AU417" s="10">
        <v>39495</v>
      </c>
      <c r="BB417" t="s">
        <v>902</v>
      </c>
      <c r="BC417" s="6">
        <v>39455</v>
      </c>
      <c r="BG417">
        <v>43</v>
      </c>
      <c r="BH417" s="15">
        <f t="shared" ca="1" si="6"/>
        <v>1154</v>
      </c>
      <c r="BI417" s="15"/>
      <c r="BJ417" s="15"/>
    </row>
    <row r="418" spans="1:62" hidden="1" x14ac:dyDescent="0.2">
      <c r="A418">
        <v>28000387</v>
      </c>
      <c r="B418" s="2" t="str">
        <f>HYPERLINK("http://www.windermere.com/index.cfm?fuseaction=Listing.ListingDetail&amp;ListingID=19143759","Active")</f>
        <v>Active</v>
      </c>
      <c r="D418" t="s">
        <v>101</v>
      </c>
      <c r="E418" t="s">
        <v>1189</v>
      </c>
      <c r="F418" s="9">
        <v>729000</v>
      </c>
      <c r="G418" t="s">
        <v>162</v>
      </c>
      <c r="H418" s="1">
        <v>2240</v>
      </c>
      <c r="I418">
        <v>7094</v>
      </c>
      <c r="J418">
        <v>3</v>
      </c>
      <c r="K418">
        <v>2</v>
      </c>
      <c r="M418" s="2" t="str">
        <f>HYPERLINK("http://www.windermere.com/index.cfm?fuseaction=Listing.MapPropertyInteractive&amp;ListingID=19143759&amp;resize=true&amp;windowWidth=800&amp;windowHeight=600","Map")</f>
        <v>Map</v>
      </c>
      <c r="O418" s="2" t="str">
        <f>HYPERLINK("http://www.windermere.com/index.cfm?fuseaction=Listing.MultiImageViewer&amp;ListingID=19143759&amp;ln=28000387&amp;pub_mls=1","More")</f>
        <v>More</v>
      </c>
      <c r="P418" t="s">
        <v>44</v>
      </c>
      <c r="AI418" t="s">
        <v>66</v>
      </c>
      <c r="AJ418">
        <v>98117</v>
      </c>
      <c r="AS418" t="s">
        <v>1190</v>
      </c>
      <c r="AT418">
        <v>19143759</v>
      </c>
      <c r="AU418" s="10">
        <v>39495</v>
      </c>
      <c r="BB418" t="s">
        <v>902</v>
      </c>
      <c r="BC418" s="6">
        <v>39448</v>
      </c>
      <c r="BG418">
        <v>50</v>
      </c>
      <c r="BH418" s="15">
        <f t="shared" ca="1" si="6"/>
        <v>1161</v>
      </c>
      <c r="BI418" s="15"/>
      <c r="BJ418" s="15"/>
    </row>
    <row r="419" spans="1:62" hidden="1" x14ac:dyDescent="0.2">
      <c r="A419">
        <v>28009535</v>
      </c>
      <c r="B419" s="2" t="str">
        <f>HYPERLINK("http://www.windermere.com/index.cfm?fuseaction=Listing.ListingDetail&amp;ListingID=19233166","Active")</f>
        <v>Active</v>
      </c>
      <c r="D419" t="s">
        <v>1191</v>
      </c>
      <c r="E419" t="s">
        <v>1192</v>
      </c>
      <c r="F419" s="9">
        <v>735000</v>
      </c>
      <c r="G419" t="s">
        <v>151</v>
      </c>
      <c r="H419" s="1">
        <v>2760</v>
      </c>
      <c r="I419">
        <v>4500</v>
      </c>
      <c r="J419">
        <v>2</v>
      </c>
      <c r="K419">
        <v>1.75</v>
      </c>
      <c r="M419" s="2" t="str">
        <f>HYPERLINK("http://www.windermere.com/index.cfm?fuseaction=Listing.MapPropertyInteractive&amp;ListingID=19233166&amp;resize=true&amp;windowWidth=800&amp;windowHeight=600","Map")</f>
        <v>Map</v>
      </c>
      <c r="O419" s="2" t="str">
        <f>HYPERLINK("http://www.windermere.com/index.cfm?fuseaction=viewGallery.Home&amp;customTourID=197820&amp;wvt=0","More")</f>
        <v>More</v>
      </c>
      <c r="P419" t="s">
        <v>44</v>
      </c>
      <c r="AI419" t="s">
        <v>66</v>
      </c>
      <c r="AJ419">
        <v>98117</v>
      </c>
      <c r="AS419" t="s">
        <v>1193</v>
      </c>
      <c r="AT419">
        <v>19233166</v>
      </c>
      <c r="AU419" s="10">
        <v>39495</v>
      </c>
      <c r="BB419" t="s">
        <v>902</v>
      </c>
      <c r="BC419" s="6">
        <v>39463</v>
      </c>
      <c r="BG419">
        <v>35</v>
      </c>
      <c r="BH419" s="15">
        <f t="shared" ca="1" si="6"/>
        <v>1146</v>
      </c>
      <c r="BI419" s="15"/>
      <c r="BJ419" s="15"/>
    </row>
    <row r="420" spans="1:62" hidden="1" x14ac:dyDescent="0.2">
      <c r="A420">
        <v>27172480</v>
      </c>
      <c r="B420" s="2" t="str">
        <f>HYPERLINK("http://www.windermere.com/index.cfm?fuseaction=Listing.ListingDetail&amp;ListingID=18675948","Active")</f>
        <v>Active</v>
      </c>
      <c r="D420" t="s">
        <v>1170</v>
      </c>
      <c r="E420" t="s">
        <v>1194</v>
      </c>
      <c r="F420" s="11">
        <v>725950</v>
      </c>
      <c r="G420" t="s">
        <v>239</v>
      </c>
      <c r="H420" s="1">
        <v>2083</v>
      </c>
      <c r="J420">
        <v>3</v>
      </c>
      <c r="K420">
        <v>2.5</v>
      </c>
      <c r="M420" s="2" t="str">
        <f>HYPERLINK("http://www.windermere.com/index.cfm?fuseaction=Listing.MapPropertyInteractive&amp;ListingID=18675948&amp;resize=true&amp;windowWidth=800&amp;windowHeight=600","Map")</f>
        <v>Map</v>
      </c>
      <c r="O420" s="2" t="str">
        <f>HYPERLINK("http://www.windermere.com/index.cfm?fuseaction=Listing.MultiImageViewer&amp;ListingID=18675948&amp;ln=27172480&amp;pub_mls=1","More")</f>
        <v>More</v>
      </c>
      <c r="P420" t="s">
        <v>44</v>
      </c>
      <c r="AI420" t="s">
        <v>66</v>
      </c>
      <c r="AJ420">
        <v>98117</v>
      </c>
      <c r="AS420" t="s">
        <v>1195</v>
      </c>
      <c r="AT420">
        <v>18675948</v>
      </c>
      <c r="AU420" s="10">
        <v>39495</v>
      </c>
      <c r="BB420" t="s">
        <v>902</v>
      </c>
      <c r="BC420" s="6">
        <v>39346</v>
      </c>
      <c r="BG420">
        <v>152</v>
      </c>
      <c r="BH420" s="15">
        <f t="shared" ca="1" si="6"/>
        <v>1263</v>
      </c>
      <c r="BI420" s="15"/>
      <c r="BJ420" s="15"/>
    </row>
    <row r="421" spans="1:62" hidden="1" x14ac:dyDescent="0.2">
      <c r="A421">
        <v>28019954</v>
      </c>
      <c r="B421" s="2" t="str">
        <f>HYPERLINK("http://www.windermere.com/index.cfm?fuseaction=Listing.ListingDetail&amp;ListingID=19315379","Active")</f>
        <v>Active</v>
      </c>
      <c r="D421" s="3" t="s">
        <v>1547</v>
      </c>
      <c r="E421" t="s">
        <v>1196</v>
      </c>
      <c r="F421" s="9">
        <v>776000</v>
      </c>
      <c r="G421" t="s">
        <v>157</v>
      </c>
      <c r="H421" s="1">
        <v>1940</v>
      </c>
      <c r="I421">
        <v>8650</v>
      </c>
      <c r="J421">
        <v>2</v>
      </c>
      <c r="K421">
        <v>1.75</v>
      </c>
      <c r="M421" s="2" t="str">
        <f>HYPERLINK("http://www.windermere.com/index.cfm?fuseaction=Listing.MapPropertyInteractive&amp;ListingID=19315379&amp;resize=true&amp;windowWidth=800&amp;windowHeight=600","Map")</f>
        <v>Map</v>
      </c>
      <c r="O421" s="2" t="str">
        <f>HYPERLINK("http://www.windermere.com/index.cfm?fuseaction=viewGallery.Home&amp;customTourID=206456&amp;wvt=0","More")</f>
        <v>More</v>
      </c>
      <c r="P421" t="s">
        <v>44</v>
      </c>
      <c r="AI421" t="s">
        <v>66</v>
      </c>
      <c r="AJ421">
        <v>98117</v>
      </c>
      <c r="AS421" t="s">
        <v>1197</v>
      </c>
      <c r="AT421">
        <v>19315379</v>
      </c>
      <c r="AU421" s="10">
        <v>39495</v>
      </c>
      <c r="BB421" t="s">
        <v>902</v>
      </c>
      <c r="BC421" s="6">
        <v>39480</v>
      </c>
      <c r="BG421">
        <v>18</v>
      </c>
      <c r="BH421" s="15">
        <f t="shared" ca="1" si="6"/>
        <v>1129</v>
      </c>
      <c r="BI421" s="15"/>
      <c r="BJ421" s="15"/>
    </row>
    <row r="422" spans="1:62" hidden="1" x14ac:dyDescent="0.2">
      <c r="A422">
        <v>28005243</v>
      </c>
      <c r="B422" s="2" t="str">
        <f>HYPERLINK("http://www.windermere.com/index.cfm?fuseaction=Listing.ListingDetail&amp;ListingID=19213443","Active")</f>
        <v>Active</v>
      </c>
      <c r="D422" t="s">
        <v>101</v>
      </c>
      <c r="E422" t="s">
        <v>1198</v>
      </c>
      <c r="F422" s="9">
        <v>799000</v>
      </c>
      <c r="G422" t="s">
        <v>153</v>
      </c>
      <c r="H422" s="1">
        <v>2150</v>
      </c>
      <c r="I422">
        <v>5215</v>
      </c>
      <c r="J422">
        <v>3</v>
      </c>
      <c r="K422">
        <v>1.75</v>
      </c>
      <c r="M422" s="2" t="str">
        <f>HYPERLINK("http://www.windermere.com/index.cfm?fuseaction=Listing.MapPropertyInteractive&amp;ListingID=19213443&amp;resize=true&amp;windowWidth=800&amp;windowHeight=600","Map")</f>
        <v>Map</v>
      </c>
      <c r="O422" s="2" t="str">
        <f>HYPERLINK("http://www.windermere.com/index.cfm?fuseaction=viewGallery.Home&amp;customTourID=203898&amp;wvt=0","More")</f>
        <v>More</v>
      </c>
      <c r="P422" t="s">
        <v>44</v>
      </c>
      <c r="AI422" t="s">
        <v>66</v>
      </c>
      <c r="AJ422">
        <v>98117</v>
      </c>
      <c r="AS422" t="s">
        <v>1199</v>
      </c>
      <c r="AT422">
        <v>19213443</v>
      </c>
      <c r="AU422" s="10">
        <v>39495</v>
      </c>
      <c r="BB422" t="s">
        <v>902</v>
      </c>
      <c r="BC422" s="6">
        <v>39458</v>
      </c>
      <c r="BG422">
        <v>40</v>
      </c>
      <c r="BH422" s="15">
        <f t="shared" ca="1" si="6"/>
        <v>1151</v>
      </c>
      <c r="BI422" s="15"/>
      <c r="BJ422" s="15"/>
    </row>
    <row r="423" spans="1:62" hidden="1" x14ac:dyDescent="0.2">
      <c r="A423">
        <v>27163418</v>
      </c>
      <c r="B423" s="13" t="str">
        <f>HYPERLINK("http://www.windermere.com/index.cfm?fuseaction=Listing.ListingDetail&amp;ListingID=18576148","Subject To Inspection")</f>
        <v>Subject To Inspection</v>
      </c>
      <c r="D423" t="s">
        <v>78</v>
      </c>
      <c r="E423" t="s">
        <v>1200</v>
      </c>
      <c r="F423" s="9">
        <v>799950</v>
      </c>
      <c r="G423" t="s">
        <v>394</v>
      </c>
      <c r="H423" s="1">
        <v>2630</v>
      </c>
      <c r="I423">
        <v>6600</v>
      </c>
      <c r="J423">
        <v>4</v>
      </c>
      <c r="K423">
        <v>2.75</v>
      </c>
      <c r="M423" s="2" t="str">
        <f>HYPERLINK("http://www.windermere.com/index.cfm?fuseaction=Listing.MapPropertyInteractive&amp;ListingID=18576148&amp;resize=true&amp;windowWidth=800&amp;windowHeight=600","Map")</f>
        <v>Map</v>
      </c>
      <c r="O423" s="2" t="str">
        <f>HYPERLINK("http://www.windermere.com/index.cfm?fuseaction=Listing.MultiImageViewer&amp;ListingID=18576148&amp;ln=27163418&amp;pub_mls=1","More")</f>
        <v>More</v>
      </c>
      <c r="AI423" t="s">
        <v>66</v>
      </c>
      <c r="AJ423">
        <v>98117</v>
      </c>
      <c r="AS423" t="s">
        <v>1201</v>
      </c>
      <c r="AT423">
        <v>18576148</v>
      </c>
      <c r="AU423" s="10">
        <v>39495</v>
      </c>
      <c r="BB423" t="s">
        <v>902</v>
      </c>
      <c r="BC423" s="6">
        <v>39331</v>
      </c>
      <c r="BD423">
        <v>3</v>
      </c>
      <c r="BE423" s="5" t="s">
        <v>1259</v>
      </c>
      <c r="BG423">
        <v>167</v>
      </c>
      <c r="BH423" s="15">
        <f t="shared" ca="1" si="6"/>
        <v>1278</v>
      </c>
      <c r="BI423" s="15"/>
      <c r="BJ423" s="15"/>
    </row>
    <row r="424" spans="1:62" hidden="1" x14ac:dyDescent="0.2">
      <c r="A424">
        <v>28006190</v>
      </c>
      <c r="B424" s="2" t="str">
        <f>HYPERLINK("http://www.windermere.com/index.cfm?fuseaction=Listing.ListingDetail&amp;ListingID=19191851","Active")</f>
        <v>Active</v>
      </c>
      <c r="D424" t="s">
        <v>1134</v>
      </c>
      <c r="E424" t="s">
        <v>1202</v>
      </c>
      <c r="F424" s="9">
        <v>824500</v>
      </c>
      <c r="G424" t="s">
        <v>131</v>
      </c>
      <c r="H424" s="1">
        <v>2780</v>
      </c>
      <c r="I424">
        <v>6600</v>
      </c>
      <c r="J424">
        <v>4</v>
      </c>
      <c r="K424">
        <v>2.75</v>
      </c>
      <c r="M424" s="2" t="str">
        <f>HYPERLINK("http://www.windermere.com/index.cfm?fuseaction=Listing.MapPropertyInteractive&amp;ListingID=19191851&amp;resize=true&amp;windowWidth=800&amp;windowHeight=600","Map")</f>
        <v>Map</v>
      </c>
      <c r="O424" s="2" t="str">
        <f>HYPERLINK("http://www.windermere.com/index.cfm?fuseaction=viewGallery.Home&amp;customTourID=201998&amp;wvt=0","More")</f>
        <v>More</v>
      </c>
      <c r="P424" t="s">
        <v>44</v>
      </c>
      <c r="AI424" t="s">
        <v>66</v>
      </c>
      <c r="AJ424">
        <v>98117</v>
      </c>
      <c r="AS424" t="s">
        <v>1203</v>
      </c>
      <c r="AT424">
        <v>19191851</v>
      </c>
      <c r="AU424" s="10">
        <v>39495</v>
      </c>
      <c r="BB424" t="s">
        <v>902</v>
      </c>
      <c r="BC424" s="6">
        <v>39457</v>
      </c>
      <c r="BG424">
        <v>41</v>
      </c>
      <c r="BH424" s="15">
        <f t="shared" ca="1" si="6"/>
        <v>1152</v>
      </c>
      <c r="BI424" s="15"/>
      <c r="BJ424" s="15"/>
    </row>
    <row r="425" spans="1:62" hidden="1" x14ac:dyDescent="0.2">
      <c r="A425">
        <v>27189613</v>
      </c>
      <c r="B425" s="2" t="str">
        <f>HYPERLINK("http://www.windermere.com/index.cfm?fuseaction=Listing.ListingDetail&amp;ListingID=18844447","Active")</f>
        <v>Active</v>
      </c>
      <c r="D425" t="s">
        <v>55</v>
      </c>
      <c r="E425" t="s">
        <v>1204</v>
      </c>
      <c r="F425" s="9">
        <v>824900</v>
      </c>
      <c r="G425" t="s">
        <v>147</v>
      </c>
      <c r="H425" s="1">
        <v>2500</v>
      </c>
      <c r="I425">
        <v>5100</v>
      </c>
      <c r="J425">
        <v>3</v>
      </c>
      <c r="K425">
        <v>2.5</v>
      </c>
      <c r="M425" s="2" t="str">
        <f>HYPERLINK("http://www.windermere.com/index.cfm?fuseaction=Listing.MapPropertyInteractive&amp;ListingID=18844447&amp;resize=true&amp;windowWidth=800&amp;windowHeight=600","Map")</f>
        <v>Map</v>
      </c>
      <c r="O425" s="2" t="str">
        <f>HYPERLINK("http://www.windermere.com/index.cfm?fuseaction=Listing.MultiImageViewer&amp;ListingID=18844447&amp;ln=27189613&amp;pub_mls=1","More")</f>
        <v>More</v>
      </c>
      <c r="P425" t="s">
        <v>44</v>
      </c>
      <c r="AI425" t="s">
        <v>66</v>
      </c>
      <c r="AJ425">
        <v>98117</v>
      </c>
      <c r="AS425" t="s">
        <v>1205</v>
      </c>
      <c r="AT425">
        <v>18844447</v>
      </c>
      <c r="AU425" s="10">
        <v>39495</v>
      </c>
      <c r="BB425" t="s">
        <v>902</v>
      </c>
      <c r="BC425" s="6">
        <v>39375</v>
      </c>
      <c r="BG425">
        <v>123</v>
      </c>
      <c r="BH425" s="15">
        <f t="shared" ca="1" si="6"/>
        <v>1234</v>
      </c>
      <c r="BI425" s="15"/>
      <c r="BJ425" s="15"/>
    </row>
    <row r="426" spans="1:62" hidden="1" x14ac:dyDescent="0.2">
      <c r="A426">
        <v>27211767</v>
      </c>
      <c r="B426" s="2" t="str">
        <f>HYPERLINK("http://www.windermere.com/index.cfm?fuseaction=Listing.ListingDetail&amp;ListingID=19082599","Active")</f>
        <v>Active</v>
      </c>
      <c r="D426" t="s">
        <v>78</v>
      </c>
      <c r="E426" t="s">
        <v>1206</v>
      </c>
      <c r="F426" s="9">
        <v>839950</v>
      </c>
      <c r="G426" t="s">
        <v>147</v>
      </c>
      <c r="H426" s="1">
        <v>3111</v>
      </c>
      <c r="I426">
        <v>5500</v>
      </c>
      <c r="J426">
        <v>4</v>
      </c>
      <c r="K426">
        <v>2.75</v>
      </c>
      <c r="M426" s="2" t="str">
        <f>HYPERLINK("http://www.windermere.com/index.cfm?fuseaction=Listing.MapPropertyInteractive&amp;ListingID=19082599&amp;resize=true&amp;windowWidth=800&amp;windowHeight=600","Map")</f>
        <v>Map</v>
      </c>
      <c r="O426" s="2" t="str">
        <f>HYPERLINK("http://www.windermere.com/index.cfm?fuseaction=Listing.MultiImageViewer&amp;ListingID=19082599&amp;ln=27211767&amp;pub_mls=1","More")</f>
        <v>More</v>
      </c>
      <c r="P426" t="s">
        <v>44</v>
      </c>
      <c r="AI426" t="s">
        <v>66</v>
      </c>
      <c r="AJ426">
        <v>98117</v>
      </c>
      <c r="AS426" t="s">
        <v>1207</v>
      </c>
      <c r="AT426">
        <v>19082599</v>
      </c>
      <c r="AU426" s="10">
        <v>39495</v>
      </c>
      <c r="BB426" t="s">
        <v>902</v>
      </c>
      <c r="BC426" s="6">
        <v>39427</v>
      </c>
      <c r="BG426">
        <v>71</v>
      </c>
      <c r="BH426" s="15">
        <f t="shared" ca="1" si="6"/>
        <v>1182</v>
      </c>
      <c r="BI426" s="15"/>
      <c r="BJ426" s="15"/>
    </row>
    <row r="427" spans="1:62" hidden="1" x14ac:dyDescent="0.2">
      <c r="A427">
        <v>28026275</v>
      </c>
      <c r="B427" s="2" t="str">
        <f>HYPERLINK("http://www.windermere.com/index.cfm?fuseaction=Listing.ListingDetail&amp;ListingID=19361391","Active")</f>
        <v>Active</v>
      </c>
      <c r="D427" t="s">
        <v>101</v>
      </c>
      <c r="E427" t="s">
        <v>1208</v>
      </c>
      <c r="F427" s="9">
        <v>849950</v>
      </c>
      <c r="G427" t="s">
        <v>176</v>
      </c>
      <c r="H427" s="1">
        <v>2878</v>
      </c>
      <c r="I427">
        <v>21344</v>
      </c>
      <c r="J427">
        <v>4</v>
      </c>
      <c r="K427">
        <v>2.75</v>
      </c>
      <c r="M427" s="2" t="str">
        <f>HYPERLINK("http://www.windermere.com/index.cfm?fuseaction=Listing.MapPropertyInteractive&amp;ListingID=19361391&amp;resize=true&amp;windowWidth=800&amp;windowHeight=600","Map")</f>
        <v>Map</v>
      </c>
      <c r="O427" s="2" t="str">
        <f>HYPERLINK("http://www.windermere.com/index.cfm?fuseaction=Listing.MultiImageViewer&amp;ListingID=19361391&amp;ln=28026275&amp;pub_mls=1","More")</f>
        <v>More</v>
      </c>
      <c r="P427" t="s">
        <v>44</v>
      </c>
      <c r="AI427" t="s">
        <v>66</v>
      </c>
      <c r="AJ427">
        <v>98117</v>
      </c>
      <c r="AS427" t="s">
        <v>1209</v>
      </c>
      <c r="AT427">
        <v>19361391</v>
      </c>
      <c r="AU427" s="10">
        <v>39495</v>
      </c>
      <c r="BB427" t="s">
        <v>902</v>
      </c>
      <c r="BC427" s="6">
        <v>39491</v>
      </c>
      <c r="BG427">
        <v>7</v>
      </c>
      <c r="BH427" s="15">
        <f t="shared" ca="1" si="6"/>
        <v>1118</v>
      </c>
      <c r="BI427" s="15"/>
      <c r="BJ427" s="15"/>
    </row>
    <row r="428" spans="1:62" hidden="1" x14ac:dyDescent="0.2">
      <c r="A428">
        <v>28011833</v>
      </c>
      <c r="B428" s="13" t="str">
        <f>HYPERLINK("http://www.windermere.com/index.cfm?fuseaction=Listing.ListingDetail&amp;ListingID=19247573","Subject To Inspection")</f>
        <v>Subject To Inspection</v>
      </c>
      <c r="D428" t="s">
        <v>55</v>
      </c>
      <c r="E428" t="s">
        <v>1210</v>
      </c>
      <c r="F428" s="9">
        <v>899000</v>
      </c>
      <c r="G428" t="s">
        <v>147</v>
      </c>
      <c r="H428" s="1">
        <v>2820</v>
      </c>
      <c r="I428">
        <v>4650</v>
      </c>
      <c r="J428">
        <v>4</v>
      </c>
      <c r="K428">
        <v>3</v>
      </c>
      <c r="M428" s="2" t="str">
        <f>HYPERLINK("http://www.windermere.com/index.cfm?fuseaction=Listing.MapPropertyInteractive&amp;ListingID=19247573&amp;resize=true&amp;windowWidth=800&amp;windowHeight=600","Map")</f>
        <v>Map</v>
      </c>
      <c r="O428" s="2" t="str">
        <f>HYPERLINK("http://www.windermere.com/index.cfm?fuseaction=viewGallery.Home&amp;customTourID=198814&amp;wvt=0","More")</f>
        <v>More</v>
      </c>
      <c r="P428" t="s">
        <v>44</v>
      </c>
      <c r="AI428" t="s">
        <v>66</v>
      </c>
      <c r="AJ428">
        <v>98117</v>
      </c>
      <c r="AS428" t="s">
        <v>1211</v>
      </c>
      <c r="AT428">
        <v>19247573</v>
      </c>
      <c r="AU428" s="10">
        <v>39495</v>
      </c>
      <c r="BB428" t="s">
        <v>902</v>
      </c>
      <c r="BC428" s="6">
        <v>39465</v>
      </c>
      <c r="BG428">
        <v>33</v>
      </c>
      <c r="BH428" s="15">
        <f t="shared" ca="1" si="6"/>
        <v>1144</v>
      </c>
      <c r="BI428" s="15"/>
      <c r="BJ428" s="15"/>
    </row>
    <row r="429" spans="1:62" hidden="1" x14ac:dyDescent="0.2">
      <c r="A429">
        <v>28019761</v>
      </c>
      <c r="B429" s="2" t="str">
        <f>HYPERLINK("http://www.windermere.com/index.cfm?fuseaction=Listing.ListingDetail&amp;ListingID=19311701","Active")</f>
        <v>Active</v>
      </c>
      <c r="D429" t="s">
        <v>88</v>
      </c>
      <c r="E429" t="s">
        <v>1212</v>
      </c>
      <c r="F429" s="9">
        <v>959000</v>
      </c>
      <c r="G429" t="s">
        <v>239</v>
      </c>
      <c r="H429" s="1">
        <v>3200</v>
      </c>
      <c r="I429">
        <v>3750</v>
      </c>
      <c r="J429">
        <v>4</v>
      </c>
      <c r="K429">
        <v>3.5</v>
      </c>
      <c r="M429" s="2" t="str">
        <f>HYPERLINK("http://www.windermere.com/index.cfm?fuseaction=Listing.MapPropertyInteractive&amp;ListingID=19311701&amp;resize=true&amp;windowWidth=800&amp;windowHeight=600","Map")</f>
        <v>Map</v>
      </c>
      <c r="O429" s="2" t="str">
        <f>HYPERLINK("http://www.windermere.com/index.cfm?fuseaction=Listing.MultiImageViewer&amp;ListingID=19311701&amp;ln=28019761&amp;pub_mls=1","More")</f>
        <v>More</v>
      </c>
      <c r="P429" t="s">
        <v>44</v>
      </c>
      <c r="AI429" t="s">
        <v>66</v>
      </c>
      <c r="AJ429">
        <v>98117</v>
      </c>
      <c r="AS429" t="s">
        <v>1213</v>
      </c>
      <c r="AT429">
        <v>19311701</v>
      </c>
      <c r="AU429" s="10">
        <v>39495</v>
      </c>
      <c r="BB429" t="s">
        <v>902</v>
      </c>
      <c r="BC429" s="6">
        <v>39479</v>
      </c>
      <c r="BG429">
        <v>19</v>
      </c>
      <c r="BH429" s="15">
        <f t="shared" ca="1" si="6"/>
        <v>1130</v>
      </c>
      <c r="BI429" s="15"/>
      <c r="BJ429" s="15"/>
    </row>
    <row r="430" spans="1:62" hidden="1" x14ac:dyDescent="0.2">
      <c r="A430">
        <v>28015865</v>
      </c>
      <c r="B430" s="2" t="str">
        <f>HYPERLINK("http://www.windermere.com/index.cfm?fuseaction=Listing.ListingDetail&amp;ListingID=19280114","Active")</f>
        <v>Active</v>
      </c>
      <c r="D430" t="s">
        <v>78</v>
      </c>
      <c r="E430" t="s">
        <v>1214</v>
      </c>
      <c r="F430" s="16">
        <v>948950</v>
      </c>
      <c r="G430" t="s">
        <v>239</v>
      </c>
      <c r="H430" s="1">
        <v>3395</v>
      </c>
      <c r="I430">
        <v>4046</v>
      </c>
      <c r="J430">
        <v>4</v>
      </c>
      <c r="K430">
        <v>3.5</v>
      </c>
      <c r="M430" s="2" t="str">
        <f>HYPERLINK("http://www.windermere.com/index.cfm?fuseaction=Listing.MapPropertyInteractive&amp;ListingID=19280114&amp;resize=true&amp;windowWidth=800&amp;windowHeight=600","Map")</f>
        <v>Map</v>
      </c>
      <c r="O430" s="2" t="str">
        <f>HYPERLINK("http://www.windermere.com/index.cfm?fuseaction=Listing.MultiImageViewer&amp;ListingID=19280114&amp;ln=28015865&amp;pub_mls=1","More")</f>
        <v>More</v>
      </c>
      <c r="P430" t="s">
        <v>44</v>
      </c>
      <c r="AI430" t="s">
        <v>66</v>
      </c>
      <c r="AJ430">
        <v>98117</v>
      </c>
      <c r="AS430" t="s">
        <v>1215</v>
      </c>
      <c r="AT430">
        <v>19280114</v>
      </c>
      <c r="AU430" s="10">
        <v>39495</v>
      </c>
      <c r="BB430" t="s">
        <v>902</v>
      </c>
      <c r="BC430" s="6">
        <v>39472</v>
      </c>
      <c r="BG430">
        <v>26</v>
      </c>
      <c r="BH430" s="15">
        <f t="shared" ca="1" si="6"/>
        <v>1137</v>
      </c>
      <c r="BI430" s="15"/>
      <c r="BJ430" s="15"/>
    </row>
    <row r="431" spans="1:62" hidden="1" x14ac:dyDescent="0.2">
      <c r="A431">
        <v>28018874</v>
      </c>
      <c r="B431" s="2" t="str">
        <f>HYPERLINK("http://www.windermere.com/index.cfm?fuseaction=Listing.ListingDetail&amp;ListingID=19305262","Active")</f>
        <v>Active</v>
      </c>
      <c r="D431" t="s">
        <v>78</v>
      </c>
      <c r="E431" t="s">
        <v>1216</v>
      </c>
      <c r="F431" s="9">
        <v>988950</v>
      </c>
      <c r="G431" t="s">
        <v>147</v>
      </c>
      <c r="H431" s="1">
        <v>3654</v>
      </c>
      <c r="I431">
        <v>3880</v>
      </c>
      <c r="J431">
        <v>4</v>
      </c>
      <c r="K431">
        <v>3.25</v>
      </c>
      <c r="M431" s="2" t="str">
        <f>HYPERLINK("http://www.windermere.com/index.cfm?fuseaction=Listing.MapPropertyInteractive&amp;ListingID=19305262&amp;resize=true&amp;windowWidth=800&amp;windowHeight=600","Map")</f>
        <v>Map</v>
      </c>
      <c r="O431" s="2" t="str">
        <f>HYPERLINK("http://www.windermere.com/index.cfm?fuseaction=Listing.MultiImageViewer&amp;ListingID=19305262&amp;ln=28018874&amp;pub_mls=1","More")</f>
        <v>More</v>
      </c>
      <c r="P431" t="s">
        <v>44</v>
      </c>
      <c r="AI431" t="s">
        <v>66</v>
      </c>
      <c r="AJ431">
        <v>98117</v>
      </c>
      <c r="AS431" t="s">
        <v>1217</v>
      </c>
      <c r="AT431">
        <v>19305262</v>
      </c>
      <c r="AU431" s="10">
        <v>39495</v>
      </c>
      <c r="BB431" t="s">
        <v>902</v>
      </c>
      <c r="BC431" s="6">
        <v>39478</v>
      </c>
      <c r="BG431">
        <v>20</v>
      </c>
      <c r="BH431" s="15">
        <f t="shared" ca="1" si="6"/>
        <v>1131</v>
      </c>
      <c r="BI431" s="15"/>
      <c r="BJ431" s="15"/>
    </row>
    <row r="432" spans="1:62" hidden="1" x14ac:dyDescent="0.2">
      <c r="A432">
        <v>28015062</v>
      </c>
      <c r="B432" s="2" t="str">
        <f>HYPERLINK("http://www.windermere.com/index.cfm?fuseaction=Listing.ListingDetail&amp;ListingID=19280039","Active")</f>
        <v>Active</v>
      </c>
      <c r="D432" t="s">
        <v>1011</v>
      </c>
      <c r="E432" t="s">
        <v>1218</v>
      </c>
      <c r="F432" s="9">
        <v>997000</v>
      </c>
      <c r="G432" t="s">
        <v>239</v>
      </c>
      <c r="H432" s="1">
        <v>3078</v>
      </c>
      <c r="I432">
        <v>6476</v>
      </c>
      <c r="J432">
        <v>5</v>
      </c>
      <c r="K432">
        <v>3</v>
      </c>
      <c r="M432" s="2" t="str">
        <f>HYPERLINK("http://www.windermere.com/index.cfm?fuseaction=Listing.MapPropertyInteractive&amp;ListingID=19280039&amp;resize=true&amp;windowWidth=800&amp;windowHeight=600","Map")</f>
        <v>Map</v>
      </c>
      <c r="O432" s="2" t="str">
        <f>HYPERLINK("http://www.windermere.com/index.cfm?fuseaction=Listing.MultiImageViewer&amp;ListingID=19280039&amp;ln=28015062&amp;pub_mls=1","More")</f>
        <v>More</v>
      </c>
      <c r="P432" t="s">
        <v>44</v>
      </c>
      <c r="AI432" t="s">
        <v>66</v>
      </c>
      <c r="AJ432">
        <v>98117</v>
      </c>
      <c r="AS432" t="s">
        <v>1219</v>
      </c>
      <c r="AT432">
        <v>19280039</v>
      </c>
      <c r="AU432" s="10">
        <v>39495</v>
      </c>
      <c r="BB432" t="s">
        <v>902</v>
      </c>
      <c r="BC432" s="6">
        <v>39472</v>
      </c>
      <c r="BG432">
        <v>26</v>
      </c>
      <c r="BH432" s="15">
        <f t="shared" ca="1" si="6"/>
        <v>1137</v>
      </c>
      <c r="BI432" s="15"/>
      <c r="BJ432" s="15"/>
    </row>
    <row r="433" spans="1:62" hidden="1" x14ac:dyDescent="0.2">
      <c r="A433">
        <v>28019183</v>
      </c>
      <c r="B433" s="2" t="str">
        <f>HYPERLINK("http://www.windermere.com/index.cfm?fuseaction=Listing.ListingDetail&amp;ListingID=19308744","Active")</f>
        <v>Active</v>
      </c>
      <c r="D433" s="17" t="s">
        <v>1366</v>
      </c>
      <c r="E433" t="s">
        <v>1220</v>
      </c>
      <c r="F433" s="9">
        <v>1089000</v>
      </c>
      <c r="G433" t="s">
        <v>147</v>
      </c>
      <c r="H433" s="1">
        <v>2978</v>
      </c>
      <c r="I433">
        <v>5000</v>
      </c>
      <c r="J433">
        <v>3</v>
      </c>
      <c r="K433">
        <v>2.5</v>
      </c>
      <c r="M433" s="2" t="str">
        <f>HYPERLINK("http://www.windermere.com/index.cfm?fuseaction=Listing.MapPropertyInteractive&amp;ListingID=19308744&amp;resize=true&amp;windowWidth=800&amp;windowHeight=600","Map")</f>
        <v>Map</v>
      </c>
      <c r="O433" s="2" t="str">
        <f>HYPERLINK("http://www.windermere.com/index.cfm?fuseaction=viewGallery.Home&amp;customTourID=206358&amp;wvt=0","More")</f>
        <v>More</v>
      </c>
      <c r="P433" t="s">
        <v>44</v>
      </c>
      <c r="AI433" t="s">
        <v>66</v>
      </c>
      <c r="AJ433">
        <v>98117</v>
      </c>
      <c r="AS433" t="s">
        <v>1221</v>
      </c>
      <c r="AT433">
        <v>19308744</v>
      </c>
      <c r="AU433" s="10">
        <v>39495</v>
      </c>
      <c r="BB433" t="s">
        <v>902</v>
      </c>
      <c r="BC433" s="6">
        <v>39479</v>
      </c>
      <c r="BG433">
        <v>19</v>
      </c>
      <c r="BH433" s="15">
        <f t="shared" ca="1" si="6"/>
        <v>1130</v>
      </c>
      <c r="BI433" s="15"/>
      <c r="BJ433" s="15"/>
    </row>
    <row r="434" spans="1:62" hidden="1" x14ac:dyDescent="0.2">
      <c r="A434">
        <v>27209198</v>
      </c>
      <c r="B434" s="2" t="str">
        <f>HYPERLINK("http://www.windermere.com/index.cfm?fuseaction=Listing.ListingDetail&amp;ListingID=19048331","Active")</f>
        <v>Active</v>
      </c>
      <c r="D434" t="s">
        <v>101</v>
      </c>
      <c r="E434" t="s">
        <v>1222</v>
      </c>
      <c r="F434" s="9">
        <v>1099950</v>
      </c>
      <c r="G434" t="s">
        <v>171</v>
      </c>
      <c r="H434" s="1">
        <v>3900</v>
      </c>
      <c r="I434">
        <v>12635</v>
      </c>
      <c r="J434">
        <v>4</v>
      </c>
      <c r="K434">
        <v>3</v>
      </c>
      <c r="M434" s="2" t="str">
        <f>HYPERLINK("http://www.windermere.com/index.cfm?fuseaction=Listing.MapPropertyInteractive&amp;ListingID=19048331&amp;resize=true&amp;windowWidth=800&amp;windowHeight=600","Map")</f>
        <v>Map</v>
      </c>
      <c r="O434" s="2" t="str">
        <f>HYPERLINK("http://www.windermere.com/index.cfm?fuseaction=Listing.MultiImageViewer&amp;ListingID=19048331&amp;ln=27209198&amp;pub_mls=1","More")</f>
        <v>More</v>
      </c>
      <c r="P434" t="s">
        <v>44</v>
      </c>
      <c r="AI434" t="s">
        <v>66</v>
      </c>
      <c r="AJ434">
        <v>98117</v>
      </c>
      <c r="AS434" t="s">
        <v>1223</v>
      </c>
      <c r="AT434">
        <v>19048331</v>
      </c>
      <c r="AU434" s="10">
        <v>39495</v>
      </c>
      <c r="BB434" t="s">
        <v>902</v>
      </c>
      <c r="BC434" s="6">
        <v>39420</v>
      </c>
      <c r="BG434">
        <v>78</v>
      </c>
      <c r="BH434" s="15">
        <f t="shared" ca="1" si="6"/>
        <v>1189</v>
      </c>
      <c r="BI434" s="15"/>
      <c r="BJ434" s="15"/>
    </row>
    <row r="435" spans="1:62" hidden="1" x14ac:dyDescent="0.2">
      <c r="A435">
        <v>27135714</v>
      </c>
      <c r="B435" s="13" t="str">
        <f>HYPERLINK("http://www.windermere.com/index.cfm?fuseaction=Listing.ListingDetail&amp;ListingID=18893411","Subject To Inspection")</f>
        <v>Subject To Inspection</v>
      </c>
      <c r="D435" t="s">
        <v>63</v>
      </c>
      <c r="E435" t="s">
        <v>1224</v>
      </c>
      <c r="F435" s="9">
        <v>1105000</v>
      </c>
      <c r="G435" t="s">
        <v>147</v>
      </c>
      <c r="H435" s="1">
        <v>3439</v>
      </c>
      <c r="I435">
        <v>5000</v>
      </c>
      <c r="J435">
        <v>3</v>
      </c>
      <c r="K435">
        <v>2.5</v>
      </c>
      <c r="M435" s="2" t="str">
        <f>HYPERLINK("http://www.windermere.com/index.cfm?fuseaction=Listing.MapPropertyInteractive&amp;ListingID=18893411&amp;resize=true&amp;windowWidth=800&amp;windowHeight=600","Map")</f>
        <v>Map</v>
      </c>
      <c r="O435" s="2" t="str">
        <f>HYPERLINK("http://www.windermere.com/index.cfm?fuseaction=Listing.MultiImageViewer&amp;ListingID=18893411&amp;ln=27135714&amp;pub_mls=1","More")</f>
        <v>More</v>
      </c>
      <c r="P435" t="s">
        <v>44</v>
      </c>
      <c r="AI435" t="s">
        <v>66</v>
      </c>
      <c r="AJ435">
        <v>98117</v>
      </c>
      <c r="AS435" t="s">
        <v>1225</v>
      </c>
      <c r="AT435">
        <v>18893411</v>
      </c>
      <c r="AU435" s="10">
        <v>39495</v>
      </c>
      <c r="BB435" t="s">
        <v>902</v>
      </c>
      <c r="BC435" s="6">
        <v>39290</v>
      </c>
      <c r="BD435">
        <v>-2</v>
      </c>
      <c r="BE435" s="5" t="s">
        <v>1250</v>
      </c>
      <c r="BG435">
        <v>208</v>
      </c>
      <c r="BH435" s="15">
        <f t="shared" ca="1" si="6"/>
        <v>1319</v>
      </c>
      <c r="BI435" s="15"/>
      <c r="BJ435" s="15"/>
    </row>
    <row r="436" spans="1:62" hidden="1" x14ac:dyDescent="0.2">
      <c r="A436">
        <v>28026968</v>
      </c>
      <c r="B436" s="2" t="str">
        <f>HYPERLINK("http://www.windermere.com/index.cfm?fuseaction=Listing.ListingDetail&amp;ListingID=19370188","Active")</f>
        <v>Active</v>
      </c>
      <c r="D436" t="s">
        <v>88</v>
      </c>
      <c r="E436" t="s">
        <v>1226</v>
      </c>
      <c r="F436" s="9">
        <v>1149000</v>
      </c>
      <c r="G436" t="s">
        <v>147</v>
      </c>
      <c r="H436" s="1">
        <v>4240</v>
      </c>
      <c r="I436">
        <v>6180</v>
      </c>
      <c r="J436">
        <v>5</v>
      </c>
      <c r="K436">
        <v>3.5</v>
      </c>
      <c r="M436" s="2" t="str">
        <f>HYPERLINK("http://www.windermere.com/index.cfm?fuseaction=Listing.MapPropertyInteractive&amp;ListingID=19370188&amp;resize=true&amp;windowWidth=800&amp;windowHeight=600","Map")</f>
        <v>Map</v>
      </c>
      <c r="O436" s="2" t="str">
        <f>HYPERLINK("http://www.windermere.com/index.cfm?fuseaction=Listing.MultiImageViewer&amp;ListingID=19370188&amp;ln=28026968&amp;pub_mls=1","More")</f>
        <v>More</v>
      </c>
      <c r="P436" t="s">
        <v>44</v>
      </c>
      <c r="AI436" t="s">
        <v>66</v>
      </c>
      <c r="AJ436">
        <v>98117</v>
      </c>
      <c r="AS436" t="s">
        <v>1227</v>
      </c>
      <c r="AT436">
        <v>19370188</v>
      </c>
      <c r="AU436" s="10">
        <v>39495</v>
      </c>
      <c r="BB436" t="s">
        <v>902</v>
      </c>
      <c r="BC436" s="6">
        <v>39492</v>
      </c>
      <c r="BG436">
        <v>6</v>
      </c>
      <c r="BH436" s="15">
        <f t="shared" ca="1" si="6"/>
        <v>1117</v>
      </c>
      <c r="BI436" s="15"/>
      <c r="BJ436" s="15"/>
    </row>
    <row r="437" spans="1:62" hidden="1" x14ac:dyDescent="0.2">
      <c r="A437">
        <v>27186503</v>
      </c>
      <c r="B437" s="2" t="str">
        <f>HYPERLINK("http://www.windermere.com/index.cfm?fuseaction=Listing.ListingDetail&amp;ListingID=18821044","Active")</f>
        <v>Active</v>
      </c>
      <c r="D437" t="s">
        <v>1134</v>
      </c>
      <c r="E437" t="s">
        <v>1230</v>
      </c>
      <c r="F437" s="9">
        <v>1250000</v>
      </c>
      <c r="G437" t="s">
        <v>1231</v>
      </c>
      <c r="H437" s="1">
        <v>4790</v>
      </c>
      <c r="I437">
        <v>13735</v>
      </c>
      <c r="J437">
        <v>4</v>
      </c>
      <c r="K437">
        <v>3.25</v>
      </c>
      <c r="M437" s="2" t="str">
        <f>HYPERLINK("http://www.windermere.com/index.cfm?fuseaction=Listing.MapPropertyInteractive&amp;ListingID=18821044&amp;resize=true&amp;windowWidth=800&amp;windowHeight=600","Map")</f>
        <v>Map</v>
      </c>
      <c r="O437" s="2" t="str">
        <f>HYPERLINK("http://www.windermere.com/index.cfm?fuseaction=viewGallery.Home&amp;customTourID=197784&amp;wvt=0","More")</f>
        <v>More</v>
      </c>
      <c r="P437" t="s">
        <v>44</v>
      </c>
      <c r="AI437" t="s">
        <v>66</v>
      </c>
      <c r="AJ437">
        <v>98117</v>
      </c>
      <c r="AS437" t="s">
        <v>1232</v>
      </c>
      <c r="AT437">
        <v>18821044</v>
      </c>
      <c r="AU437" s="10">
        <v>39495</v>
      </c>
      <c r="BB437" t="s">
        <v>902</v>
      </c>
      <c r="BC437" s="6">
        <v>39372</v>
      </c>
      <c r="BG437">
        <v>126</v>
      </c>
      <c r="BH437" s="15">
        <f t="shared" ca="1" si="6"/>
        <v>1237</v>
      </c>
      <c r="BI437" s="15"/>
      <c r="BJ437" s="15"/>
    </row>
    <row r="438" spans="1:62" hidden="1" x14ac:dyDescent="0.2">
      <c r="A438">
        <v>28000688</v>
      </c>
      <c r="B438" s="2" t="str">
        <f>HYPERLINK("http://www.windermere.com/index.cfm?fuseaction=Listing.ListingDetail&amp;ListingID=19147071","Active")</f>
        <v>Active</v>
      </c>
      <c r="D438" t="s">
        <v>1011</v>
      </c>
      <c r="E438" t="s">
        <v>1228</v>
      </c>
      <c r="F438" s="9">
        <v>1250000</v>
      </c>
      <c r="G438" t="s">
        <v>485</v>
      </c>
      <c r="H438" s="1">
        <v>3930</v>
      </c>
      <c r="I438">
        <v>4800</v>
      </c>
      <c r="J438">
        <v>5</v>
      </c>
      <c r="K438">
        <v>4</v>
      </c>
      <c r="M438" s="2" t="str">
        <f>HYPERLINK("http://www.windermere.com/index.cfm?fuseaction=Listing.MapPropertyInteractive&amp;ListingID=19147071&amp;resize=true&amp;windowWidth=800&amp;windowHeight=600","Map")</f>
        <v>Map</v>
      </c>
      <c r="O438" s="2" t="str">
        <f>HYPERLINK("http://www.windermere.com/index.cfm?fuseaction=Listing.MultiImageViewer&amp;ListingID=19147071&amp;ln=28000688&amp;pub_mls=1","More")</f>
        <v>More</v>
      </c>
      <c r="P438" t="s">
        <v>44</v>
      </c>
      <c r="AI438" t="s">
        <v>66</v>
      </c>
      <c r="AJ438">
        <v>98117</v>
      </c>
      <c r="AS438" t="s">
        <v>1229</v>
      </c>
      <c r="AT438">
        <v>19147071</v>
      </c>
      <c r="AU438" s="10">
        <v>39495</v>
      </c>
      <c r="BB438" t="s">
        <v>902</v>
      </c>
      <c r="BC438" s="6">
        <v>39449</v>
      </c>
      <c r="BG438">
        <v>49</v>
      </c>
      <c r="BH438" s="15">
        <f t="shared" ca="1" si="6"/>
        <v>1160</v>
      </c>
      <c r="BI438" s="15"/>
      <c r="BJ438" s="15"/>
    </row>
    <row r="439" spans="1:62" hidden="1" x14ac:dyDescent="0.2">
      <c r="A439">
        <v>27167528</v>
      </c>
      <c r="B439" s="2" t="str">
        <f>HYPERLINK("http://www.windermere.com/index.cfm?fuseaction=Listing.ListingDetail&amp;ListingID=18622733","Active")</f>
        <v>Active</v>
      </c>
      <c r="D439" t="s">
        <v>78</v>
      </c>
      <c r="E439" t="s">
        <v>1233</v>
      </c>
      <c r="F439" s="9">
        <v>1445000</v>
      </c>
      <c r="G439" t="s">
        <v>1231</v>
      </c>
      <c r="H439" s="1">
        <v>2310</v>
      </c>
      <c r="I439">
        <v>11283</v>
      </c>
      <c r="J439">
        <v>4</v>
      </c>
      <c r="K439">
        <v>3</v>
      </c>
      <c r="M439" s="2" t="str">
        <f>HYPERLINK("http://www.windermere.com/index.cfm?fuseaction=Listing.MapPropertyInteractive&amp;ListingID=18622733&amp;resize=true&amp;windowWidth=800&amp;windowHeight=600","Map")</f>
        <v>Map</v>
      </c>
      <c r="O439" s="2" t="str">
        <f>HYPERLINK("http://www.windermere.com/index.cfm?fuseaction=Listing.MultiImageViewer&amp;ListingID=18622733&amp;ln=27167528&amp;pub_mls=1","More")</f>
        <v>More</v>
      </c>
      <c r="P439" t="s">
        <v>44</v>
      </c>
      <c r="AI439" t="s">
        <v>66</v>
      </c>
      <c r="AJ439">
        <v>98117</v>
      </c>
      <c r="AS439" t="s">
        <v>1234</v>
      </c>
      <c r="AT439">
        <v>18622733</v>
      </c>
      <c r="AU439" s="10">
        <v>39495</v>
      </c>
      <c r="BB439" t="s">
        <v>902</v>
      </c>
      <c r="BC439" s="6">
        <v>39337</v>
      </c>
      <c r="BG439">
        <v>161</v>
      </c>
      <c r="BH439" s="15">
        <f t="shared" ca="1" si="6"/>
        <v>1272</v>
      </c>
      <c r="BI439" s="15"/>
      <c r="BJ439" s="15"/>
    </row>
    <row r="440" spans="1:62" hidden="1" x14ac:dyDescent="0.2">
      <c r="A440">
        <v>27198848</v>
      </c>
      <c r="B440" s="2" t="str">
        <f>HYPERLINK("http://www.windermere.com/index.cfm?fuseaction=Listing.ListingDetail&amp;ListingID=18930143","Active")</f>
        <v>Active</v>
      </c>
      <c r="D440" t="s">
        <v>101</v>
      </c>
      <c r="E440" t="s">
        <v>1235</v>
      </c>
      <c r="F440" s="9">
        <v>1590000</v>
      </c>
      <c r="G440" t="s">
        <v>1118</v>
      </c>
      <c r="H440" s="1">
        <v>2870</v>
      </c>
      <c r="J440">
        <v>4</v>
      </c>
      <c r="K440">
        <v>3.5</v>
      </c>
      <c r="M440" s="2" t="str">
        <f>HYPERLINK("http://www.windermere.com/index.cfm?fuseaction=Listing.MapPropertyInteractive&amp;ListingID=18930143&amp;resize=true&amp;windowWidth=800&amp;windowHeight=600","Map")</f>
        <v>Map</v>
      </c>
      <c r="O440" s="2" t="str">
        <f>HYPERLINK("http://www.windermere.com/index.cfm?fuseaction=Listing.MultiImageViewer&amp;ListingID=18930143&amp;ln=27198848&amp;pub_mls=1","More")</f>
        <v>More</v>
      </c>
      <c r="P440" t="s">
        <v>44</v>
      </c>
      <c r="AI440" t="s">
        <v>66</v>
      </c>
      <c r="AJ440">
        <v>98117</v>
      </c>
      <c r="AS440" t="s">
        <v>1236</v>
      </c>
      <c r="AT440">
        <v>18930143</v>
      </c>
      <c r="AU440" s="10">
        <v>39495</v>
      </c>
      <c r="BB440" t="s">
        <v>902</v>
      </c>
      <c r="BC440" s="6">
        <v>39396</v>
      </c>
      <c r="BG440">
        <v>102</v>
      </c>
      <c r="BH440" s="15">
        <f t="shared" ca="1" si="6"/>
        <v>1213</v>
      </c>
      <c r="BI440" s="15"/>
      <c r="BJ440" s="15"/>
    </row>
    <row r="441" spans="1:62" hidden="1" x14ac:dyDescent="0.2">
      <c r="A441">
        <v>27209871</v>
      </c>
      <c r="B441" s="2" t="str">
        <f>HYPERLINK("http://www.windermere.com/index.cfm?fuseaction=Listing.ListingDetail&amp;ListingID=19461870","Active")</f>
        <v>Active</v>
      </c>
      <c r="D441" t="s">
        <v>1011</v>
      </c>
      <c r="E441" t="s">
        <v>1237</v>
      </c>
      <c r="F441" s="16">
        <v>1575000</v>
      </c>
      <c r="G441" t="s">
        <v>173</v>
      </c>
      <c r="H441" s="1">
        <v>4550</v>
      </c>
      <c r="I441">
        <v>10000</v>
      </c>
      <c r="J441">
        <v>4</v>
      </c>
      <c r="K441">
        <v>3</v>
      </c>
      <c r="M441" s="2" t="str">
        <f>HYPERLINK("http://www.windermere.com/index.cfm?fuseaction=Listing.MapPropertyInteractive&amp;ListingID=19461870&amp;resize=true&amp;windowWidth=800&amp;windowHeight=600","Map")</f>
        <v>Map</v>
      </c>
      <c r="O441" s="2" t="str">
        <f>HYPERLINK("http://www.windermere.com/index.cfm?fuseaction=Listing.MultiImageViewer&amp;ListingID=19461870&amp;ln=27209871&amp;pub_mls=1","More")</f>
        <v>More</v>
      </c>
      <c r="P441" t="s">
        <v>44</v>
      </c>
      <c r="AI441" t="s">
        <v>66</v>
      </c>
      <c r="AJ441">
        <v>98117</v>
      </c>
      <c r="AS441" s="3" t="s">
        <v>1550</v>
      </c>
      <c r="AT441" s="3">
        <v>19461870</v>
      </c>
      <c r="AU441" s="10">
        <v>39495</v>
      </c>
      <c r="BB441" t="s">
        <v>902</v>
      </c>
      <c r="BC441" s="6">
        <v>39426</v>
      </c>
      <c r="BG441">
        <v>72</v>
      </c>
      <c r="BH441" s="15">
        <f t="shared" ca="1" si="6"/>
        <v>1183</v>
      </c>
      <c r="BI441" s="15"/>
      <c r="BJ441" s="15"/>
    </row>
    <row r="442" spans="1:62" hidden="1" x14ac:dyDescent="0.2">
      <c r="A442">
        <v>28008620</v>
      </c>
      <c r="B442" s="2" t="str">
        <f>HYPERLINK("http://www.windermere.com/index.cfm?fuseaction=Listing.ListingDetail&amp;ListingID=19229227","Active")</f>
        <v>Active</v>
      </c>
      <c r="D442" t="s">
        <v>101</v>
      </c>
      <c r="E442" t="s">
        <v>1238</v>
      </c>
      <c r="F442" s="9">
        <v>1795000</v>
      </c>
      <c r="G442" t="s">
        <v>1239</v>
      </c>
      <c r="H442" s="1">
        <v>3830</v>
      </c>
      <c r="I442">
        <v>16048</v>
      </c>
      <c r="J442">
        <v>4</v>
      </c>
      <c r="K442">
        <v>3.5</v>
      </c>
      <c r="M442" s="2" t="str">
        <f>HYPERLINK("http://www.windermere.com/index.cfm?fuseaction=Listing.MapPropertyInteractive&amp;ListingID=19229227&amp;resize=true&amp;windowWidth=800&amp;windowHeight=600","Map")</f>
        <v>Map</v>
      </c>
      <c r="O442" s="2" t="str">
        <f>HYPERLINK("http://www.windermere.com/index.cfm?fuseaction=viewGallery.Home&amp;customTourID=203992&amp;wvt=0","More")</f>
        <v>More</v>
      </c>
      <c r="P442" t="s">
        <v>44</v>
      </c>
      <c r="AI442" t="s">
        <v>66</v>
      </c>
      <c r="AJ442">
        <v>98117</v>
      </c>
      <c r="AS442" t="s">
        <v>1240</v>
      </c>
      <c r="AT442">
        <v>19229227</v>
      </c>
      <c r="AU442" s="10">
        <v>39495</v>
      </c>
      <c r="BB442" t="s">
        <v>902</v>
      </c>
      <c r="BC442" s="6">
        <v>39466</v>
      </c>
      <c r="BG442">
        <v>32</v>
      </c>
      <c r="BH442" s="15">
        <f t="shared" ca="1" si="6"/>
        <v>1143</v>
      </c>
      <c r="BI442" s="15"/>
      <c r="BJ442" s="15"/>
    </row>
    <row r="443" spans="1:62" hidden="1" x14ac:dyDescent="0.2">
      <c r="A443">
        <v>28026914</v>
      </c>
      <c r="B443" s="2" t="str">
        <f>HYPERLINK("http://www.windermere.com/index.cfm?fuseaction=Listing.ListingDetail&amp;ListingID=19387987","Active")</f>
        <v>Active</v>
      </c>
      <c r="D443" t="s">
        <v>42</v>
      </c>
      <c r="E443" t="s">
        <v>1283</v>
      </c>
      <c r="F443" s="9">
        <v>349950</v>
      </c>
      <c r="G443" t="s">
        <v>132</v>
      </c>
      <c r="H443" s="1">
        <v>870</v>
      </c>
      <c r="I443">
        <v>5460</v>
      </c>
      <c r="J443">
        <v>2</v>
      </c>
      <c r="K443">
        <v>1</v>
      </c>
      <c r="M443" s="2" t="str">
        <f>HYPERLINK("http://www.windermere.com/index.cfm?fuseaction=Listing.MapPropertyInteractive&amp;ListingID=19387987&amp;resize=true&amp;windowWidth=800&amp;windowHeight=600","Map")</f>
        <v>Map</v>
      </c>
      <c r="O443" s="2" t="str">
        <f>HYPERLINK("http://www.windermere.com/index.cfm?fuseaction=viewGallery.Home&amp;customTourID=207470&amp;wvt=0","More")</f>
        <v>More</v>
      </c>
      <c r="AI443" t="s">
        <v>66</v>
      </c>
      <c r="AJ443">
        <v>98133</v>
      </c>
      <c r="AS443" t="s">
        <v>1284</v>
      </c>
      <c r="AT443">
        <v>19387987</v>
      </c>
      <c r="AU443" s="6">
        <v>39497</v>
      </c>
      <c r="BB443" t="s">
        <v>902</v>
      </c>
      <c r="BC443" s="6">
        <v>39496</v>
      </c>
      <c r="BD443">
        <v>2</v>
      </c>
      <c r="BE443" t="s">
        <v>1314</v>
      </c>
      <c r="BG443">
        <v>2</v>
      </c>
    </row>
    <row r="444" spans="1:62" hidden="1" x14ac:dyDescent="0.2">
      <c r="A444">
        <v>28029437</v>
      </c>
      <c r="B444" s="2" t="str">
        <f>HYPERLINK("http://www.windermere.com/index.cfm?fuseaction=Listing.ListingDetail&amp;ListingID=19389689","Active")</f>
        <v>Active</v>
      </c>
      <c r="D444" t="s">
        <v>60</v>
      </c>
      <c r="E444" t="s">
        <v>1285</v>
      </c>
      <c r="F444" s="9">
        <v>350000</v>
      </c>
      <c r="G444" t="s">
        <v>137</v>
      </c>
      <c r="H444">
        <v>840</v>
      </c>
      <c r="I444">
        <v>5904</v>
      </c>
      <c r="J444">
        <v>2</v>
      </c>
      <c r="K444">
        <v>1</v>
      </c>
      <c r="M444" s="2" t="str">
        <f>HYPERLINK("http://www.windermere.com/index.cfm?fuseaction=Listing.MapPropertyInteractive&amp;ListingID=19389689&amp;resize=true&amp;windowWidth=800&amp;windowHeight=600","Map")</f>
        <v>Map</v>
      </c>
      <c r="AI444" t="s">
        <v>66</v>
      </c>
      <c r="AJ444">
        <v>98103</v>
      </c>
      <c r="AS444" t="s">
        <v>1286</v>
      </c>
      <c r="AT444">
        <v>19389689</v>
      </c>
      <c r="AU444" s="6">
        <v>39497</v>
      </c>
      <c r="BB444" t="s">
        <v>902</v>
      </c>
      <c r="BC444" s="6">
        <v>39497</v>
      </c>
      <c r="BD444">
        <v>2</v>
      </c>
      <c r="BE444" t="s">
        <v>1313</v>
      </c>
      <c r="BG444">
        <v>1</v>
      </c>
    </row>
    <row r="445" spans="1:62" hidden="1" x14ac:dyDescent="0.2">
      <c r="A445">
        <v>28029674</v>
      </c>
      <c r="B445" s="2" t="str">
        <f>HYPERLINK("http://www.windermere.com/index.cfm?fuseaction=Listing.ListingDetail&amp;ListingID=19390786","Active")</f>
        <v>Active</v>
      </c>
      <c r="D445" t="s">
        <v>908</v>
      </c>
      <c r="E445" t="s">
        <v>1287</v>
      </c>
      <c r="F445" s="9">
        <v>376900</v>
      </c>
      <c r="G445" t="s">
        <v>239</v>
      </c>
      <c r="H445" s="1">
        <v>1845</v>
      </c>
      <c r="J445">
        <v>3</v>
      </c>
      <c r="K445">
        <v>3.5</v>
      </c>
      <c r="M445" s="2" t="str">
        <f>HYPERLINK("http://www.windermere.com/index.cfm?fuseaction=Listing.MapPropertyInteractive&amp;ListingID=19390786&amp;resize=true&amp;windowWidth=800&amp;windowHeight=600","Map")</f>
        <v>Map</v>
      </c>
      <c r="O445" s="2" t="str">
        <f>HYPERLINK("http://www.windermere.com/index.cfm?fuseaction=Listing.MultiImageViewer&amp;ListingID=19390786&amp;ln=28029674&amp;pub_mls=1","More")</f>
        <v>More</v>
      </c>
      <c r="AI445" t="s">
        <v>66</v>
      </c>
      <c r="AJ445">
        <v>98125</v>
      </c>
      <c r="AS445" t="s">
        <v>1288</v>
      </c>
      <c r="AT445">
        <v>19390786</v>
      </c>
      <c r="AU445" s="6">
        <v>39497</v>
      </c>
      <c r="BB445" t="s">
        <v>902</v>
      </c>
      <c r="BC445" s="6">
        <v>39497</v>
      </c>
      <c r="BD445">
        <v>3</v>
      </c>
      <c r="BE445" t="s">
        <v>1258</v>
      </c>
      <c r="BG445">
        <v>1</v>
      </c>
    </row>
    <row r="446" spans="1:62" hidden="1" x14ac:dyDescent="0.2">
      <c r="A446">
        <v>28029629</v>
      </c>
      <c r="B446" s="2" t="str">
        <f>HYPERLINK("http://www.windermere.com/index.cfm?fuseaction=Listing.ListingDetail&amp;ListingID=19390529","Active")</f>
        <v>Active</v>
      </c>
      <c r="D446" t="s">
        <v>908</v>
      </c>
      <c r="E446" t="s">
        <v>1289</v>
      </c>
      <c r="F446" s="9">
        <v>376900</v>
      </c>
      <c r="G446" t="s">
        <v>147</v>
      </c>
      <c r="H446" s="1">
        <v>1680</v>
      </c>
      <c r="J446">
        <v>3</v>
      </c>
      <c r="K446">
        <v>3.5</v>
      </c>
      <c r="M446" s="2" t="str">
        <f>HYPERLINK("http://www.windermere.com/index.cfm?fuseaction=Listing.MapPropertyInteractive&amp;ListingID=19390529&amp;resize=true&amp;windowWidth=800&amp;windowHeight=600","Map")</f>
        <v>Map</v>
      </c>
      <c r="O446" s="2" t="str">
        <f>HYPERLINK("http://www.windermere.com/index.cfm?fuseaction=Listing.MultiImageViewer&amp;ListingID=19390529&amp;ln=28029629&amp;pub_mls=1","More")</f>
        <v>More</v>
      </c>
      <c r="AI446" t="s">
        <v>66</v>
      </c>
      <c r="AJ446">
        <v>98125</v>
      </c>
      <c r="AS446" t="s">
        <v>1290</v>
      </c>
      <c r="AT446">
        <v>19390529</v>
      </c>
      <c r="AU446" s="6">
        <v>39497</v>
      </c>
      <c r="BB446" t="s">
        <v>902</v>
      </c>
      <c r="BC446" s="6">
        <v>39497</v>
      </c>
      <c r="BD446">
        <v>3</v>
      </c>
      <c r="BE446" t="s">
        <v>1258</v>
      </c>
      <c r="BG446">
        <v>1</v>
      </c>
    </row>
    <row r="447" spans="1:62" hidden="1" x14ac:dyDescent="0.2">
      <c r="A447">
        <v>28029687</v>
      </c>
      <c r="B447" s="2" t="str">
        <f>HYPERLINK("http://www.windermere.com/index.cfm?fuseaction=Listing.ListingDetail&amp;ListingID=19390872","Active")</f>
        <v>Active</v>
      </c>
      <c r="D447" t="s">
        <v>908</v>
      </c>
      <c r="E447" t="s">
        <v>1291</v>
      </c>
      <c r="F447" s="9">
        <v>383900</v>
      </c>
      <c r="G447" t="s">
        <v>239</v>
      </c>
      <c r="H447" s="1">
        <v>1845</v>
      </c>
      <c r="J447">
        <v>3</v>
      </c>
      <c r="K447">
        <v>3.5</v>
      </c>
      <c r="M447" s="2" t="str">
        <f>HYPERLINK("http://www.windermere.com/index.cfm?fuseaction=Listing.MapPropertyInteractive&amp;ListingID=19390872&amp;resize=true&amp;windowWidth=800&amp;windowHeight=600","Map")</f>
        <v>Map</v>
      </c>
      <c r="O447" s="2" t="str">
        <f>HYPERLINK("http://www.windermere.com/index.cfm?fuseaction=Listing.MultiImageViewer&amp;ListingID=19390872&amp;ln=28029687&amp;pub_mls=1","More")</f>
        <v>More</v>
      </c>
      <c r="AI447" t="s">
        <v>66</v>
      </c>
      <c r="AJ447">
        <v>98125</v>
      </c>
      <c r="AS447" t="s">
        <v>1292</v>
      </c>
      <c r="AT447">
        <v>19390872</v>
      </c>
      <c r="AU447" s="6">
        <v>39497</v>
      </c>
      <c r="BB447" t="s">
        <v>902</v>
      </c>
      <c r="BC447" s="6">
        <v>39497</v>
      </c>
      <c r="BD447">
        <v>3</v>
      </c>
      <c r="BE447" t="s">
        <v>1258</v>
      </c>
      <c r="BG447">
        <v>1</v>
      </c>
    </row>
    <row r="448" spans="1:62" hidden="1" x14ac:dyDescent="0.2">
      <c r="A448">
        <v>28029300</v>
      </c>
      <c r="B448" s="13" t="str">
        <f>HYPERLINK("http://www.windermere.com/index.cfm?fuseaction=Listing.ListingDetail&amp;ListingID=19389098","Subject To Inspection")</f>
        <v>Subject To Inspection</v>
      </c>
      <c r="D448" t="s">
        <v>213</v>
      </c>
      <c r="E448" t="s">
        <v>1293</v>
      </c>
      <c r="F448" s="9">
        <v>389000</v>
      </c>
      <c r="G448" t="s">
        <v>135</v>
      </c>
      <c r="H448" s="1">
        <v>1100</v>
      </c>
      <c r="I448">
        <v>8657</v>
      </c>
      <c r="J448">
        <v>2</v>
      </c>
      <c r="K448">
        <v>1</v>
      </c>
      <c r="M448" s="2" t="str">
        <f>HYPERLINK("http://www.windermere.com/index.cfm?fuseaction=Listing.MapPropertyInteractive&amp;ListingID=19389098&amp;resize=true&amp;windowWidth=800&amp;windowHeight=600","Map")</f>
        <v>Map</v>
      </c>
      <c r="O448" s="2" t="str">
        <f>HYPERLINK("http://www.windermere.com/index.cfm?fuseaction=Listing.MultiImageViewer&amp;ListingID=19389098&amp;ln=28029300&amp;pub_mls=1","More")</f>
        <v>More</v>
      </c>
      <c r="AI448" t="s">
        <v>66</v>
      </c>
      <c r="AJ448">
        <v>98125</v>
      </c>
      <c r="AS448" t="s">
        <v>1294</v>
      </c>
      <c r="AT448">
        <v>19389098</v>
      </c>
      <c r="AU448" s="6">
        <v>39497</v>
      </c>
      <c r="BB448" t="s">
        <v>902</v>
      </c>
      <c r="BC448" s="6">
        <v>39497</v>
      </c>
      <c r="BD448">
        <v>4</v>
      </c>
      <c r="BE448" t="s">
        <v>1315</v>
      </c>
      <c r="BF448" t="s">
        <v>1276</v>
      </c>
      <c r="BG448">
        <v>1</v>
      </c>
    </row>
    <row r="449" spans="1:59" hidden="1" x14ac:dyDescent="0.2">
      <c r="A449">
        <v>28029872</v>
      </c>
      <c r="B449" s="13" t="str">
        <f>HYPERLINK("http://www.windermere.com/index.cfm?fuseaction=Listing.ListingDetail&amp;ListingID=19391774","Subject To Inspection")</f>
        <v>Subject To Inspection</v>
      </c>
      <c r="D449" t="s">
        <v>908</v>
      </c>
      <c r="E449" t="s">
        <v>1269</v>
      </c>
      <c r="F449" s="9">
        <v>398000</v>
      </c>
      <c r="G449" t="s">
        <v>607</v>
      </c>
      <c r="H449" s="1">
        <v>1290</v>
      </c>
      <c r="I449">
        <v>6397</v>
      </c>
      <c r="J449">
        <v>3</v>
      </c>
      <c r="K449">
        <v>1.5</v>
      </c>
      <c r="M449" s="2" t="str">
        <f>HYPERLINK("http://www.windermere.com/index.cfm?fuseaction=Listing.MapPropertyInteractive&amp;ListingID=19391774&amp;resize=true&amp;windowWidth=800&amp;windowHeight=600","Map")</f>
        <v>Map</v>
      </c>
      <c r="O449" s="2" t="str">
        <f>HYPERLINK("http://www.windermere.com/index.cfm?fuseaction=Listing.MultiImageViewer&amp;ListingID=19391774&amp;ln=28029872&amp;pub_mls=1","More")</f>
        <v>More</v>
      </c>
      <c r="AI449" t="s">
        <v>66</v>
      </c>
      <c r="AJ449">
        <v>98103</v>
      </c>
      <c r="AS449" t="s">
        <v>1295</v>
      </c>
      <c r="AT449">
        <v>19391774</v>
      </c>
      <c r="AU449" s="6">
        <v>39497</v>
      </c>
      <c r="BB449" t="s">
        <v>902</v>
      </c>
      <c r="BC449" s="6">
        <v>39497</v>
      </c>
      <c r="BD449">
        <v>4</v>
      </c>
      <c r="BE449" t="s">
        <v>1316</v>
      </c>
      <c r="BF449" t="s">
        <v>1276</v>
      </c>
      <c r="BG449">
        <v>1</v>
      </c>
    </row>
    <row r="450" spans="1:59" hidden="1" x14ac:dyDescent="0.2">
      <c r="A450">
        <v>28029600</v>
      </c>
      <c r="B450" s="13" t="str">
        <f>HYPERLINK("http://www.windermere.com/index.cfm?fuseaction=Listing.ListingDetail&amp;ListingID=19390333","Subject To Inspection")</f>
        <v>Subject To Inspection</v>
      </c>
      <c r="D450" t="s">
        <v>956</v>
      </c>
      <c r="E450" t="s">
        <v>1297</v>
      </c>
      <c r="F450" s="9">
        <v>429950</v>
      </c>
      <c r="G450" t="s">
        <v>186</v>
      </c>
      <c r="H450" s="1">
        <v>1580</v>
      </c>
      <c r="I450">
        <v>6891</v>
      </c>
      <c r="J450">
        <v>3</v>
      </c>
      <c r="K450">
        <v>1.75</v>
      </c>
      <c r="M450" s="2" t="str">
        <f>HYPERLINK("http://www.windermere.com/index.cfm?fuseaction=Listing.MapPropertyInteractive&amp;ListingID=19390333&amp;resize=true&amp;windowWidth=800&amp;windowHeight=600","Map")</f>
        <v>Map</v>
      </c>
      <c r="O450" s="2" t="str">
        <f>HYPERLINK("http://www.windermere.com/index.cfm?fuseaction=Listing.MultiImageViewer&amp;ListingID=19390333&amp;ln=28029600&amp;pub_mls=1","More")</f>
        <v>More</v>
      </c>
      <c r="AI450" t="s">
        <v>66</v>
      </c>
      <c r="AJ450">
        <v>98125</v>
      </c>
      <c r="AS450" t="s">
        <v>1298</v>
      </c>
      <c r="AT450">
        <v>19390333</v>
      </c>
      <c r="AU450" s="6">
        <v>39497</v>
      </c>
      <c r="BB450" t="s">
        <v>902</v>
      </c>
      <c r="BC450" s="6">
        <v>39497</v>
      </c>
      <c r="BD450">
        <v>4</v>
      </c>
      <c r="BE450" t="s">
        <v>1317</v>
      </c>
      <c r="BG450">
        <v>1</v>
      </c>
    </row>
    <row r="451" spans="1:59" hidden="1" x14ac:dyDescent="0.2">
      <c r="A451">
        <v>28008686</v>
      </c>
      <c r="B451" s="2" t="str">
        <f>HYPERLINK("http://www.windermere.com/index.cfm?fuseaction=Listing.ListingDetail&amp;ListingID=19223951","Active")</f>
        <v>Active</v>
      </c>
      <c r="D451" t="s">
        <v>204</v>
      </c>
      <c r="E451" t="s">
        <v>1299</v>
      </c>
      <c r="F451" s="9">
        <v>495950</v>
      </c>
      <c r="G451" t="s">
        <v>1300</v>
      </c>
      <c r="H451" s="1">
        <v>1890</v>
      </c>
      <c r="I451">
        <v>7200</v>
      </c>
      <c r="J451">
        <v>3</v>
      </c>
      <c r="K451">
        <v>2.5</v>
      </c>
      <c r="M451" s="2" t="str">
        <f>HYPERLINK("http://www.windermere.com/index.cfm?fuseaction=Listing.MapPropertyInteractive&amp;ListingID=19223951&amp;resize=true&amp;windowWidth=800&amp;windowHeight=600","Map")</f>
        <v>Map</v>
      </c>
      <c r="O451" s="2" t="str">
        <f>HYPERLINK("http://www.windermere.com/index.cfm?fuseaction=Listing.MultiImageViewer&amp;ListingID=19223951&amp;ln=28008686&amp;pub_mls=1","More")</f>
        <v>More</v>
      </c>
      <c r="AI451" t="s">
        <v>66</v>
      </c>
      <c r="AJ451">
        <v>98125</v>
      </c>
      <c r="AS451" t="s">
        <v>1301</v>
      </c>
      <c r="AT451">
        <v>19223951</v>
      </c>
      <c r="AU451" s="6">
        <v>39497</v>
      </c>
      <c r="BB451" t="s">
        <v>902</v>
      </c>
      <c r="BC451" s="6">
        <v>39497</v>
      </c>
      <c r="BD451">
        <v>1</v>
      </c>
      <c r="BE451" t="s">
        <v>1318</v>
      </c>
      <c r="BG451">
        <v>1</v>
      </c>
    </row>
    <row r="452" spans="1:59" hidden="1" x14ac:dyDescent="0.2">
      <c r="A452">
        <v>28029324</v>
      </c>
      <c r="B452" s="2" t="str">
        <f>HYPERLINK("http://www.windermere.com/index.cfm?fuseaction=Listing.ListingDetail&amp;ListingID=19390093","Active")</f>
        <v>Active</v>
      </c>
      <c r="D452" t="s">
        <v>63</v>
      </c>
      <c r="E452" t="s">
        <v>1303</v>
      </c>
      <c r="F452" s="9">
        <v>508000</v>
      </c>
      <c r="G452" t="s">
        <v>159</v>
      </c>
      <c r="H452" s="1">
        <v>1760</v>
      </c>
      <c r="I452">
        <v>4013</v>
      </c>
      <c r="J452">
        <v>3</v>
      </c>
      <c r="K452">
        <v>1.75</v>
      </c>
      <c r="M452" s="2" t="str">
        <f>HYPERLINK("http://www.windermere.com/index.cfm?fuseaction=Listing.MapPropertyInteractive&amp;ListingID=19390093&amp;resize=true&amp;windowWidth=800&amp;windowHeight=600","Map")</f>
        <v>Map</v>
      </c>
      <c r="O452" s="2" t="str">
        <f>HYPERLINK("http://www.windermere.com/index.cfm?fuseaction=Listing.MultiImageViewer&amp;ListingID=19390093&amp;ln=28029324&amp;pub_mls=1","More")</f>
        <v>More</v>
      </c>
      <c r="P452" t="s">
        <v>44</v>
      </c>
      <c r="AI452" t="s">
        <v>66</v>
      </c>
      <c r="AJ452">
        <v>98117</v>
      </c>
      <c r="AS452" t="s">
        <v>1304</v>
      </c>
      <c r="AT452">
        <v>19390093</v>
      </c>
      <c r="AU452" s="6">
        <v>39497</v>
      </c>
      <c r="BB452" t="s">
        <v>902</v>
      </c>
      <c r="BC452" s="6">
        <v>39497</v>
      </c>
      <c r="BD452">
        <v>2</v>
      </c>
      <c r="BE452" t="s">
        <v>1319</v>
      </c>
      <c r="BG452">
        <v>1</v>
      </c>
    </row>
    <row r="453" spans="1:59" hidden="1" x14ac:dyDescent="0.2">
      <c r="A453">
        <v>28030154</v>
      </c>
      <c r="B453" s="2" t="str">
        <f>HYPERLINK("http://www.windermere.com/index.cfm?fuseaction=Listing.ListingDetail&amp;ListingID=19394909","Active")</f>
        <v>Active</v>
      </c>
      <c r="D453" t="s">
        <v>55</v>
      </c>
      <c r="E453" t="s">
        <v>1320</v>
      </c>
      <c r="F453" s="9">
        <v>319000</v>
      </c>
      <c r="G453" t="s">
        <v>126</v>
      </c>
      <c r="H453">
        <v>970</v>
      </c>
      <c r="I453">
        <v>6350</v>
      </c>
      <c r="J453">
        <v>2</v>
      </c>
      <c r="K453">
        <v>1</v>
      </c>
      <c r="M453" s="2" t="str">
        <f>HYPERLINK("http://www.windermere.com/index.cfm?fuseaction=Listing.MapPropertyInteractive&amp;ListingID=19394909&amp;resize=true&amp;windowWidth=800&amp;windowHeight=600","Map")</f>
        <v>Map</v>
      </c>
      <c r="O453" s="2" t="str">
        <f>HYPERLINK("http://www.windermere.com/index.cfm?fuseaction=Listing.MultiImageViewer&amp;ListingID=19394909&amp;ln=28030154&amp;pub_mls=1","More")</f>
        <v>More</v>
      </c>
      <c r="AI453" t="s">
        <v>66</v>
      </c>
      <c r="AJ453">
        <v>98117</v>
      </c>
      <c r="AS453" t="s">
        <v>1321</v>
      </c>
      <c r="AT453">
        <v>19394909</v>
      </c>
      <c r="AU453" s="6">
        <v>39498</v>
      </c>
      <c r="BB453" t="s">
        <v>902</v>
      </c>
      <c r="BC453" s="6">
        <v>39497</v>
      </c>
      <c r="BD453">
        <v>-4</v>
      </c>
      <c r="BE453" t="s">
        <v>1340</v>
      </c>
      <c r="BG453">
        <v>1</v>
      </c>
    </row>
    <row r="454" spans="1:59" hidden="1" x14ac:dyDescent="0.2">
      <c r="A454">
        <v>28030632</v>
      </c>
      <c r="B454" s="2" t="str">
        <f>HYPERLINK("http://www.windermere.com/index.cfm?fuseaction=Listing.ListingDetail&amp;ListingID=19398213","Active")</f>
        <v>Active</v>
      </c>
      <c r="D454" t="s">
        <v>55</v>
      </c>
      <c r="E454" t="s">
        <v>1322</v>
      </c>
      <c r="F454" s="9">
        <v>349000</v>
      </c>
      <c r="G454" t="s">
        <v>239</v>
      </c>
      <c r="H454" s="1">
        <v>1409</v>
      </c>
      <c r="J454">
        <v>3</v>
      </c>
      <c r="K454" s="17">
        <v>3.25</v>
      </c>
      <c r="M454" s="2" t="str">
        <f>HYPERLINK("http://www.windermere.com/index.cfm?fuseaction=Listing.MapPropertyInteractive&amp;ListingID=19398213&amp;resize=true&amp;windowWidth=800&amp;windowHeight=600","Map")</f>
        <v>Map</v>
      </c>
      <c r="O454" s="2" t="str">
        <f>HYPERLINK("http://www.windermere.com/index.cfm?fuseaction=Listing.MultiImageViewer&amp;ListingID=19398213&amp;ln=28030632&amp;pub_mls=1","More")</f>
        <v>More</v>
      </c>
      <c r="AI454" t="s">
        <v>66</v>
      </c>
      <c r="AJ454">
        <v>98133</v>
      </c>
      <c r="AS454" t="s">
        <v>1323</v>
      </c>
      <c r="AT454">
        <v>19398213</v>
      </c>
      <c r="AU454" s="6">
        <v>39498</v>
      </c>
      <c r="BB454" t="s">
        <v>902</v>
      </c>
      <c r="BC454" s="6">
        <v>39497</v>
      </c>
      <c r="BD454">
        <v>-3</v>
      </c>
      <c r="BE454" t="s">
        <v>1258</v>
      </c>
      <c r="BG454">
        <v>1</v>
      </c>
    </row>
    <row r="455" spans="1:59" hidden="1" x14ac:dyDescent="0.2">
      <c r="A455">
        <v>28030545</v>
      </c>
      <c r="B455" s="13" t="str">
        <f>HYPERLINK("http://www.windermere.com/index.cfm?fuseaction=Listing.ListingDetail&amp;ListingID=19397485","Subject To Inspection")</f>
        <v>Subject To Inspection</v>
      </c>
      <c r="D455" t="s">
        <v>66</v>
      </c>
      <c r="E455" t="s">
        <v>1324</v>
      </c>
      <c r="F455" s="9">
        <v>424900</v>
      </c>
      <c r="G455" t="s">
        <v>738</v>
      </c>
      <c r="H455" s="1">
        <v>2010</v>
      </c>
      <c r="I455">
        <v>11245</v>
      </c>
      <c r="J455">
        <v>4</v>
      </c>
      <c r="K455">
        <v>2.5</v>
      </c>
      <c r="M455" s="2" t="str">
        <f>HYPERLINK("http://www.windermere.com/index.cfm?fuseaction=Listing.MapPropertyInteractive&amp;ListingID=19397485&amp;resize=true&amp;windowWidth=800&amp;windowHeight=600","Map")</f>
        <v>Map</v>
      </c>
      <c r="O455" s="2" t="str">
        <f>HYPERLINK("http://www.windermere.com/index.cfm?fuseaction=Listing.MultiImageViewer&amp;ListingID=19397485&amp;ln=28030545&amp;pub_mls=1","More")</f>
        <v>More</v>
      </c>
      <c r="AI455" t="s">
        <v>386</v>
      </c>
      <c r="AJ455">
        <v>98155</v>
      </c>
      <c r="AS455" t="s">
        <v>1325</v>
      </c>
      <c r="AT455">
        <v>19397485</v>
      </c>
      <c r="AU455" s="6">
        <v>39498</v>
      </c>
      <c r="BB455" t="s">
        <v>902</v>
      </c>
      <c r="BC455" s="6">
        <v>39497</v>
      </c>
      <c r="BD455">
        <v>1</v>
      </c>
      <c r="BE455" t="s">
        <v>1341</v>
      </c>
      <c r="BG455">
        <v>1</v>
      </c>
    </row>
    <row r="456" spans="1:59" hidden="1" x14ac:dyDescent="0.2">
      <c r="A456">
        <v>28029921</v>
      </c>
      <c r="B456" s="2" t="str">
        <f>HYPERLINK("http://www.windermere.com/index.cfm?fuseaction=Listing.ListingDetail&amp;ListingID=19393632","Active")</f>
        <v>Active</v>
      </c>
      <c r="D456" t="s">
        <v>60</v>
      </c>
      <c r="E456" t="s">
        <v>1326</v>
      </c>
      <c r="F456" s="9">
        <v>449950</v>
      </c>
      <c r="G456" t="s">
        <v>154</v>
      </c>
      <c r="H456" s="1">
        <v>2280</v>
      </c>
      <c r="I456">
        <v>5100</v>
      </c>
      <c r="J456">
        <v>3</v>
      </c>
      <c r="K456">
        <v>1</v>
      </c>
      <c r="M456" s="2" t="str">
        <f>HYPERLINK("http://www.windermere.com/index.cfm?fuseaction=Listing.MapPropertyInteractive&amp;ListingID=19393632&amp;resize=true&amp;windowWidth=800&amp;windowHeight=600","Map")</f>
        <v>Map</v>
      </c>
      <c r="O456" s="2" t="str">
        <f>HYPERLINK("http://www.windermere.com/index.cfm?fuseaction=Listing.MultiImageViewer&amp;ListingID=19393632&amp;ln=28029921&amp;pub_mls=1","More")</f>
        <v>More</v>
      </c>
      <c r="AI456" t="s">
        <v>66</v>
      </c>
      <c r="AJ456">
        <v>98103</v>
      </c>
      <c r="AS456" t="s">
        <v>1327</v>
      </c>
      <c r="AT456">
        <v>19393632</v>
      </c>
      <c r="AU456" s="6">
        <v>39498</v>
      </c>
      <c r="BB456" t="s">
        <v>902</v>
      </c>
      <c r="BC456" s="6">
        <v>39497</v>
      </c>
      <c r="BD456">
        <v>2</v>
      </c>
      <c r="BE456" t="s">
        <v>1342</v>
      </c>
      <c r="BG456">
        <v>1</v>
      </c>
    </row>
    <row r="457" spans="1:59" hidden="1" x14ac:dyDescent="0.2">
      <c r="A457">
        <v>28030039</v>
      </c>
      <c r="B457" s="2" t="str">
        <f>HYPERLINK("http://www.windermere.com/index.cfm?fuseaction=Listing.ListingDetail&amp;ListingID=19394453","Active")</f>
        <v>Active</v>
      </c>
      <c r="D457" t="s">
        <v>63</v>
      </c>
      <c r="E457" t="s">
        <v>1328</v>
      </c>
      <c r="F457" s="9">
        <v>450000</v>
      </c>
      <c r="G457" t="s">
        <v>227</v>
      </c>
      <c r="H457" s="1">
        <v>1050</v>
      </c>
      <c r="I457">
        <v>2550</v>
      </c>
      <c r="J457">
        <v>2</v>
      </c>
      <c r="K457">
        <v>1</v>
      </c>
      <c r="M457" s="2" t="str">
        <f>HYPERLINK("http://www.windermere.com/index.cfm?fuseaction=Listing.MapPropertyInteractive&amp;ListingID=19394453&amp;resize=true&amp;windowWidth=800&amp;windowHeight=600","Map")</f>
        <v>Map</v>
      </c>
      <c r="O457" s="2" t="str">
        <f>HYPERLINK("http://www.windermere.com/index.cfm?fuseaction=Listing.MultiImageViewer&amp;ListingID=19394453&amp;ln=28030039&amp;pub_mls=1","More")</f>
        <v>More</v>
      </c>
      <c r="AI457" t="s">
        <v>66</v>
      </c>
      <c r="AJ457">
        <v>98117</v>
      </c>
      <c r="AS457" t="s">
        <v>1329</v>
      </c>
      <c r="AT457">
        <v>19394453</v>
      </c>
      <c r="AU457" s="6">
        <v>39498</v>
      </c>
      <c r="BB457" t="s">
        <v>902</v>
      </c>
      <c r="BC457" s="6">
        <v>39497</v>
      </c>
      <c r="BD457">
        <v>-3</v>
      </c>
      <c r="BE457" t="s">
        <v>1343</v>
      </c>
      <c r="BG457">
        <v>1</v>
      </c>
    </row>
    <row r="458" spans="1:59" hidden="1" x14ac:dyDescent="0.2">
      <c r="A458">
        <v>28029447</v>
      </c>
      <c r="B458" s="2" t="str">
        <f>HYPERLINK("http://www.windermere.com/index.cfm?fuseaction=Listing.ListingDetail&amp;ListingID=19395167","Active")</f>
        <v>Active</v>
      </c>
      <c r="D458" t="s">
        <v>202</v>
      </c>
      <c r="E458" t="s">
        <v>1330</v>
      </c>
      <c r="F458" s="9">
        <v>499000</v>
      </c>
      <c r="G458" t="s">
        <v>168</v>
      </c>
      <c r="H458" s="1">
        <v>1500</v>
      </c>
      <c r="I458">
        <v>6030</v>
      </c>
      <c r="J458">
        <v>3</v>
      </c>
      <c r="K458">
        <v>1.75</v>
      </c>
      <c r="M458" s="2" t="str">
        <f>HYPERLINK("http://www.windermere.com/index.cfm?fuseaction=Listing.MapPropertyInteractive&amp;ListingID=19395167&amp;resize=true&amp;windowWidth=800&amp;windowHeight=600","Map")</f>
        <v>Map</v>
      </c>
      <c r="O458" s="2" t="str">
        <f>HYPERLINK("http://www.windermere.com/index.cfm?fuseaction=Listing.MultiImageViewer&amp;ListingID=19395167&amp;ln=28029447&amp;pub_mls=1","More")</f>
        <v>More</v>
      </c>
      <c r="P458" t="s">
        <v>44</v>
      </c>
      <c r="AI458" t="s">
        <v>66</v>
      </c>
      <c r="AJ458">
        <v>98125</v>
      </c>
      <c r="AS458" t="s">
        <v>1331</v>
      </c>
      <c r="AT458">
        <v>19395167</v>
      </c>
      <c r="AU458" s="6">
        <v>39498</v>
      </c>
      <c r="BB458" t="s">
        <v>902</v>
      </c>
      <c r="BC458" s="6">
        <v>39497</v>
      </c>
      <c r="BD458">
        <v>4</v>
      </c>
      <c r="BF458" t="s">
        <v>1276</v>
      </c>
      <c r="BG458">
        <v>1</v>
      </c>
    </row>
    <row r="459" spans="1:59" hidden="1" x14ac:dyDescent="0.2">
      <c r="A459">
        <v>28030832</v>
      </c>
      <c r="B459" s="13" t="str">
        <f>HYPERLINK("http://www.windermere.com/index.cfm?fuseaction=Listing.ListingDetail&amp;ListingID=19400611","Subject To Inspection")</f>
        <v>Subject To Inspection</v>
      </c>
      <c r="D459" t="s">
        <v>1010</v>
      </c>
      <c r="E459" t="s">
        <v>1346</v>
      </c>
      <c r="F459" s="9">
        <v>362000</v>
      </c>
      <c r="G459" t="s">
        <v>142</v>
      </c>
      <c r="H459" s="1">
        <v>2130</v>
      </c>
      <c r="I459">
        <v>6534</v>
      </c>
      <c r="J459">
        <v>4</v>
      </c>
      <c r="K459">
        <v>2</v>
      </c>
      <c r="M459" s="2" t="str">
        <f>HYPERLINK("http://www.windermere.com/index.cfm?fuseaction=Listing.MapPropertyInteractive&amp;ListingID=19400611&amp;resize=true&amp;windowWidth=800&amp;windowHeight=600","Map")</f>
        <v>Map</v>
      </c>
      <c r="O459" s="2" t="str">
        <f>HYPERLINK("http://www.windermere.com/index.cfm?fuseaction=Listing.MultiImageViewer&amp;ListingID=19400611&amp;ln=28030832&amp;pub_mls=1","More")</f>
        <v>More</v>
      </c>
      <c r="AI459" t="s">
        <v>66</v>
      </c>
      <c r="AJ459">
        <v>98117</v>
      </c>
      <c r="AS459" t="s">
        <v>1347</v>
      </c>
      <c r="AT459">
        <v>19400611</v>
      </c>
      <c r="AU459" s="6">
        <v>39499</v>
      </c>
      <c r="BB459" t="s">
        <v>902</v>
      </c>
      <c r="BC459" s="6">
        <v>39499</v>
      </c>
      <c r="BD459">
        <v>-4</v>
      </c>
      <c r="BE459" t="s">
        <v>1376</v>
      </c>
      <c r="BG459">
        <v>1</v>
      </c>
    </row>
    <row r="460" spans="1:59" hidden="1" x14ac:dyDescent="0.2">
      <c r="A460">
        <v>28030482</v>
      </c>
      <c r="B460" s="2" t="str">
        <f>HYPERLINK("http://www.windermere.com/index.cfm?fuseaction=Listing.ListingDetail&amp;ListingID=19402080","Active")</f>
        <v>Active</v>
      </c>
      <c r="D460" t="s">
        <v>70</v>
      </c>
      <c r="E460" t="s">
        <v>1348</v>
      </c>
      <c r="F460" s="9">
        <v>375000</v>
      </c>
      <c r="G460" t="s">
        <v>485</v>
      </c>
      <c r="H460" s="1">
        <v>1396</v>
      </c>
      <c r="I460">
        <v>3227</v>
      </c>
      <c r="J460">
        <v>3</v>
      </c>
      <c r="K460">
        <v>2</v>
      </c>
      <c r="M460" s="2" t="str">
        <f>HYPERLINK("http://www.windermere.com/index.cfm?fuseaction=Listing.MapPropertyInteractive&amp;ListingID=19402080&amp;resize=true&amp;windowWidth=800&amp;windowHeight=600","Map")</f>
        <v>Map</v>
      </c>
      <c r="O460" s="2" t="str">
        <f>HYPERLINK("http://www.windermere.com/index.cfm?fuseaction=Listing.MultiImageViewer&amp;ListingID=19402080&amp;ln=28030482&amp;pub_mls=1","More")</f>
        <v>More</v>
      </c>
      <c r="P460" t="s">
        <v>44</v>
      </c>
      <c r="AI460" t="s">
        <v>66</v>
      </c>
      <c r="AJ460">
        <v>98177</v>
      </c>
      <c r="AS460" t="s">
        <v>1349</v>
      </c>
      <c r="AT460">
        <v>19402080</v>
      </c>
      <c r="AU460" s="6">
        <v>39499</v>
      </c>
      <c r="BB460" t="s">
        <v>902</v>
      </c>
      <c r="BC460" s="6">
        <v>39499</v>
      </c>
      <c r="BD460">
        <v>-1</v>
      </c>
      <c r="BE460" t="s">
        <v>1377</v>
      </c>
      <c r="BG460">
        <v>1</v>
      </c>
    </row>
    <row r="461" spans="1:59" hidden="1" x14ac:dyDescent="0.2">
      <c r="A461">
        <v>28031236</v>
      </c>
      <c r="B461" s="2" t="str">
        <f>HYPERLINK("http://www.windermere.com/index.cfm?fuseaction=Listing.ListingDetail&amp;ListingID=19403464","Active")</f>
        <v>Active</v>
      </c>
      <c r="D461" t="s">
        <v>100</v>
      </c>
      <c r="E461" t="s">
        <v>1350</v>
      </c>
      <c r="F461" s="9">
        <v>415000</v>
      </c>
      <c r="G461" t="s">
        <v>414</v>
      </c>
      <c r="H461">
        <v>905</v>
      </c>
      <c r="J461">
        <v>2</v>
      </c>
      <c r="K461">
        <v>1.5</v>
      </c>
      <c r="M461" s="2" t="str">
        <f>HYPERLINK("http://www.windermere.com/index.cfm?fuseaction=Listing.MapPropertyInteractive&amp;ListingID=19403464&amp;resize=true&amp;windowWidth=800&amp;windowHeight=600","Map")</f>
        <v>Map</v>
      </c>
      <c r="O461" s="2" t="str">
        <f>HYPERLINK("http://www.windermere.com/index.cfm?fuseaction=Listing.MultiImageViewer&amp;ListingID=19403464&amp;ln=28031236&amp;pub_mls=1","More")</f>
        <v>More</v>
      </c>
      <c r="P461" t="s">
        <v>44</v>
      </c>
      <c r="AI461" t="s">
        <v>66</v>
      </c>
      <c r="AJ461">
        <v>98103</v>
      </c>
      <c r="AS461" t="s">
        <v>1351</v>
      </c>
      <c r="AT461">
        <v>19403464</v>
      </c>
      <c r="AU461" s="6">
        <v>39499</v>
      </c>
      <c r="BB461" t="s">
        <v>902</v>
      </c>
      <c r="BC461" s="6">
        <v>39499</v>
      </c>
      <c r="BD461">
        <v>-4</v>
      </c>
      <c r="BE461" t="s">
        <v>1378</v>
      </c>
      <c r="BG461">
        <v>1</v>
      </c>
    </row>
    <row r="462" spans="1:59" hidden="1" x14ac:dyDescent="0.2">
      <c r="A462">
        <v>28030415</v>
      </c>
      <c r="B462" s="2" t="str">
        <f>HYPERLINK("http://www.windermere.com/index.cfm?fuseaction=Listing.ListingDetail&amp;ListingID=19403826","Active")</f>
        <v>Active</v>
      </c>
      <c r="D462" t="s">
        <v>100</v>
      </c>
      <c r="E462" s="3" t="s">
        <v>1392</v>
      </c>
      <c r="F462" s="9">
        <v>419000</v>
      </c>
      <c r="G462" t="s">
        <v>173</v>
      </c>
      <c r="H462" s="1">
        <v>1300</v>
      </c>
      <c r="J462">
        <v>4</v>
      </c>
      <c r="K462">
        <v>2</v>
      </c>
      <c r="M462" s="2" t="str">
        <f>HYPERLINK("http://www.windermere.com/index.cfm?fuseaction=Listing.MapPropertyInteractive&amp;ListingID=19403826&amp;resize=true&amp;windowWidth=800&amp;windowHeight=600","Map")</f>
        <v>Map</v>
      </c>
      <c r="O462" s="2" t="str">
        <f>HYPERLINK("http://www.windermere.com/index.cfm?fuseaction=Listing.MultiImageViewer&amp;ListingID=19403826&amp;ln=28030415&amp;pub_mls=1","More")</f>
        <v>More</v>
      </c>
      <c r="AI462" t="s">
        <v>66</v>
      </c>
      <c r="AJ462">
        <v>98103</v>
      </c>
      <c r="AS462" t="s">
        <v>1352</v>
      </c>
      <c r="AT462">
        <v>19403826</v>
      </c>
      <c r="AU462" s="6">
        <v>39499</v>
      </c>
      <c r="BB462" t="s">
        <v>902</v>
      </c>
      <c r="BC462" s="6">
        <v>39499</v>
      </c>
      <c r="BD462">
        <v>-3</v>
      </c>
      <c r="BE462" t="s">
        <v>1379</v>
      </c>
      <c r="BG462">
        <v>1</v>
      </c>
    </row>
    <row r="463" spans="1:59" hidden="1" x14ac:dyDescent="0.2">
      <c r="A463">
        <v>28031354</v>
      </c>
      <c r="B463" s="13" t="str">
        <f>HYPERLINK("http://www.windermere.com/index.cfm?fuseaction=Listing.ListingDetail&amp;ListingID=19404486","Subject To Inspection")</f>
        <v>Subject To Inspection</v>
      </c>
      <c r="D463" t="s">
        <v>70</v>
      </c>
      <c r="E463" t="s">
        <v>1353</v>
      </c>
      <c r="F463" s="9">
        <v>429000</v>
      </c>
      <c r="G463" t="s">
        <v>1354</v>
      </c>
      <c r="H463" s="1">
        <v>1740</v>
      </c>
      <c r="I463">
        <v>7140</v>
      </c>
      <c r="J463">
        <v>3</v>
      </c>
      <c r="K463" s="17">
        <v>2.5</v>
      </c>
      <c r="M463" s="2" t="str">
        <f>HYPERLINK("http://www.windermere.com/index.cfm?fuseaction=Listing.MapPropertyInteractive&amp;ListingID=19404486&amp;resize=true&amp;windowWidth=800&amp;windowHeight=600","Map")</f>
        <v>Map</v>
      </c>
      <c r="AI463" t="s">
        <v>66</v>
      </c>
      <c r="AJ463">
        <v>98177</v>
      </c>
      <c r="AS463" t="s">
        <v>1355</v>
      </c>
      <c r="AT463">
        <v>19404486</v>
      </c>
      <c r="AU463" s="6">
        <v>39499</v>
      </c>
      <c r="BB463" t="s">
        <v>902</v>
      </c>
      <c r="BC463" s="6">
        <v>39499</v>
      </c>
      <c r="BD463">
        <v>1</v>
      </c>
      <c r="BE463" t="s">
        <v>1380</v>
      </c>
      <c r="BG463">
        <v>1</v>
      </c>
    </row>
    <row r="464" spans="1:59" hidden="1" x14ac:dyDescent="0.2">
      <c r="A464">
        <v>28030626</v>
      </c>
      <c r="B464" s="2" t="str">
        <f>HYPERLINK("http://www.windermere.com/index.cfm?fuseaction=Listing.ListingDetail&amp;ListingID=19399436","Active")</f>
        <v>Active</v>
      </c>
      <c r="D464" t="s">
        <v>100</v>
      </c>
      <c r="E464" t="s">
        <v>1356</v>
      </c>
      <c r="F464" s="9">
        <v>459000</v>
      </c>
      <c r="G464" t="s">
        <v>159</v>
      </c>
      <c r="H464" s="1">
        <v>1670</v>
      </c>
      <c r="I464">
        <v>3025</v>
      </c>
      <c r="J464">
        <v>2</v>
      </c>
      <c r="K464">
        <v>1.75</v>
      </c>
      <c r="M464" s="2" t="str">
        <f>HYPERLINK("http://www.windermere.com/index.cfm?fuseaction=Listing.MapPropertyInteractive&amp;ListingID=19399436&amp;resize=true&amp;windowWidth=800&amp;windowHeight=600","Map")</f>
        <v>Map</v>
      </c>
      <c r="P464" t="s">
        <v>44</v>
      </c>
      <c r="AI464" t="s">
        <v>66</v>
      </c>
      <c r="AJ464">
        <v>98107</v>
      </c>
      <c r="AS464" t="s">
        <v>1357</v>
      </c>
      <c r="AT464">
        <v>19399436</v>
      </c>
      <c r="AU464" s="6">
        <v>39499</v>
      </c>
      <c r="BB464" t="s">
        <v>902</v>
      </c>
      <c r="BC464" s="6">
        <v>39499</v>
      </c>
      <c r="BD464">
        <v>2</v>
      </c>
      <c r="BE464" t="s">
        <v>1381</v>
      </c>
      <c r="BG464">
        <v>1</v>
      </c>
    </row>
    <row r="465" spans="1:59" hidden="1" x14ac:dyDescent="0.2">
      <c r="A465">
        <v>28030509</v>
      </c>
      <c r="B465" s="2" t="str">
        <f>HYPERLINK("http://www.windermere.com/index.cfm?fuseaction=Listing.ListingDetail&amp;ListingID=19403814","Active")</f>
        <v>Active</v>
      </c>
      <c r="D465" t="s">
        <v>100</v>
      </c>
      <c r="E465" t="s">
        <v>1358</v>
      </c>
      <c r="F465" s="9">
        <v>484950</v>
      </c>
      <c r="G465" t="s">
        <v>664</v>
      </c>
      <c r="H465" s="1">
        <v>1630</v>
      </c>
      <c r="I465">
        <v>1350</v>
      </c>
      <c r="J465">
        <v>2</v>
      </c>
      <c r="K465">
        <v>2.25</v>
      </c>
      <c r="M465" s="2" t="str">
        <f>HYPERLINK("http://www.windermere.com/index.cfm?fuseaction=Listing.MapPropertyInteractive&amp;ListingID=19403814&amp;resize=true&amp;windowWidth=800&amp;windowHeight=600","Map")</f>
        <v>Map</v>
      </c>
      <c r="O465" s="2" t="str">
        <f>HYPERLINK("http://www.windermere.com/index.cfm?fuseaction=Listing.MultiImageViewer&amp;ListingID=19403814&amp;ln=28030509&amp;pub_mls=1","More")</f>
        <v>More</v>
      </c>
      <c r="P465" t="s">
        <v>44</v>
      </c>
      <c r="AI465" t="s">
        <v>66</v>
      </c>
      <c r="AJ465">
        <v>98103</v>
      </c>
      <c r="AS465" t="s">
        <v>1359</v>
      </c>
      <c r="AT465">
        <v>19403814</v>
      </c>
      <c r="AU465" s="6">
        <v>39499</v>
      </c>
      <c r="BB465" t="s">
        <v>902</v>
      </c>
      <c r="BC465" s="6">
        <v>39499</v>
      </c>
      <c r="BD465">
        <v>-4</v>
      </c>
      <c r="BE465" t="s">
        <v>1258</v>
      </c>
      <c r="BG465">
        <v>1</v>
      </c>
    </row>
    <row r="466" spans="1:59" hidden="1" x14ac:dyDescent="0.2">
      <c r="A466">
        <v>28008254</v>
      </c>
      <c r="B466" s="2" t="str">
        <f>HYPERLINK("http://www.windermere.com/index.cfm?fuseaction=Listing.ListingDetail&amp;ListingID=19224161","Active")</f>
        <v>Active</v>
      </c>
      <c r="D466" t="s">
        <v>63</v>
      </c>
      <c r="E466" t="s">
        <v>1360</v>
      </c>
      <c r="F466" s="9">
        <v>499950</v>
      </c>
      <c r="G466" t="s">
        <v>239</v>
      </c>
      <c r="H466" s="1">
        <v>1780</v>
      </c>
      <c r="J466">
        <v>3</v>
      </c>
      <c r="K466">
        <v>3</v>
      </c>
      <c r="M466" s="2" t="str">
        <f>HYPERLINK("http://www.windermere.com/index.cfm?fuseaction=Listing.MapPropertyInteractive&amp;ListingID=19224161&amp;resize=true&amp;windowWidth=800&amp;windowHeight=600","Map")</f>
        <v>Map</v>
      </c>
      <c r="P466" t="s">
        <v>44</v>
      </c>
      <c r="AI466" t="s">
        <v>66</v>
      </c>
      <c r="AJ466" s="17">
        <v>98107</v>
      </c>
      <c r="AS466" t="s">
        <v>1361</v>
      </c>
      <c r="AT466">
        <v>19224161</v>
      </c>
      <c r="AU466" s="6">
        <v>39499</v>
      </c>
      <c r="BB466" t="s">
        <v>902</v>
      </c>
      <c r="BC466" s="6">
        <v>39462</v>
      </c>
      <c r="BD466">
        <v>-4</v>
      </c>
      <c r="BE466" t="s">
        <v>1382</v>
      </c>
      <c r="BG466">
        <v>38</v>
      </c>
    </row>
    <row r="467" spans="1:59" hidden="1" x14ac:dyDescent="0.2">
      <c r="A467">
        <v>28030680</v>
      </c>
      <c r="B467" s="2" t="str">
        <f>HYPERLINK("http://www.windermere.com/index.cfm?fuseaction=Listing.ListingDetail&amp;ListingID=19398832","Active")</f>
        <v>Active</v>
      </c>
      <c r="D467" t="s">
        <v>207</v>
      </c>
      <c r="E467" t="s">
        <v>1362</v>
      </c>
      <c r="F467" s="9">
        <v>499950</v>
      </c>
      <c r="G467" t="s">
        <v>130</v>
      </c>
      <c r="H467" s="1">
        <v>1800</v>
      </c>
      <c r="I467">
        <v>5243</v>
      </c>
      <c r="J467">
        <v>4</v>
      </c>
      <c r="K467">
        <v>2</v>
      </c>
      <c r="M467" s="2" t="str">
        <f>HYPERLINK("http://www.windermere.com/index.cfm?fuseaction=Listing.MapPropertyInteractive&amp;ListingID=19398832&amp;resize=true&amp;windowWidth=800&amp;windowHeight=600","Map")</f>
        <v>Map</v>
      </c>
      <c r="O467" s="2" t="str">
        <f>HYPERLINK("http://www.windermere.com/index.cfm?fuseaction=Listing.MultiImageViewer&amp;ListingID=19398832&amp;ln=28030680&amp;pub_mls=1","More")</f>
        <v>More</v>
      </c>
      <c r="AI467" t="s">
        <v>66</v>
      </c>
      <c r="AJ467">
        <v>98115</v>
      </c>
      <c r="AS467" t="s">
        <v>1363</v>
      </c>
      <c r="AT467">
        <v>19398832</v>
      </c>
      <c r="AU467" s="6">
        <v>39499</v>
      </c>
      <c r="BB467" t="s">
        <v>902</v>
      </c>
      <c r="BC467" s="6">
        <v>39499</v>
      </c>
      <c r="BD467">
        <v>3</v>
      </c>
      <c r="BE467" t="s">
        <v>1383</v>
      </c>
      <c r="BG467">
        <v>1</v>
      </c>
    </row>
    <row r="468" spans="1:59" hidden="1" x14ac:dyDescent="0.2">
      <c r="A468">
        <v>28030012</v>
      </c>
      <c r="B468" s="2" t="str">
        <f>HYPERLINK("http://www.windermere.com/index.cfm?fuseaction=Listing.ListingDetail&amp;ListingID=19403828","Active")</f>
        <v>Active</v>
      </c>
      <c r="D468" t="s">
        <v>88</v>
      </c>
      <c r="E468" t="s">
        <v>1364</v>
      </c>
      <c r="F468" s="9">
        <v>575000</v>
      </c>
      <c r="G468" t="s">
        <v>144</v>
      </c>
      <c r="H468" s="1">
        <v>2440</v>
      </c>
      <c r="J468">
        <v>4</v>
      </c>
      <c r="K468" s="17">
        <v>2</v>
      </c>
      <c r="M468" s="2" t="str">
        <f>HYPERLINK("http://www.windermere.com/index.cfm?fuseaction=Listing.MapPropertyInteractive&amp;ListingID=19403828&amp;resize=true&amp;windowWidth=800&amp;windowHeight=600","Map")</f>
        <v>Map</v>
      </c>
      <c r="O468" s="2" t="str">
        <f>HYPERLINK("http://www.windermere.com/index.cfm?fuseaction=Listing.MultiImageViewer&amp;ListingID=19403828&amp;ln=28030012&amp;pub_mls=1","More")</f>
        <v>More</v>
      </c>
      <c r="P468" t="s">
        <v>44</v>
      </c>
      <c r="AI468" t="s">
        <v>66</v>
      </c>
      <c r="AJ468">
        <v>98117</v>
      </c>
      <c r="AS468" t="s">
        <v>1365</v>
      </c>
      <c r="AT468">
        <v>19403828</v>
      </c>
      <c r="AU468" s="6">
        <v>39499</v>
      </c>
      <c r="BB468" t="s">
        <v>902</v>
      </c>
      <c r="BC468" s="6">
        <v>39499</v>
      </c>
      <c r="BD468">
        <v>2</v>
      </c>
      <c r="BE468" t="s">
        <v>1384</v>
      </c>
      <c r="BG468">
        <v>1</v>
      </c>
    </row>
    <row r="469" spans="1:59" hidden="1" x14ac:dyDescent="0.2">
      <c r="A469">
        <v>28032147</v>
      </c>
      <c r="B469" s="2" t="str">
        <f>HYPERLINK("http://www.windermere.com/index.cfm?fuseaction=Listing.ListingDetail&amp;ListingID=19412092","Active")</f>
        <v>Active</v>
      </c>
      <c r="D469" t="s">
        <v>42</v>
      </c>
      <c r="E469" t="s">
        <v>1407</v>
      </c>
      <c r="F469" s="9">
        <v>314000</v>
      </c>
      <c r="G469" t="s">
        <v>147</v>
      </c>
      <c r="H469" s="1">
        <v>1432</v>
      </c>
      <c r="J469">
        <v>3</v>
      </c>
      <c r="K469">
        <v>2.5</v>
      </c>
      <c r="M469" s="2" t="str">
        <f>HYPERLINK("http://www.windermere.com/index.cfm?fuseaction=Listing.MapPropertyInteractive&amp;ListingID=19412092&amp;resize=true&amp;windowWidth=800&amp;windowHeight=600","Map")</f>
        <v>Map</v>
      </c>
      <c r="O469" s="2" t="str">
        <f>HYPERLINK("http://www.windermere.com/index.cfm?fuseaction=Listing.MultiImageViewer&amp;ListingID=19412092&amp;ln=28032147&amp;pub_mls=1","More")</f>
        <v>More</v>
      </c>
      <c r="AI469" t="s">
        <v>66</v>
      </c>
      <c r="AJ469">
        <v>98133</v>
      </c>
      <c r="AS469" t="s">
        <v>1408</v>
      </c>
      <c r="AT469">
        <v>19412092</v>
      </c>
      <c r="AU469" s="6">
        <v>39501</v>
      </c>
      <c r="BB469" t="s">
        <v>902</v>
      </c>
    </row>
    <row r="470" spans="1:59" hidden="1" x14ac:dyDescent="0.2">
      <c r="A470">
        <v>28031803</v>
      </c>
      <c r="B470" s="2" t="str">
        <f>HYPERLINK("http://www.windermere.com/index.cfm?fuseaction=Listing.ListingDetail&amp;ListingID=19408082","Active")</f>
        <v>Active</v>
      </c>
      <c r="D470" t="s">
        <v>66</v>
      </c>
      <c r="E470" t="s">
        <v>1385</v>
      </c>
      <c r="F470" s="9">
        <v>320000</v>
      </c>
      <c r="G470" t="s">
        <v>369</v>
      </c>
      <c r="H470" s="1">
        <v>1140</v>
      </c>
      <c r="I470">
        <v>9240</v>
      </c>
      <c r="J470">
        <v>4</v>
      </c>
      <c r="K470">
        <v>1</v>
      </c>
      <c r="M470" s="2" t="str">
        <f>HYPERLINK("http://www.windermere.com/index.cfm?fuseaction=Listing.MapPropertyInteractive&amp;ListingID=19408082&amp;resize=true&amp;windowWidth=800&amp;windowHeight=600","Map")</f>
        <v>Map</v>
      </c>
      <c r="O470" s="2" t="str">
        <f>HYPERLINK("http://www.windermere.com/index.cfm?fuseaction=Listing.MultiImageViewer&amp;ListingID=19408082&amp;ln=28031803&amp;pub_mls=1","More")</f>
        <v>More</v>
      </c>
      <c r="AI470" t="s">
        <v>66</v>
      </c>
      <c r="AJ470" s="17">
        <v>98155</v>
      </c>
      <c r="AS470" t="s">
        <v>1386</v>
      </c>
      <c r="AT470">
        <v>19408082</v>
      </c>
      <c r="AU470" s="6">
        <v>39501</v>
      </c>
      <c r="BB470" t="s">
        <v>902</v>
      </c>
    </row>
    <row r="471" spans="1:59" hidden="1" x14ac:dyDescent="0.2">
      <c r="A471">
        <v>28031593</v>
      </c>
      <c r="B471" s="2" t="str">
        <f>HYPERLINK("http://www.windermere.com/index.cfm?fuseaction=Listing.ListingDetail&amp;ListingID=19407034","Active")</f>
        <v>Active</v>
      </c>
      <c r="D471" t="s">
        <v>199</v>
      </c>
      <c r="E471" t="s">
        <v>1388</v>
      </c>
      <c r="F471" s="9">
        <v>399000</v>
      </c>
      <c r="G471" t="s">
        <v>168</v>
      </c>
      <c r="J471">
        <v>4</v>
      </c>
      <c r="K471">
        <v>2</v>
      </c>
      <c r="M471" s="2" t="str">
        <f>HYPERLINK("http://www.windermere.com/index.cfm?fuseaction=Listing.MapPropertyInteractive&amp;ListingID=19407034&amp;resize=true&amp;windowWidth=800&amp;windowHeight=600","Map")</f>
        <v>Map</v>
      </c>
      <c r="O471" s="2" t="str">
        <f>HYPERLINK("http://www.windermere.com/index.cfm?fuseaction=viewGallery.Home&amp;customTourID=208435&amp;wvt=0","More")</f>
        <v>More</v>
      </c>
      <c r="AI471" t="s">
        <v>66</v>
      </c>
      <c r="AJ471">
        <v>98125</v>
      </c>
      <c r="AS471" t="s">
        <v>1389</v>
      </c>
      <c r="AT471">
        <v>19407034</v>
      </c>
      <c r="AU471" s="6">
        <v>39501</v>
      </c>
      <c r="BB471" t="s">
        <v>902</v>
      </c>
    </row>
    <row r="472" spans="1:59" hidden="1" x14ac:dyDescent="0.2">
      <c r="A472">
        <v>28031815</v>
      </c>
      <c r="B472" s="2" t="str">
        <f>HYPERLINK("http://www.windermere.com/index.cfm?fuseaction=Listing.ListingDetail&amp;ListingID=19409882","Active")</f>
        <v>Active</v>
      </c>
      <c r="D472" t="s">
        <v>109</v>
      </c>
      <c r="E472" t="s">
        <v>1390</v>
      </c>
      <c r="F472" s="9">
        <v>399800</v>
      </c>
      <c r="G472" t="s">
        <v>154</v>
      </c>
      <c r="H472">
        <v>910</v>
      </c>
      <c r="I472">
        <v>5100</v>
      </c>
      <c r="J472">
        <v>2</v>
      </c>
      <c r="K472">
        <v>1</v>
      </c>
      <c r="M472" s="2" t="str">
        <f>HYPERLINK("http://www.windermere.com/index.cfm?fuseaction=Listing.MapPropertyInteractive&amp;ListingID=19409882&amp;resize=true&amp;windowWidth=800&amp;windowHeight=600","Map")</f>
        <v>Map</v>
      </c>
      <c r="O472" s="2" t="str">
        <f>HYPERLINK("http://www.windermere.com/index.cfm?fuseaction=Listing.MultiImageViewer&amp;ListingID=19409882&amp;ln=28031815&amp;pub_mls=1","More")</f>
        <v>More</v>
      </c>
      <c r="P472" t="s">
        <v>44</v>
      </c>
      <c r="AI472" t="s">
        <v>66</v>
      </c>
      <c r="AJ472">
        <v>98105</v>
      </c>
      <c r="AS472" t="s">
        <v>1391</v>
      </c>
      <c r="AT472">
        <v>19409882</v>
      </c>
      <c r="AU472" s="6">
        <v>39501</v>
      </c>
      <c r="BB472" t="s">
        <v>902</v>
      </c>
    </row>
    <row r="473" spans="1:59" hidden="1" x14ac:dyDescent="0.2">
      <c r="A473">
        <v>28031984</v>
      </c>
      <c r="B473" s="2" t="str">
        <f>HYPERLINK("http://www.windermere.com/index.cfm?fuseaction=Listing.ListingDetail&amp;ListingID=19409141","Active")</f>
        <v>Active</v>
      </c>
      <c r="D473" t="s">
        <v>60</v>
      </c>
      <c r="E473" t="s">
        <v>1393</v>
      </c>
      <c r="F473" s="9">
        <v>425000</v>
      </c>
      <c r="G473" t="s">
        <v>219</v>
      </c>
      <c r="H473" s="1">
        <v>1280</v>
      </c>
      <c r="I473">
        <v>3060</v>
      </c>
      <c r="J473">
        <v>3</v>
      </c>
      <c r="K473">
        <v>1.5</v>
      </c>
      <c r="M473" s="2" t="str">
        <f>HYPERLINK("http://www.windermere.com/index.cfm?fuseaction=Listing.MapPropertyInteractive&amp;ListingID=19409141&amp;resize=true&amp;windowWidth=800&amp;windowHeight=600","Map")</f>
        <v>Map</v>
      </c>
      <c r="O473" s="2" t="str">
        <f>HYPERLINK("http://www.windermere.com/index.cfm?fuseaction=viewGallery.Home&amp;customTourID=208553&amp;wvt=0","More")</f>
        <v>More</v>
      </c>
      <c r="AI473" t="s">
        <v>66</v>
      </c>
      <c r="AJ473">
        <v>98103</v>
      </c>
      <c r="AS473" t="s">
        <v>1394</v>
      </c>
      <c r="AT473">
        <v>19409141</v>
      </c>
      <c r="AU473" s="6">
        <v>39501</v>
      </c>
      <c r="BB473" t="s">
        <v>902</v>
      </c>
    </row>
    <row r="474" spans="1:59" hidden="1" x14ac:dyDescent="0.2">
      <c r="A474">
        <v>28032200</v>
      </c>
      <c r="B474" s="2" t="str">
        <f>HYPERLINK("http://www.windermere.com/index.cfm?fuseaction=Listing.ListingDetail&amp;ListingID=19412399","Active")</f>
        <v>Active</v>
      </c>
      <c r="D474" t="s">
        <v>63</v>
      </c>
      <c r="E474" t="s">
        <v>1415</v>
      </c>
      <c r="F474" s="9">
        <v>439950</v>
      </c>
      <c r="G474" t="s">
        <v>147</v>
      </c>
      <c r="H474" s="1">
        <v>1469</v>
      </c>
      <c r="J474">
        <v>3</v>
      </c>
      <c r="K474">
        <v>3.5</v>
      </c>
      <c r="M474" s="2" t="str">
        <f>HYPERLINK("http://www.windermere.com/index.cfm?fuseaction=Listing.MapPropertyInteractive&amp;ListingID=19412399&amp;resize=true&amp;windowWidth=800&amp;windowHeight=600","Map")</f>
        <v>Map</v>
      </c>
      <c r="AI474" t="s">
        <v>66</v>
      </c>
      <c r="AJ474">
        <v>98107</v>
      </c>
      <c r="AS474" t="s">
        <v>1416</v>
      </c>
      <c r="AT474">
        <v>19412399</v>
      </c>
      <c r="AU474" s="6">
        <v>39501</v>
      </c>
      <c r="BB474" t="s">
        <v>902</v>
      </c>
    </row>
    <row r="475" spans="1:59" hidden="1" x14ac:dyDescent="0.2">
      <c r="A475">
        <v>28031588</v>
      </c>
      <c r="B475" s="2" t="str">
        <f>HYPERLINK("http://www.windermere.com/index.cfm?fuseaction=Listing.ListingDetail&amp;ListingID=19407733","Active")</f>
        <v>Active</v>
      </c>
      <c r="D475" t="s">
        <v>109</v>
      </c>
      <c r="E475" t="s">
        <v>1396</v>
      </c>
      <c r="F475" s="9">
        <v>449950</v>
      </c>
      <c r="G475" t="s">
        <v>239</v>
      </c>
      <c r="H475" s="1">
        <v>1439</v>
      </c>
      <c r="J475">
        <v>2</v>
      </c>
      <c r="K475">
        <v>2.25</v>
      </c>
      <c r="M475" s="2" t="str">
        <f>HYPERLINK("http://www.windermere.com/index.cfm?fuseaction=Listing.MapPropertyInteractive&amp;ListingID=19407733&amp;resize=true&amp;windowWidth=800&amp;windowHeight=600","Map")</f>
        <v>Map</v>
      </c>
      <c r="O475" s="2" t="str">
        <f>HYPERLINK("http://www.windermere.com/index.cfm?fuseaction=Listing.MultiImageViewer&amp;ListingID=19407733&amp;ln=28031588&amp;pub_mls=1","More")</f>
        <v>More</v>
      </c>
      <c r="P475" t="s">
        <v>44</v>
      </c>
      <c r="AI475" t="s">
        <v>66</v>
      </c>
      <c r="AJ475">
        <v>98103</v>
      </c>
      <c r="AS475" t="s">
        <v>1397</v>
      </c>
      <c r="AT475">
        <v>19407733</v>
      </c>
      <c r="AU475" s="6">
        <v>39501</v>
      </c>
      <c r="BB475" t="s">
        <v>902</v>
      </c>
    </row>
    <row r="476" spans="1:59" hidden="1" x14ac:dyDescent="0.2">
      <c r="A476">
        <v>28031574</v>
      </c>
      <c r="B476" s="2" t="str">
        <f>HYPERLINK("http://www.windermere.com/index.cfm?fuseaction=Listing.ListingDetail&amp;ListingID=19407101","Active")</f>
        <v>Active</v>
      </c>
      <c r="D476" t="s">
        <v>109</v>
      </c>
      <c r="E476" t="s">
        <v>1398</v>
      </c>
      <c r="F476" s="9">
        <v>464950</v>
      </c>
      <c r="G476" t="s">
        <v>239</v>
      </c>
      <c r="H476" s="1">
        <v>1439</v>
      </c>
      <c r="J476">
        <v>2</v>
      </c>
      <c r="K476">
        <v>2.25</v>
      </c>
      <c r="M476" s="2" t="str">
        <f>HYPERLINK("http://www.windermere.com/index.cfm?fuseaction=Listing.MapPropertyInteractive&amp;ListingID=19407101&amp;resize=true&amp;windowWidth=800&amp;windowHeight=600","Map")</f>
        <v>Map</v>
      </c>
      <c r="O476" s="2" t="str">
        <f>HYPERLINK("http://www.windermere.com/index.cfm?fuseaction=Listing.MultiImageViewer&amp;ListingID=19407101&amp;ln=28031574&amp;pub_mls=1","More")</f>
        <v>More</v>
      </c>
      <c r="P476" t="s">
        <v>44</v>
      </c>
      <c r="AI476" t="s">
        <v>66</v>
      </c>
      <c r="AJ476">
        <v>98103</v>
      </c>
      <c r="AS476" t="s">
        <v>1399</v>
      </c>
      <c r="AT476">
        <v>19407101</v>
      </c>
      <c r="AU476" s="6">
        <v>39501</v>
      </c>
      <c r="BB476" t="s">
        <v>902</v>
      </c>
    </row>
    <row r="477" spans="1:59" x14ac:dyDescent="0.2">
      <c r="A477">
        <v>28031494</v>
      </c>
      <c r="B477" s="2" t="str">
        <f>HYPERLINK("http://www.windermere.com/index.cfm?fuseaction=Listing.ListingDetail&amp;ListingID=19406599","Active")</f>
        <v>Active</v>
      </c>
      <c r="D477" t="s">
        <v>63</v>
      </c>
      <c r="E477" t="s">
        <v>1401</v>
      </c>
      <c r="F477" s="9">
        <v>482800</v>
      </c>
      <c r="G477" t="s">
        <v>161</v>
      </c>
      <c r="H477" s="1">
        <v>1337</v>
      </c>
      <c r="I477">
        <v>5110</v>
      </c>
      <c r="J477">
        <v>3</v>
      </c>
      <c r="K477">
        <v>1.75</v>
      </c>
      <c r="M477" s="2" t="str">
        <f>HYPERLINK("http://www.windermere.com/index.cfm?fuseaction=Listing.MapPropertyInteractive&amp;ListingID=19406599&amp;resize=true&amp;windowWidth=800&amp;windowHeight=600","Map")</f>
        <v>Map</v>
      </c>
      <c r="O477" s="2" t="str">
        <f>HYPERLINK("http://www.windermere.com/index.cfm?fuseaction=Listing.MultiImageViewer&amp;ListingID=19406599&amp;ln=28031494&amp;pub_mls=1","More")</f>
        <v>More</v>
      </c>
      <c r="P477" t="s">
        <v>44</v>
      </c>
      <c r="AI477" t="s">
        <v>66</v>
      </c>
      <c r="AJ477">
        <v>98117</v>
      </c>
      <c r="AS477" t="s">
        <v>1402</v>
      </c>
      <c r="AT477">
        <v>19406599</v>
      </c>
      <c r="AU477" s="6">
        <v>39501</v>
      </c>
      <c r="BB477" t="s">
        <v>902</v>
      </c>
      <c r="BD477" t="s">
        <v>1556</v>
      </c>
      <c r="BE477" t="s">
        <v>1558</v>
      </c>
      <c r="BF477" s="6">
        <v>39508</v>
      </c>
    </row>
    <row r="478" spans="1:59" hidden="1" x14ac:dyDescent="0.2">
      <c r="A478">
        <v>28031548</v>
      </c>
      <c r="B478" s="13" t="str">
        <f>HYPERLINK("http://www.windermere.com/index.cfm?fuseaction=Listing.ListingDetail&amp;ListingID=19406985","Subject To Inspection")</f>
        <v>Subject To Inspection</v>
      </c>
      <c r="D478" t="s">
        <v>109</v>
      </c>
      <c r="E478" t="s">
        <v>1403</v>
      </c>
      <c r="F478" s="9">
        <v>499000</v>
      </c>
      <c r="G478" t="s">
        <v>430</v>
      </c>
      <c r="H478" s="1">
        <v>1910</v>
      </c>
      <c r="I478">
        <v>2942</v>
      </c>
      <c r="J478">
        <v>3</v>
      </c>
      <c r="K478">
        <v>1.75</v>
      </c>
      <c r="M478" s="2" t="str">
        <f>HYPERLINK("http://www.windermere.com/index.cfm?fuseaction=Listing.MapPropertyInteractive&amp;ListingID=19406985&amp;resize=true&amp;windowWidth=800&amp;windowHeight=600","Map")</f>
        <v>Map</v>
      </c>
      <c r="O478" s="2" t="str">
        <f>HYPERLINK("http://www.windermere.com/index.cfm?fuseaction=Listing.MultiImageViewer&amp;ListingID=19406985&amp;ln=28031548&amp;pub_mls=1","More")</f>
        <v>More</v>
      </c>
      <c r="AI478" t="s">
        <v>66</v>
      </c>
      <c r="AJ478">
        <v>98105</v>
      </c>
      <c r="AS478" t="s">
        <v>1404</v>
      </c>
      <c r="AT478">
        <v>19406985</v>
      </c>
      <c r="AU478" s="6">
        <v>39501</v>
      </c>
      <c r="BB478" t="s">
        <v>902</v>
      </c>
    </row>
    <row r="479" spans="1:59" hidden="1" x14ac:dyDescent="0.2">
      <c r="A479">
        <v>27182990</v>
      </c>
      <c r="B479" s="2" t="str">
        <f>HYPERLINK("http://www.windermere.com/index.cfm?fuseaction=Listing.ListingDetail&amp;ListingID=19409788","Active")</f>
        <v>Active</v>
      </c>
      <c r="D479" t="s">
        <v>204</v>
      </c>
      <c r="E479" t="s">
        <v>1405</v>
      </c>
      <c r="F479" s="9">
        <v>500000</v>
      </c>
      <c r="G479" t="s">
        <v>132</v>
      </c>
      <c r="H479" s="1">
        <v>3340</v>
      </c>
      <c r="I479">
        <v>11994</v>
      </c>
      <c r="J479">
        <v>4</v>
      </c>
      <c r="K479">
        <v>2.25</v>
      </c>
      <c r="M479" s="2" t="str">
        <f>HYPERLINK("http://www.windermere.com/index.cfm?fuseaction=Listing.MapPropertyInteractive&amp;ListingID=19409788&amp;resize=true&amp;windowWidth=800&amp;windowHeight=600","Map")</f>
        <v>Map</v>
      </c>
      <c r="O479" s="2" t="str">
        <f>HYPERLINK("http://www.windermere.com/index.cfm?fuseaction=viewGallery.Home&amp;customTourID=196755&amp;wvt=0","More")</f>
        <v>More</v>
      </c>
      <c r="P479" t="s">
        <v>44</v>
      </c>
      <c r="AI479" t="s">
        <v>66</v>
      </c>
      <c r="AJ479">
        <v>98125</v>
      </c>
      <c r="AS479" t="s">
        <v>1406</v>
      </c>
      <c r="AT479">
        <v>19409788</v>
      </c>
      <c r="AU479" s="6">
        <v>39501</v>
      </c>
      <c r="BB479" t="s">
        <v>902</v>
      </c>
    </row>
    <row r="480" spans="1:59" hidden="1" x14ac:dyDescent="0.2">
      <c r="A480">
        <v>28031990</v>
      </c>
      <c r="B480" s="2" t="str">
        <f>HYPERLINK("http://www.windermere.com/index.cfm?fuseaction=Listing.ListingDetail&amp;ListingID=19409790","Active")</f>
        <v>Active</v>
      </c>
      <c r="D480" t="s">
        <v>101</v>
      </c>
      <c r="E480" t="s">
        <v>1409</v>
      </c>
      <c r="F480" s="9">
        <v>579950</v>
      </c>
      <c r="G480" t="s">
        <v>1354</v>
      </c>
      <c r="H480" s="1">
        <v>2090</v>
      </c>
      <c r="I480">
        <v>7800</v>
      </c>
      <c r="J480">
        <v>4</v>
      </c>
      <c r="K480">
        <v>3</v>
      </c>
      <c r="M480" s="2" t="str">
        <f>HYPERLINK("http://www.windermere.com/index.cfm?fuseaction=Listing.MapPropertyInteractive&amp;ListingID=19409790&amp;resize=true&amp;windowWidth=800&amp;windowHeight=600","Map")</f>
        <v>Map</v>
      </c>
      <c r="O480" s="2" t="str">
        <f>HYPERLINK("http://www.windermere.com/index.cfm?fuseaction=Listing.MultiImageViewer&amp;ListingID=19409790&amp;ln=28031990&amp;pub_mls=1","More")</f>
        <v>More</v>
      </c>
      <c r="P480" t="s">
        <v>44</v>
      </c>
      <c r="AI480" t="s">
        <v>66</v>
      </c>
      <c r="AJ480">
        <v>98117</v>
      </c>
      <c r="AS480" t="s">
        <v>1410</v>
      </c>
      <c r="AT480">
        <v>19409790</v>
      </c>
      <c r="AU480" s="6">
        <v>39501</v>
      </c>
      <c r="BB480" t="s">
        <v>902</v>
      </c>
    </row>
    <row r="481" spans="1:58" hidden="1" x14ac:dyDescent="0.2">
      <c r="A481">
        <v>28031979</v>
      </c>
      <c r="B481" s="2" t="str">
        <f>HYPERLINK("http://www.windermere.com/index.cfm?fuseaction=Listing.ListingDetail&amp;ListingID=19409140","Active")</f>
        <v>Active</v>
      </c>
      <c r="D481" t="s">
        <v>78</v>
      </c>
      <c r="E481" t="s">
        <v>1411</v>
      </c>
      <c r="F481" s="9">
        <v>714950</v>
      </c>
      <c r="G481" t="s">
        <v>180</v>
      </c>
      <c r="H481" s="1">
        <v>2320</v>
      </c>
      <c r="I481">
        <v>4046</v>
      </c>
      <c r="J481">
        <v>4</v>
      </c>
      <c r="K481">
        <v>2.5</v>
      </c>
      <c r="M481" s="2" t="str">
        <f>HYPERLINK("http://www.windermere.com/index.cfm?fuseaction=Listing.MapPropertyInteractive&amp;ListingID=19409140&amp;resize=true&amp;windowWidth=800&amp;windowHeight=600","Map")</f>
        <v>Map</v>
      </c>
      <c r="O481" s="2" t="str">
        <f>HYPERLINK("http://www.windermere.com/index.cfm?fuseaction=Listing.MultiImageViewer&amp;ListingID=19409140&amp;ln=28031979&amp;pub_mls=1","More")</f>
        <v>More</v>
      </c>
      <c r="P481" t="s">
        <v>44</v>
      </c>
      <c r="AI481" t="s">
        <v>66</v>
      </c>
      <c r="AJ481">
        <v>98117</v>
      </c>
      <c r="AS481" t="s">
        <v>1412</v>
      </c>
      <c r="AT481">
        <v>19409140</v>
      </c>
      <c r="AU481" s="6">
        <v>39501</v>
      </c>
      <c r="BB481" t="s">
        <v>902</v>
      </c>
    </row>
    <row r="482" spans="1:58" hidden="1" x14ac:dyDescent="0.2">
      <c r="A482">
        <v>28033159</v>
      </c>
      <c r="B482" s="2" t="str">
        <f>HYPERLINK("http://www.windermere.com/index.cfm?fuseaction=Listing.ListingDetail&amp;ListingID=19438383","Active")</f>
        <v>Active</v>
      </c>
      <c r="D482" t="s">
        <v>55</v>
      </c>
      <c r="E482" t="s">
        <v>1417</v>
      </c>
      <c r="F482" s="9">
        <v>359000</v>
      </c>
      <c r="G482" t="s">
        <v>147</v>
      </c>
      <c r="J482">
        <v>3</v>
      </c>
      <c r="K482">
        <v>2</v>
      </c>
      <c r="M482" s="2" t="str">
        <f>HYPERLINK("http://www.windermere.com/index.cfm?fuseaction=Listing.MapPropertyInteractive&amp;ListingID=19438383&amp;resize=true&amp;windowWidth=800&amp;windowHeight=600","Map")</f>
        <v>Map</v>
      </c>
      <c r="O482" s="2" t="str">
        <f>HYPERLINK("http://www.windermere.com/index.cfm?fuseaction=Listing.MultiImageViewer&amp;ListingID=19438383&amp;ln=28033159&amp;pub_mls=1","More")</f>
        <v>More</v>
      </c>
      <c r="AI482" t="s">
        <v>66</v>
      </c>
      <c r="AJ482">
        <v>98177</v>
      </c>
      <c r="AS482" t="s">
        <v>1418</v>
      </c>
      <c r="AT482">
        <v>19438383</v>
      </c>
      <c r="AU482" s="6">
        <v>39503</v>
      </c>
      <c r="BB482" t="s">
        <v>902</v>
      </c>
    </row>
    <row r="483" spans="1:58" hidden="1" x14ac:dyDescent="0.2">
      <c r="A483">
        <v>28032469</v>
      </c>
      <c r="B483" s="2" t="str">
        <f>HYPERLINK("http://www.windermere.com/index.cfm?fuseaction=Listing.ListingDetail&amp;ListingID=19437800","Active")</f>
        <v>Active</v>
      </c>
      <c r="D483" t="s">
        <v>908</v>
      </c>
      <c r="E483" t="s">
        <v>1419</v>
      </c>
      <c r="F483" s="9">
        <v>385000</v>
      </c>
      <c r="G483" t="s">
        <v>156</v>
      </c>
      <c r="H483" s="1">
        <v>1960</v>
      </c>
      <c r="I483">
        <v>9815</v>
      </c>
      <c r="J483">
        <v>3</v>
      </c>
      <c r="K483">
        <v>1.75</v>
      </c>
      <c r="M483" s="2" t="str">
        <f>HYPERLINK("http://www.windermere.com/index.cfm?fuseaction=Listing.MapPropertyInteractive&amp;ListingID=19437800&amp;resize=true&amp;windowWidth=800&amp;windowHeight=600","Map")</f>
        <v>Map</v>
      </c>
      <c r="O483" s="2" t="str">
        <f>HYPERLINK("http://www.windermere.com/index.cfm?fuseaction=viewGallery.Home&amp;customTourID=208729&amp;wvt=0","More")</f>
        <v>More</v>
      </c>
      <c r="AI483" t="s">
        <v>66</v>
      </c>
      <c r="AJ483">
        <v>98125</v>
      </c>
      <c r="AS483" t="s">
        <v>1420</v>
      </c>
      <c r="AT483">
        <v>19437800</v>
      </c>
      <c r="AU483" s="6">
        <v>39503</v>
      </c>
      <c r="BB483" t="s">
        <v>902</v>
      </c>
    </row>
    <row r="484" spans="1:58" hidden="1" x14ac:dyDescent="0.2">
      <c r="A484">
        <v>28032301</v>
      </c>
      <c r="B484" s="2" t="str">
        <f>HYPERLINK("http://www.windermere.com/index.cfm?fuseaction=Listing.ListingDetail&amp;ListingID=19413443","Active")</f>
        <v>Active</v>
      </c>
      <c r="D484" t="s">
        <v>60</v>
      </c>
      <c r="E484" t="s">
        <v>1421</v>
      </c>
      <c r="F484" s="9">
        <v>390000</v>
      </c>
      <c r="G484" t="s">
        <v>171</v>
      </c>
      <c r="H484" s="1">
        <v>1530</v>
      </c>
      <c r="I484">
        <v>5000</v>
      </c>
      <c r="J484">
        <v>3</v>
      </c>
      <c r="K484">
        <v>1.5</v>
      </c>
      <c r="M484" s="2" t="str">
        <f>HYPERLINK("http://www.windermere.com/index.cfm?fuseaction=Listing.MapPropertyInteractive&amp;ListingID=19413443&amp;resize=true&amp;windowWidth=800&amp;windowHeight=600","Map")</f>
        <v>Map</v>
      </c>
      <c r="O484" s="2" t="str">
        <f>HYPERLINK("http://www.windermere.com/index.cfm?fuseaction=Listing.MultiImageViewer&amp;ListingID=19413443&amp;ln=28032301&amp;pub_mls=1","More")</f>
        <v>More</v>
      </c>
      <c r="P484" t="s">
        <v>44</v>
      </c>
      <c r="AI484" t="s">
        <v>66</v>
      </c>
      <c r="AJ484">
        <v>98103</v>
      </c>
      <c r="AS484" t="s">
        <v>1422</v>
      </c>
      <c r="AT484">
        <v>19413443</v>
      </c>
      <c r="AU484" s="6">
        <v>39503</v>
      </c>
      <c r="BB484" t="s">
        <v>902</v>
      </c>
    </row>
    <row r="485" spans="1:58" hidden="1" x14ac:dyDescent="0.2">
      <c r="A485">
        <v>28032926</v>
      </c>
      <c r="B485" s="2" t="str">
        <f>HYPERLINK("http://www.windermere.com/index.cfm?fuseaction=Listing.ListingDetail&amp;ListingID=19438316","Active")</f>
        <v>Active</v>
      </c>
      <c r="D485" t="s">
        <v>70</v>
      </c>
      <c r="E485" t="s">
        <v>1423</v>
      </c>
      <c r="F485" s="9">
        <v>425000</v>
      </c>
      <c r="G485" t="s">
        <v>227</v>
      </c>
      <c r="H485" s="1">
        <v>2360</v>
      </c>
      <c r="I485">
        <v>7500</v>
      </c>
      <c r="J485">
        <v>3</v>
      </c>
      <c r="K485">
        <v>2</v>
      </c>
      <c r="M485" s="2" t="str">
        <f>HYPERLINK("http://www.windermere.com/index.cfm?fuseaction=Listing.MapPropertyInteractive&amp;ListingID=19438316&amp;resize=true&amp;windowWidth=800&amp;windowHeight=600","Map")</f>
        <v>Map</v>
      </c>
      <c r="O485" s="2" t="str">
        <f>HYPERLINK("http://www.windermere.com/index.cfm?fuseaction=Listing.MultiImageViewer&amp;ListingID=19438316&amp;ln=28032926&amp;pub_mls=1","More")</f>
        <v>More</v>
      </c>
      <c r="P485" t="s">
        <v>44</v>
      </c>
      <c r="AI485" t="s">
        <v>66</v>
      </c>
      <c r="AJ485">
        <v>98133</v>
      </c>
      <c r="AS485" t="s">
        <v>1424</v>
      </c>
      <c r="AT485">
        <v>19438316</v>
      </c>
      <c r="AU485" s="6">
        <v>39503</v>
      </c>
      <c r="BB485" t="s">
        <v>902</v>
      </c>
    </row>
    <row r="486" spans="1:58" hidden="1" x14ac:dyDescent="0.2">
      <c r="A486">
        <v>28033132</v>
      </c>
      <c r="B486" s="2" t="str">
        <f>HYPERLINK("http://www.windermere.com/index.cfm?fuseaction=Listing.ListingDetail&amp;ListingID=19438452","Active")</f>
        <v>Active</v>
      </c>
      <c r="D486" t="s">
        <v>63</v>
      </c>
      <c r="E486" t="s">
        <v>1425</v>
      </c>
      <c r="F486" s="9">
        <v>439500</v>
      </c>
      <c r="G486" t="s">
        <v>485</v>
      </c>
      <c r="H486" s="1">
        <v>1690</v>
      </c>
      <c r="J486">
        <v>3</v>
      </c>
      <c r="K486">
        <v>2.5</v>
      </c>
      <c r="M486" s="2" t="str">
        <f>HYPERLINK("http://www.windermere.com/index.cfm?fuseaction=Listing.MapPropertyInteractive&amp;ListingID=19438452&amp;resize=true&amp;windowWidth=800&amp;windowHeight=600","Map")</f>
        <v>Map</v>
      </c>
      <c r="O486" s="2" t="str">
        <f>HYPERLINK("http://www.windermere.com/index.cfm?fuseaction=viewGallery.Home&amp;customTourID=208671&amp;wvt=0","More")</f>
        <v>More</v>
      </c>
      <c r="P486" t="s">
        <v>44</v>
      </c>
      <c r="AI486" t="s">
        <v>66</v>
      </c>
      <c r="AJ486">
        <v>98107</v>
      </c>
      <c r="AS486" t="s">
        <v>1426</v>
      </c>
      <c r="AT486">
        <v>19438452</v>
      </c>
      <c r="AU486" s="6">
        <v>39503</v>
      </c>
      <c r="BB486" t="s">
        <v>902</v>
      </c>
    </row>
    <row r="487" spans="1:58" hidden="1" x14ac:dyDescent="0.2">
      <c r="A487">
        <v>28032372</v>
      </c>
      <c r="B487" s="2" t="str">
        <f>HYPERLINK("http://www.windermere.com/index.cfm?fuseaction=Listing.ListingDetail&amp;ListingID=19414449","Active")</f>
        <v>Active</v>
      </c>
      <c r="D487" t="s">
        <v>199</v>
      </c>
      <c r="E487" t="s">
        <v>1427</v>
      </c>
      <c r="F487" s="11">
        <v>439950</v>
      </c>
      <c r="G487" t="s">
        <v>171</v>
      </c>
      <c r="H487" s="1">
        <v>1970</v>
      </c>
      <c r="I487">
        <v>9746</v>
      </c>
      <c r="J487">
        <v>4</v>
      </c>
      <c r="K487">
        <v>2</v>
      </c>
      <c r="M487" s="2" t="str">
        <f>HYPERLINK("http://www.windermere.com/index.cfm?fuseaction=Listing.MapPropertyInteractive&amp;ListingID=19414449&amp;resize=true&amp;windowWidth=800&amp;windowHeight=600","Map")</f>
        <v>Map</v>
      </c>
      <c r="O487" s="2" t="str">
        <f>HYPERLINK("http://www.windermere.com/index.cfm?fuseaction=Listing.MultiImageViewer&amp;ListingID=19414449&amp;ln=28032372&amp;pub_mls=1","More")</f>
        <v>More</v>
      </c>
      <c r="AI487" t="s">
        <v>66</v>
      </c>
      <c r="AJ487">
        <v>98125</v>
      </c>
      <c r="AS487" t="s">
        <v>1428</v>
      </c>
      <c r="AT487">
        <v>19414449</v>
      </c>
      <c r="AU487" s="6">
        <v>39503</v>
      </c>
      <c r="BB487" t="s">
        <v>902</v>
      </c>
    </row>
    <row r="488" spans="1:58" hidden="1" x14ac:dyDescent="0.2">
      <c r="A488">
        <v>28032617</v>
      </c>
      <c r="B488" s="2" t="str">
        <f>HYPERLINK("http://www.windermere.com/index.cfm?fuseaction=Listing.ListingDetail&amp;ListingID=19416957","Active")</f>
        <v>Active</v>
      </c>
      <c r="D488" t="s">
        <v>207</v>
      </c>
      <c r="E488" t="s">
        <v>1429</v>
      </c>
      <c r="F488" s="9">
        <v>475000</v>
      </c>
      <c r="G488" t="s">
        <v>144</v>
      </c>
      <c r="H488" s="1">
        <v>1410</v>
      </c>
      <c r="I488">
        <v>3500</v>
      </c>
      <c r="J488">
        <v>2</v>
      </c>
      <c r="K488">
        <v>1</v>
      </c>
      <c r="M488" s="2" t="str">
        <f>HYPERLINK("http://www.windermere.com/index.cfm?fuseaction=Listing.MapPropertyInteractive&amp;ListingID=19416957&amp;resize=true&amp;windowWidth=800&amp;windowHeight=600","Map")</f>
        <v>Map</v>
      </c>
      <c r="O488" s="2" t="str">
        <f>HYPERLINK("http://www.windermere.com/index.cfm?fuseaction=viewGallery.Home&amp;customTourID=208603&amp;wvt=0","More")</f>
        <v>More</v>
      </c>
      <c r="AI488" t="s">
        <v>66</v>
      </c>
      <c r="AJ488">
        <v>98115</v>
      </c>
      <c r="AS488" t="s">
        <v>1430</v>
      </c>
      <c r="AT488">
        <v>19416957</v>
      </c>
      <c r="AU488" s="6">
        <v>39503</v>
      </c>
      <c r="BB488" t="s">
        <v>902</v>
      </c>
    </row>
    <row r="489" spans="1:58" hidden="1" x14ac:dyDescent="0.2">
      <c r="A489">
        <v>28032560</v>
      </c>
      <c r="B489" s="2" t="str">
        <f>HYPERLINK("http://www.windermere.com/index.cfm?fuseaction=Listing.ListingDetail&amp;ListingID=19416095","Active")</f>
        <v>Active</v>
      </c>
      <c r="D489" t="s">
        <v>218</v>
      </c>
      <c r="E489" t="s">
        <v>1431</v>
      </c>
      <c r="F489" s="9">
        <v>499000</v>
      </c>
      <c r="G489" t="s">
        <v>142</v>
      </c>
      <c r="H489" s="1">
        <v>1930</v>
      </c>
      <c r="I489">
        <v>3348</v>
      </c>
      <c r="J489">
        <v>3</v>
      </c>
      <c r="K489">
        <v>1.5</v>
      </c>
      <c r="M489" s="2" t="str">
        <f>HYPERLINK("http://www.windermere.com/index.cfm?fuseaction=Listing.MapPropertyInteractive&amp;ListingID=19416095&amp;resize=true&amp;windowWidth=800&amp;windowHeight=600","Map")</f>
        <v>Map</v>
      </c>
      <c r="O489" s="2" t="str">
        <f>HYPERLINK("http://www.windermere.com/index.cfm?fuseaction=Listing.MultiImageViewer&amp;ListingID=19416095&amp;ln=28032560&amp;pub_mls=1","More")</f>
        <v>More</v>
      </c>
      <c r="P489" t="s">
        <v>44</v>
      </c>
      <c r="AI489" t="s">
        <v>66</v>
      </c>
      <c r="AJ489">
        <v>98115</v>
      </c>
      <c r="AS489" t="s">
        <v>1432</v>
      </c>
      <c r="AT489">
        <v>19416095</v>
      </c>
      <c r="AU489" s="6">
        <v>39503</v>
      </c>
      <c r="BB489" t="s">
        <v>902</v>
      </c>
    </row>
    <row r="490" spans="1:58" hidden="1" x14ac:dyDescent="0.2">
      <c r="A490">
        <v>28030136</v>
      </c>
      <c r="B490" s="2" t="str">
        <f>HYPERLINK("http://www.windermere.com/index.cfm?fuseaction=Listing.ListingDetail&amp;ListingID=19420266","Active")</f>
        <v>Active</v>
      </c>
      <c r="D490" t="s">
        <v>190</v>
      </c>
      <c r="E490" t="s">
        <v>1433</v>
      </c>
      <c r="F490" s="9">
        <v>499950</v>
      </c>
      <c r="G490" t="s">
        <v>384</v>
      </c>
      <c r="H490" s="1">
        <v>2010</v>
      </c>
      <c r="I490">
        <v>3153</v>
      </c>
      <c r="J490">
        <v>4</v>
      </c>
      <c r="K490">
        <v>1.75</v>
      </c>
      <c r="M490" s="2" t="str">
        <f>HYPERLINK("http://www.windermere.com/index.cfm?fuseaction=Listing.MapPropertyInteractive&amp;ListingID=19420266&amp;resize=true&amp;windowWidth=800&amp;windowHeight=600","Map")</f>
        <v>Map</v>
      </c>
      <c r="O490" s="2" t="str">
        <f>HYPERLINK("http://www.windermere.com/index.cfm?fuseaction=viewGallery.Home&amp;customTourID=207859&amp;wvt=0","More")</f>
        <v>More</v>
      </c>
      <c r="AI490" t="s">
        <v>66</v>
      </c>
      <c r="AJ490">
        <v>98115</v>
      </c>
      <c r="AS490" t="s">
        <v>1434</v>
      </c>
      <c r="AT490">
        <v>19420266</v>
      </c>
      <c r="AU490" s="6">
        <v>39503</v>
      </c>
      <c r="BB490" t="s">
        <v>902</v>
      </c>
    </row>
    <row r="491" spans="1:58" hidden="1" x14ac:dyDescent="0.2">
      <c r="A491">
        <v>28032855</v>
      </c>
      <c r="B491" s="2" t="str">
        <f>HYPERLINK("http://www.windermere.com/index.cfm?fuseaction=Listing.ListingDetail&amp;ListingID=19419027","Active")</f>
        <v>Active</v>
      </c>
      <c r="D491" t="s">
        <v>63</v>
      </c>
      <c r="E491" t="s">
        <v>1435</v>
      </c>
      <c r="F491" s="9">
        <v>549500</v>
      </c>
      <c r="G491" t="s">
        <v>180</v>
      </c>
      <c r="H491" s="1">
        <v>2610</v>
      </c>
      <c r="I491">
        <v>5000</v>
      </c>
      <c r="J491">
        <v>5</v>
      </c>
      <c r="K491">
        <v>1.75</v>
      </c>
      <c r="M491" s="2" t="str">
        <f>HYPERLINK("http://www.windermere.com/index.cfm?fuseaction=Listing.MapPropertyInteractive&amp;ListingID=19419027&amp;resize=true&amp;windowWidth=800&amp;windowHeight=600","Map")</f>
        <v>Map</v>
      </c>
      <c r="O491" s="2" t="str">
        <f>HYPERLINK("http://www.windermere.com/index.cfm?fuseaction=Listing.MultiImageViewer&amp;ListingID=19419027&amp;ln=28032855&amp;pub_mls=1","More")</f>
        <v>More</v>
      </c>
      <c r="AI491" t="s">
        <v>66</v>
      </c>
      <c r="AJ491">
        <v>98117</v>
      </c>
      <c r="AS491" t="s">
        <v>1436</v>
      </c>
      <c r="AT491">
        <v>19419027</v>
      </c>
      <c r="AU491" s="6">
        <v>39503</v>
      </c>
      <c r="BB491" t="s">
        <v>902</v>
      </c>
    </row>
    <row r="492" spans="1:58" hidden="1" x14ac:dyDescent="0.2">
      <c r="A492">
        <v>28032356</v>
      </c>
      <c r="B492" s="2" t="str">
        <f>HYPERLINK("http://www.windermere.com/index.cfm?fuseaction=Listing.ListingDetail&amp;ListingID=19416193","Active")</f>
        <v>Active</v>
      </c>
      <c r="D492" t="s">
        <v>88</v>
      </c>
      <c r="E492" t="s">
        <v>1437</v>
      </c>
      <c r="F492" s="9">
        <v>634500</v>
      </c>
      <c r="G492" t="s">
        <v>135</v>
      </c>
      <c r="H492" s="1">
        <v>2960</v>
      </c>
      <c r="I492">
        <v>4680</v>
      </c>
      <c r="J492">
        <v>4</v>
      </c>
      <c r="K492">
        <v>2</v>
      </c>
      <c r="M492" s="2" t="str">
        <f>HYPERLINK("http://www.windermere.com/index.cfm?fuseaction=Listing.MapPropertyInteractive&amp;ListingID=19416193&amp;resize=true&amp;windowWidth=800&amp;windowHeight=600","Map")</f>
        <v>Map</v>
      </c>
      <c r="O492" s="2" t="str">
        <f>HYPERLINK("http://www.windermere.com/index.cfm?fuseaction=Listing.MultiImageViewer&amp;ListingID=19416193&amp;ln=28032356&amp;pub_mls=1","More")</f>
        <v>More</v>
      </c>
      <c r="AI492" t="s">
        <v>66</v>
      </c>
      <c r="AJ492">
        <v>98117</v>
      </c>
      <c r="AS492" t="s">
        <v>1438</v>
      </c>
      <c r="AT492">
        <v>19416193</v>
      </c>
      <c r="AU492" s="6">
        <v>39503</v>
      </c>
      <c r="BB492" t="s">
        <v>902</v>
      </c>
    </row>
    <row r="493" spans="1:58" hidden="1" x14ac:dyDescent="0.2">
      <c r="A493">
        <v>28034263</v>
      </c>
      <c r="B493" s="2" t="str">
        <f>HYPERLINK("http://www.windermere.com/index.cfm?fuseaction=Listing.ListingDetail&amp;ListingID=19449307","Active")</f>
        <v>Active</v>
      </c>
      <c r="D493" t="s">
        <v>55</v>
      </c>
      <c r="E493" t="s">
        <v>1439</v>
      </c>
      <c r="F493" s="9">
        <v>344950</v>
      </c>
      <c r="G493" t="s">
        <v>239</v>
      </c>
      <c r="H493" s="1">
        <v>1320</v>
      </c>
      <c r="J493">
        <v>2</v>
      </c>
      <c r="K493">
        <v>2.5</v>
      </c>
      <c r="M493" s="2" t="str">
        <f>HYPERLINK("http://www.windermere.com/index.cfm?fuseaction=Listing.MapPropertyInteractive&amp;ListingID=19449307&amp;resize=true&amp;windowWidth=800&amp;windowHeight=600","Map")</f>
        <v>Map</v>
      </c>
      <c r="P493" t="s">
        <v>44</v>
      </c>
      <c r="AI493" t="s">
        <v>66</v>
      </c>
      <c r="AJ493">
        <v>98133</v>
      </c>
      <c r="AS493" t="s">
        <v>1440</v>
      </c>
      <c r="AT493">
        <v>19449307</v>
      </c>
      <c r="AU493" s="6">
        <v>39505</v>
      </c>
      <c r="BB493" t="s">
        <v>902</v>
      </c>
    </row>
    <row r="494" spans="1:58" hidden="1" x14ac:dyDescent="0.2">
      <c r="A494">
        <v>28033800</v>
      </c>
      <c r="B494" s="2" t="str">
        <f>HYPERLINK("http://www.windermere.com/index.cfm?fuseaction=Listing.ListingDetail&amp;ListingID=19444295","Active")</f>
        <v>Active</v>
      </c>
      <c r="D494" t="s">
        <v>63</v>
      </c>
      <c r="E494" t="s">
        <v>357</v>
      </c>
      <c r="F494" s="9">
        <v>360000</v>
      </c>
      <c r="G494" t="s">
        <v>134</v>
      </c>
      <c r="H494">
        <v>980</v>
      </c>
      <c r="I494">
        <v>3200</v>
      </c>
      <c r="J494">
        <v>2</v>
      </c>
      <c r="K494">
        <v>1</v>
      </c>
      <c r="M494" s="2" t="str">
        <f>HYPERLINK("http://www.windermere.com/index.cfm?fuseaction=Listing.MapPropertyInteractive&amp;ListingID=19444295&amp;resize=true&amp;windowWidth=800&amp;windowHeight=600","Map")</f>
        <v>Map</v>
      </c>
      <c r="O494" s="2" t="str">
        <f>HYPERLINK("http://www.windermere.com/index.cfm?fuseaction=Listing.MultiImageViewer&amp;ListingID=19444295&amp;ln=28033800&amp;pub_mls=1","More")</f>
        <v>More</v>
      </c>
      <c r="AI494" t="s">
        <v>66</v>
      </c>
      <c r="AJ494">
        <v>98117</v>
      </c>
      <c r="AS494" t="s">
        <v>1441</v>
      </c>
      <c r="AT494">
        <v>19444295</v>
      </c>
      <c r="AU494" s="6">
        <v>39505</v>
      </c>
      <c r="BB494" t="s">
        <v>902</v>
      </c>
    </row>
    <row r="495" spans="1:58" x14ac:dyDescent="0.2">
      <c r="A495">
        <v>28033985</v>
      </c>
      <c r="B495" s="2" t="str">
        <f>HYPERLINK("http://www.windermere.com/index.cfm?fuseaction=Listing.ListingDetail&amp;ListingID=19447885","Active")</f>
        <v>Active</v>
      </c>
      <c r="D495" t="s">
        <v>63</v>
      </c>
      <c r="E495" t="s">
        <v>232</v>
      </c>
      <c r="F495" s="9">
        <v>375000</v>
      </c>
      <c r="G495" t="s">
        <v>124</v>
      </c>
      <c r="I495">
        <v>3000</v>
      </c>
      <c r="J495">
        <v>2</v>
      </c>
      <c r="K495">
        <v>1</v>
      </c>
      <c r="M495" s="2" t="str">
        <f>HYPERLINK("http://www.windermere.com/index.cfm?fuseaction=Listing.MapPropertyInteractive&amp;ListingID=19447885&amp;resize=true&amp;windowWidth=800&amp;windowHeight=600","Map")</f>
        <v>Map</v>
      </c>
      <c r="O495" s="2" t="str">
        <f>HYPERLINK("http://www.windermere.com/index.cfm?fuseaction=Listing.MultiImageViewer&amp;ListingID=19447885&amp;ln=28033985&amp;pub_mls=1","More")</f>
        <v>More</v>
      </c>
      <c r="AI495" t="s">
        <v>66</v>
      </c>
      <c r="AJ495">
        <v>98117</v>
      </c>
      <c r="AS495" t="s">
        <v>1442</v>
      </c>
      <c r="AT495">
        <v>19447885</v>
      </c>
      <c r="AU495" s="6">
        <v>39505</v>
      </c>
      <c r="BB495" t="s">
        <v>902</v>
      </c>
      <c r="BD495" t="s">
        <v>1556</v>
      </c>
      <c r="BE495" t="s">
        <v>1560</v>
      </c>
      <c r="BF495" s="6">
        <v>39508</v>
      </c>
    </row>
    <row r="496" spans="1:58" hidden="1" x14ac:dyDescent="0.2">
      <c r="A496">
        <v>28033526</v>
      </c>
      <c r="B496" s="2" t="str">
        <f>HYPERLINK("http://www.windermere.com/index.cfm?fuseaction=Listing.ListingDetail&amp;ListingID=19444687","Active")</f>
        <v>Active</v>
      </c>
      <c r="D496" t="s">
        <v>88</v>
      </c>
      <c r="E496" t="s">
        <v>1443</v>
      </c>
      <c r="F496" s="9">
        <v>379000</v>
      </c>
      <c r="G496" t="s">
        <v>135</v>
      </c>
      <c r="H496" s="1">
        <v>1010</v>
      </c>
      <c r="I496">
        <v>3800</v>
      </c>
      <c r="J496">
        <v>2</v>
      </c>
      <c r="K496">
        <v>1</v>
      </c>
      <c r="M496" s="2" t="str">
        <f>HYPERLINK("http://www.windermere.com/index.cfm?fuseaction=Listing.MapPropertyInteractive&amp;ListingID=19444687&amp;resize=true&amp;windowWidth=800&amp;windowHeight=600","Map")</f>
        <v>Map</v>
      </c>
      <c r="O496" s="2" t="str">
        <f>HYPERLINK("http://www.windermere.com/index.cfm?fuseaction=Listing.MultiImageViewer&amp;ListingID=19444687&amp;ln=28033526&amp;pub_mls=1","More")</f>
        <v>More</v>
      </c>
      <c r="P496" t="s">
        <v>44</v>
      </c>
      <c r="AI496" t="s">
        <v>66</v>
      </c>
      <c r="AJ496">
        <v>98107</v>
      </c>
      <c r="AS496" t="s">
        <v>1444</v>
      </c>
      <c r="AT496">
        <v>19444687</v>
      </c>
      <c r="AU496" s="6">
        <v>39505</v>
      </c>
      <c r="BB496" t="s">
        <v>902</v>
      </c>
    </row>
    <row r="497" spans="1:58" hidden="1" x14ac:dyDescent="0.2">
      <c r="A497">
        <v>28033639</v>
      </c>
      <c r="B497" s="2" t="str">
        <f>HYPERLINK("http://www.windermere.com/index.cfm?fuseaction=Listing.ListingDetail&amp;ListingID=19443392","Active")</f>
        <v>Active</v>
      </c>
      <c r="D497" t="s">
        <v>55</v>
      </c>
      <c r="E497" t="s">
        <v>1445</v>
      </c>
      <c r="F497" s="9">
        <v>379000</v>
      </c>
      <c r="G497" t="s">
        <v>1446</v>
      </c>
      <c r="H497" s="1">
        <v>1860</v>
      </c>
      <c r="I497">
        <v>3762</v>
      </c>
      <c r="J497">
        <v>4</v>
      </c>
      <c r="K497">
        <v>3</v>
      </c>
      <c r="M497" s="2" t="str">
        <f>HYPERLINK("http://www.windermere.com/index.cfm?fuseaction=Listing.MapPropertyInteractive&amp;ListingID=19443392&amp;resize=true&amp;windowWidth=800&amp;windowHeight=600","Map")</f>
        <v>Map</v>
      </c>
      <c r="O497" s="2" t="str">
        <f>HYPERLINK("http://www.windermere.com/index.cfm?fuseaction=Listing.MultiImageViewer&amp;ListingID=19443392&amp;ln=28033639&amp;pub_mls=1","More")</f>
        <v>More</v>
      </c>
      <c r="AI497" t="s">
        <v>66</v>
      </c>
      <c r="AJ497">
        <v>98133</v>
      </c>
      <c r="AS497" t="s">
        <v>1447</v>
      </c>
      <c r="AT497">
        <v>19443392</v>
      </c>
      <c r="AU497" s="6">
        <v>39505</v>
      </c>
      <c r="BB497" t="s">
        <v>902</v>
      </c>
    </row>
    <row r="498" spans="1:58" hidden="1" x14ac:dyDescent="0.2">
      <c r="A498">
        <v>28033169</v>
      </c>
      <c r="B498" s="2" t="str">
        <f>HYPERLINK("http://www.windermere.com/index.cfm?fuseaction=Listing.ListingDetail&amp;ListingID=19444689","Active")</f>
        <v>Active</v>
      </c>
      <c r="D498" t="s">
        <v>213</v>
      </c>
      <c r="E498" t="s">
        <v>1448</v>
      </c>
      <c r="F498" s="9">
        <v>399950</v>
      </c>
      <c r="G498" t="s">
        <v>132</v>
      </c>
      <c r="H498" s="1">
        <v>1630</v>
      </c>
      <c r="I498">
        <v>8146</v>
      </c>
      <c r="J498">
        <v>2</v>
      </c>
      <c r="K498">
        <v>1.5</v>
      </c>
      <c r="M498" s="2" t="str">
        <f>HYPERLINK("http://www.windermere.com/index.cfm?fuseaction=Listing.MapPropertyInteractive&amp;ListingID=19444689&amp;resize=true&amp;windowWidth=800&amp;windowHeight=600","Map")</f>
        <v>Map</v>
      </c>
      <c r="O498" s="2" t="str">
        <f>HYPERLINK("http://www.windermere.com/index.cfm?fuseaction=Listing.MultiImageViewer&amp;ListingID=19444689&amp;ln=28033169&amp;pub_mls=1","More")</f>
        <v>More</v>
      </c>
      <c r="P498" t="s">
        <v>44</v>
      </c>
      <c r="AI498" t="s">
        <v>66</v>
      </c>
      <c r="AJ498">
        <v>98125</v>
      </c>
      <c r="AS498" t="s">
        <v>1449</v>
      </c>
      <c r="AT498">
        <v>19444689</v>
      </c>
      <c r="AU498" s="6">
        <v>39505</v>
      </c>
      <c r="BB498" t="s">
        <v>902</v>
      </c>
    </row>
    <row r="499" spans="1:58" hidden="1" x14ac:dyDescent="0.2">
      <c r="A499">
        <v>28034506</v>
      </c>
      <c r="B499" s="2" t="str">
        <f>HYPERLINK("http://www.windermere.com/index.cfm?fuseaction=Listing.ListingDetail&amp;ListingID=19449958","Active")</f>
        <v>Active</v>
      </c>
      <c r="D499" t="s">
        <v>218</v>
      </c>
      <c r="E499" t="s">
        <v>1450</v>
      </c>
      <c r="F499" s="9">
        <v>400000</v>
      </c>
      <c r="G499" t="s">
        <v>132</v>
      </c>
      <c r="I499">
        <v>4156</v>
      </c>
      <c r="J499">
        <v>3</v>
      </c>
      <c r="K499">
        <v>1</v>
      </c>
      <c r="M499" s="2" t="str">
        <f>HYPERLINK("http://www.windermere.com/index.cfm?fuseaction=Listing.MapPropertyInteractive&amp;ListingID=19449958&amp;resize=true&amp;windowWidth=800&amp;windowHeight=600","Map")</f>
        <v>Map</v>
      </c>
      <c r="O499" s="2" t="str">
        <f>HYPERLINK("http://www.windermere.com/index.cfm?fuseaction=Listing.MultiImageViewer&amp;ListingID=19449958&amp;ln=28034506&amp;pub_mls=1","More")</f>
        <v>More</v>
      </c>
      <c r="AI499" t="s">
        <v>66</v>
      </c>
      <c r="AJ499">
        <v>98115</v>
      </c>
      <c r="AS499" t="s">
        <v>1451</v>
      </c>
      <c r="AT499">
        <v>19449958</v>
      </c>
      <c r="AU499" s="6">
        <v>39505</v>
      </c>
      <c r="BB499" t="s">
        <v>902</v>
      </c>
    </row>
    <row r="500" spans="1:58" x14ac:dyDescent="0.2">
      <c r="A500">
        <v>28031818</v>
      </c>
      <c r="B500" s="2" t="str">
        <f>HYPERLINK("http://www.windermere.com/index.cfm?fuseaction=Listing.ListingDetail&amp;ListingID=19439266","Active")</f>
        <v>Active</v>
      </c>
      <c r="D500" t="s">
        <v>63</v>
      </c>
      <c r="E500" t="s">
        <v>1452</v>
      </c>
      <c r="F500" s="9">
        <v>400000</v>
      </c>
      <c r="G500" t="s">
        <v>181</v>
      </c>
      <c r="H500" s="1">
        <v>1809</v>
      </c>
      <c r="I500">
        <v>3915</v>
      </c>
      <c r="J500">
        <v>3</v>
      </c>
      <c r="K500">
        <v>2</v>
      </c>
      <c r="M500" s="2" t="str">
        <f>HYPERLINK("http://www.windermere.com/index.cfm?fuseaction=Listing.MapPropertyInteractive&amp;ListingID=19439266&amp;resize=true&amp;windowWidth=800&amp;windowHeight=600","Map")</f>
        <v>Map</v>
      </c>
      <c r="O500" s="2" t="str">
        <f>HYPERLINK("http://www.windermere.com/index.cfm?fuseaction=Listing.MultiImageViewer&amp;ListingID=19439266&amp;ln=28031818&amp;pub_mls=1","More")</f>
        <v>More</v>
      </c>
      <c r="P500" t="s">
        <v>44</v>
      </c>
      <c r="AI500" t="s">
        <v>66</v>
      </c>
      <c r="AJ500">
        <v>98107</v>
      </c>
      <c r="AS500" t="s">
        <v>1453</v>
      </c>
      <c r="AT500">
        <v>19439266</v>
      </c>
      <c r="AU500" s="6">
        <v>39505</v>
      </c>
      <c r="BB500" t="s">
        <v>902</v>
      </c>
      <c r="BD500" t="s">
        <v>1556</v>
      </c>
      <c r="BE500" t="s">
        <v>1557</v>
      </c>
      <c r="BF500" s="6">
        <v>39508</v>
      </c>
    </row>
    <row r="501" spans="1:58" hidden="1" x14ac:dyDescent="0.2">
      <c r="A501">
        <v>28032668</v>
      </c>
      <c r="B501" s="2" t="str">
        <f>HYPERLINK("http://www.windermere.com/index.cfm?fuseaction=Listing.ListingDetail&amp;ListingID=19445556","Active")</f>
        <v>Active</v>
      </c>
      <c r="D501" t="s">
        <v>63</v>
      </c>
      <c r="E501" t="s">
        <v>1454</v>
      </c>
      <c r="F501" s="9">
        <v>425000</v>
      </c>
      <c r="G501" t="s">
        <v>172</v>
      </c>
      <c r="H501" s="1">
        <v>1590</v>
      </c>
      <c r="I501">
        <v>7000</v>
      </c>
      <c r="J501">
        <v>2</v>
      </c>
      <c r="K501">
        <v>1</v>
      </c>
      <c r="M501" s="2" t="str">
        <f>HYPERLINK("http://www.windermere.com/index.cfm?fuseaction=Listing.MapPropertyInteractive&amp;ListingID=19445556&amp;resize=true&amp;windowWidth=800&amp;windowHeight=600","Map")</f>
        <v>Map</v>
      </c>
      <c r="O501" s="2" t="str">
        <f>HYPERLINK("http://www.windermere.com/index.cfm?fuseaction=viewGallery.Home&amp;customTourID=208682&amp;wvt=0","More")</f>
        <v>More</v>
      </c>
      <c r="P501" t="s">
        <v>44</v>
      </c>
      <c r="AI501" t="s">
        <v>66</v>
      </c>
      <c r="AJ501">
        <v>98107</v>
      </c>
      <c r="AS501" t="s">
        <v>1455</v>
      </c>
      <c r="AT501">
        <v>19445556</v>
      </c>
      <c r="AU501" s="6">
        <v>39505</v>
      </c>
      <c r="BB501" t="s">
        <v>902</v>
      </c>
    </row>
    <row r="502" spans="1:58" x14ac:dyDescent="0.2">
      <c r="A502">
        <v>28033328</v>
      </c>
      <c r="B502" s="2" t="str">
        <f>HYPERLINK("http://www.windermere.com/index.cfm?fuseaction=Listing.ListingDetail&amp;ListingID=19441098","Active")</f>
        <v>Active</v>
      </c>
      <c r="D502" t="s">
        <v>63</v>
      </c>
      <c r="E502" t="s">
        <v>1456</v>
      </c>
      <c r="F502" s="9">
        <v>439000</v>
      </c>
      <c r="G502" t="s">
        <v>172</v>
      </c>
      <c r="H502" s="1">
        <v>1480</v>
      </c>
      <c r="I502">
        <v>5000</v>
      </c>
      <c r="J502">
        <v>2</v>
      </c>
      <c r="K502">
        <v>1</v>
      </c>
      <c r="M502" s="2" t="str">
        <f>HYPERLINK("http://www.windermere.com/index.cfm?fuseaction=Listing.MapPropertyInteractive&amp;ListingID=19441098&amp;resize=true&amp;windowWidth=800&amp;windowHeight=600","Map")</f>
        <v>Map</v>
      </c>
      <c r="O502" s="2" t="str">
        <f>HYPERLINK("http://www.windermere.com/index.cfm?fuseaction=viewGallery.Home&amp;customTourID=208733&amp;wvt=0","More")</f>
        <v>More</v>
      </c>
      <c r="AI502" t="s">
        <v>66</v>
      </c>
      <c r="AJ502">
        <v>98107</v>
      </c>
      <c r="AS502" t="s">
        <v>1457</v>
      </c>
      <c r="AT502">
        <v>19441098</v>
      </c>
      <c r="AU502" s="6">
        <v>39505</v>
      </c>
      <c r="BB502" t="s">
        <v>902</v>
      </c>
      <c r="BD502" t="s">
        <v>1553</v>
      </c>
      <c r="BE502" t="s">
        <v>1555</v>
      </c>
      <c r="BF502" s="6">
        <v>39508</v>
      </c>
    </row>
    <row r="503" spans="1:58" hidden="1" x14ac:dyDescent="0.2">
      <c r="A503">
        <v>28033433</v>
      </c>
      <c r="B503" s="2" t="str">
        <f>HYPERLINK("http://www.windermere.com/index.cfm?fuseaction=Listing.ListingDetail&amp;ListingID=19444419","Active")</f>
        <v>Active</v>
      </c>
      <c r="D503" t="s">
        <v>192</v>
      </c>
      <c r="E503" t="s">
        <v>1458</v>
      </c>
      <c r="F503" s="9">
        <v>445000</v>
      </c>
      <c r="G503" t="s">
        <v>161</v>
      </c>
      <c r="H503" s="1">
        <v>2240</v>
      </c>
      <c r="I503">
        <v>5400</v>
      </c>
      <c r="J503">
        <v>3</v>
      </c>
      <c r="K503">
        <v>1</v>
      </c>
      <c r="M503" s="2" t="str">
        <f>HYPERLINK("http://www.windermere.com/index.cfm?fuseaction=Listing.MapPropertyInteractive&amp;ListingID=19444419&amp;resize=true&amp;windowWidth=800&amp;windowHeight=600","Map")</f>
        <v>Map</v>
      </c>
      <c r="O503" s="2" t="str">
        <f>HYPERLINK("http://www.windermere.com/index.cfm?fuseaction=viewGallery.Home&amp;customTourID=208760&amp;wvt=0","More")</f>
        <v>More</v>
      </c>
      <c r="P503" t="s">
        <v>44</v>
      </c>
      <c r="AI503" t="s">
        <v>66</v>
      </c>
      <c r="AJ503">
        <v>98115</v>
      </c>
      <c r="AS503" t="s">
        <v>1459</v>
      </c>
      <c r="AT503">
        <v>19444419</v>
      </c>
      <c r="AU503" s="6">
        <v>39505</v>
      </c>
      <c r="BB503" t="s">
        <v>902</v>
      </c>
    </row>
    <row r="504" spans="1:58" hidden="1" x14ac:dyDescent="0.2">
      <c r="A504">
        <v>28033698</v>
      </c>
      <c r="B504" s="2" t="str">
        <f>HYPERLINK("http://www.windermere.com/index.cfm?fuseaction=Listing.ListingDetail&amp;ListingID=19444422","Active")</f>
        <v>Active</v>
      </c>
      <c r="D504" t="s">
        <v>207</v>
      </c>
      <c r="E504" t="s">
        <v>1460</v>
      </c>
      <c r="F504" s="9">
        <v>450000</v>
      </c>
      <c r="G504" t="s">
        <v>227</v>
      </c>
      <c r="H504" s="1">
        <v>2200</v>
      </c>
      <c r="I504">
        <v>5000</v>
      </c>
      <c r="J504">
        <v>3</v>
      </c>
      <c r="K504">
        <v>1</v>
      </c>
      <c r="M504" s="2" t="str">
        <f>HYPERLINK("http://www.windermere.com/index.cfm?fuseaction=Listing.MapPropertyInteractive&amp;ListingID=19444422&amp;resize=true&amp;windowWidth=800&amp;windowHeight=600","Map")</f>
        <v>Map</v>
      </c>
      <c r="O504" s="2" t="str">
        <f>HYPERLINK("http://www.windermere.com/index.cfm?fuseaction=Listing.MultiImageViewer&amp;ListingID=19444422&amp;ln=28033698&amp;pub_mls=1","More")</f>
        <v>More</v>
      </c>
      <c r="P504" t="s">
        <v>44</v>
      </c>
      <c r="AI504" t="s">
        <v>66</v>
      </c>
      <c r="AJ504">
        <v>98105</v>
      </c>
      <c r="AS504" t="s">
        <v>1461</v>
      </c>
      <c r="AT504">
        <v>19444422</v>
      </c>
      <c r="AU504" s="6">
        <v>39505</v>
      </c>
      <c r="BB504" t="s">
        <v>902</v>
      </c>
    </row>
    <row r="505" spans="1:58" hidden="1" x14ac:dyDescent="0.2">
      <c r="A505">
        <v>28032421</v>
      </c>
      <c r="B505" s="2" t="str">
        <f>HYPERLINK("http://www.windermere.com/index.cfm?fuseaction=Listing.ListingDetail&amp;ListingID=19439314","Active")</f>
        <v>Active</v>
      </c>
      <c r="D505" t="s">
        <v>192</v>
      </c>
      <c r="E505" t="s">
        <v>1462</v>
      </c>
      <c r="F505" s="9">
        <v>475000</v>
      </c>
      <c r="G505" t="s">
        <v>1068</v>
      </c>
      <c r="H505" s="1">
        <v>1610</v>
      </c>
      <c r="I505">
        <v>2550</v>
      </c>
      <c r="J505">
        <v>3</v>
      </c>
      <c r="K505">
        <v>1.75</v>
      </c>
      <c r="M505" s="2" t="str">
        <f>HYPERLINK("http://www.windermere.com/index.cfm?fuseaction=Listing.MapPropertyInteractive&amp;ListingID=19439314&amp;resize=true&amp;windowWidth=800&amp;windowHeight=600","Map")</f>
        <v>Map</v>
      </c>
      <c r="O505" s="2" t="str">
        <f>HYPERLINK("http://www.windermere.com/index.cfm?fuseaction=Listing.MultiImageViewer&amp;ListingID=19439314&amp;ln=28032421&amp;pub_mls=1","More")</f>
        <v>More</v>
      </c>
      <c r="P505" t="s">
        <v>44</v>
      </c>
      <c r="AI505" t="s">
        <v>66</v>
      </c>
      <c r="AJ505">
        <v>98115</v>
      </c>
      <c r="AS505" t="s">
        <v>1463</v>
      </c>
      <c r="AT505">
        <v>19439314</v>
      </c>
      <c r="AU505" s="6">
        <v>39505</v>
      </c>
      <c r="BB505" t="s">
        <v>902</v>
      </c>
    </row>
    <row r="506" spans="1:58" hidden="1" x14ac:dyDescent="0.2">
      <c r="A506">
        <v>28032145</v>
      </c>
      <c r="B506" s="2" t="str">
        <f>HYPERLINK("http://www.windermere.com/index.cfm?fuseaction=Listing.ListingDetail&amp;ListingID=19443385","Active")</f>
        <v>Active</v>
      </c>
      <c r="D506" t="s">
        <v>55</v>
      </c>
      <c r="E506" t="s">
        <v>1464</v>
      </c>
      <c r="F506" s="9">
        <v>475000</v>
      </c>
      <c r="G506" t="s">
        <v>384</v>
      </c>
      <c r="H506" s="1">
        <v>1640</v>
      </c>
      <c r="I506">
        <v>3790</v>
      </c>
      <c r="J506">
        <v>3</v>
      </c>
      <c r="K506">
        <v>1</v>
      </c>
      <c r="M506" s="2" t="str">
        <f>HYPERLINK("http://www.windermere.com/index.cfm?fuseaction=Listing.MapPropertyInteractive&amp;ListingID=19443385&amp;resize=true&amp;windowWidth=800&amp;windowHeight=600","Map")</f>
        <v>Map</v>
      </c>
      <c r="O506" s="2" t="str">
        <f>HYPERLINK("http://www.windermere.com/index.cfm?fuseaction=Listing.MultiImageViewer&amp;ListingID=19443385&amp;ln=28032145&amp;pub_mls=1","More")</f>
        <v>More</v>
      </c>
      <c r="P506" t="s">
        <v>44</v>
      </c>
      <c r="AI506" t="s">
        <v>66</v>
      </c>
      <c r="AJ506">
        <v>98103</v>
      </c>
      <c r="AS506" t="s">
        <v>1465</v>
      </c>
      <c r="AT506">
        <v>19443385</v>
      </c>
      <c r="AU506" s="6">
        <v>39505</v>
      </c>
      <c r="BB506" t="s">
        <v>902</v>
      </c>
    </row>
    <row r="507" spans="1:58" hidden="1" x14ac:dyDescent="0.2">
      <c r="A507">
        <v>28033762</v>
      </c>
      <c r="B507" s="2" t="str">
        <f>HYPERLINK("http://www.windermere.com/index.cfm?fuseaction=Listing.ListingDetail&amp;ListingID=19444303","Active")</f>
        <v>Active</v>
      </c>
      <c r="D507" t="s">
        <v>99</v>
      </c>
      <c r="E507" t="s">
        <v>261</v>
      </c>
      <c r="F507" s="9">
        <v>489500</v>
      </c>
      <c r="G507" t="s">
        <v>138</v>
      </c>
      <c r="H507" s="1">
        <v>1980</v>
      </c>
      <c r="I507">
        <v>8538</v>
      </c>
      <c r="J507">
        <v>3</v>
      </c>
      <c r="K507">
        <v>2</v>
      </c>
      <c r="M507" s="2" t="str">
        <f>HYPERLINK("http://www.windermere.com/index.cfm?fuseaction=Listing.MapPropertyInteractive&amp;ListingID=19444303&amp;resize=true&amp;windowWidth=800&amp;windowHeight=600","Map")</f>
        <v>Map</v>
      </c>
      <c r="O507" s="2" t="str">
        <f>HYPERLINK("http://www.windermere.com/index.cfm?fuseaction=Listing.MultiImageViewer&amp;ListingID=19444303&amp;ln=28033762&amp;pub_mls=1","More")</f>
        <v>More</v>
      </c>
      <c r="P507" t="s">
        <v>44</v>
      </c>
      <c r="AI507" t="s">
        <v>66</v>
      </c>
      <c r="AJ507">
        <v>98117</v>
      </c>
      <c r="AS507" t="s">
        <v>1466</v>
      </c>
      <c r="AT507">
        <v>19444303</v>
      </c>
      <c r="AU507" s="6">
        <v>39505</v>
      </c>
      <c r="BB507" t="s">
        <v>902</v>
      </c>
    </row>
    <row r="508" spans="1:58" hidden="1" x14ac:dyDescent="0.2">
      <c r="A508">
        <v>28033947</v>
      </c>
      <c r="B508" s="2" t="str">
        <f>HYPERLINK("http://www.windermere.com/index.cfm?fuseaction=Listing.ListingDetail&amp;ListingID=19447251","Active")</f>
        <v>Active</v>
      </c>
      <c r="D508" t="s">
        <v>60</v>
      </c>
      <c r="E508" t="s">
        <v>1467</v>
      </c>
      <c r="F508" s="9">
        <v>499950</v>
      </c>
      <c r="G508" t="s">
        <v>135</v>
      </c>
      <c r="H508" s="1">
        <v>1540</v>
      </c>
      <c r="I508">
        <v>4284</v>
      </c>
      <c r="J508">
        <v>3</v>
      </c>
      <c r="K508">
        <v>1.75</v>
      </c>
      <c r="M508" s="2" t="str">
        <f>HYPERLINK("http://www.windermere.com/index.cfm?fuseaction=Listing.MapPropertyInteractive&amp;ListingID=19447251&amp;resize=true&amp;windowWidth=800&amp;windowHeight=600","Map")</f>
        <v>Map</v>
      </c>
      <c r="O508" s="2" t="str">
        <f>HYPERLINK("http://www.windermere.com/index.cfm?fuseaction=Listing.MultiImageViewer&amp;ListingID=19447251&amp;ln=28033947&amp;pub_mls=1","More")</f>
        <v>More</v>
      </c>
      <c r="AI508" t="s">
        <v>66</v>
      </c>
      <c r="AJ508">
        <v>98105</v>
      </c>
      <c r="AS508" t="s">
        <v>1468</v>
      </c>
      <c r="AT508">
        <v>19447251</v>
      </c>
      <c r="AU508" s="6">
        <v>39505</v>
      </c>
      <c r="BB508" t="s">
        <v>902</v>
      </c>
    </row>
    <row r="509" spans="1:58" hidden="1" x14ac:dyDescent="0.2">
      <c r="A509">
        <v>27202179</v>
      </c>
      <c r="B509" s="2" t="str">
        <f>HYPERLINK("http://www.windermere.com/index.cfm?fuseaction=Listing.ListingDetail&amp;ListingID=18991194","Active")</f>
        <v>Active</v>
      </c>
      <c r="D509" t="s">
        <v>55</v>
      </c>
      <c r="E509" t="s">
        <v>1469</v>
      </c>
      <c r="F509" s="9">
        <v>499950</v>
      </c>
      <c r="G509" t="s">
        <v>147</v>
      </c>
      <c r="H509" s="1">
        <v>1840</v>
      </c>
      <c r="I509">
        <v>4340</v>
      </c>
      <c r="J509">
        <v>4</v>
      </c>
      <c r="K509">
        <v>2.5</v>
      </c>
      <c r="M509" s="2" t="str">
        <f>HYPERLINK("http://www.windermere.com/index.cfm?fuseaction=Listing.MapPropertyInteractive&amp;ListingID=18991194&amp;resize=true&amp;windowWidth=800&amp;windowHeight=600","Map")</f>
        <v>Map</v>
      </c>
      <c r="O509" s="2" t="str">
        <f>HYPERLINK("http://www.windermere.com/index.cfm?fuseaction=Listing.MultiImageViewer&amp;ListingID=18991194&amp;ln=27202179&amp;pub_mls=1","More")</f>
        <v>More</v>
      </c>
      <c r="AI509" t="s">
        <v>66</v>
      </c>
      <c r="AJ509">
        <v>98133</v>
      </c>
      <c r="AS509" t="s">
        <v>1470</v>
      </c>
      <c r="AT509">
        <v>18991194</v>
      </c>
      <c r="AU509" s="6">
        <v>39505</v>
      </c>
      <c r="BB509" t="s">
        <v>902</v>
      </c>
    </row>
    <row r="510" spans="1:58" hidden="1" x14ac:dyDescent="0.2">
      <c r="A510">
        <v>28033954</v>
      </c>
      <c r="B510" s="2" t="str">
        <f>HYPERLINK("http://www.windermere.com/index.cfm?fuseaction=Listing.ListingDetail&amp;ListingID=19447573","Active")</f>
        <v>Active</v>
      </c>
      <c r="D510" t="s">
        <v>63</v>
      </c>
      <c r="E510" t="s">
        <v>1471</v>
      </c>
      <c r="F510" s="9">
        <v>549950</v>
      </c>
      <c r="G510" t="s">
        <v>142</v>
      </c>
      <c r="H510" s="1">
        <v>2260</v>
      </c>
      <c r="I510">
        <v>3638</v>
      </c>
      <c r="J510">
        <v>3</v>
      </c>
      <c r="K510">
        <v>1.75</v>
      </c>
      <c r="M510" s="2" t="str">
        <f>HYPERLINK("http://www.windermere.com/index.cfm?fuseaction=Listing.MapPropertyInteractive&amp;ListingID=19447573&amp;resize=true&amp;windowWidth=800&amp;windowHeight=600","Map")</f>
        <v>Map</v>
      </c>
      <c r="AI510" t="s">
        <v>66</v>
      </c>
      <c r="AJ510">
        <v>98117</v>
      </c>
      <c r="AS510" t="s">
        <v>1472</v>
      </c>
      <c r="AT510">
        <v>19447573</v>
      </c>
      <c r="AU510" s="6">
        <v>39505</v>
      </c>
      <c r="BB510" t="s">
        <v>902</v>
      </c>
    </row>
    <row r="511" spans="1:58" hidden="1" x14ac:dyDescent="0.2">
      <c r="A511">
        <v>28033971</v>
      </c>
      <c r="B511" s="2" t="str">
        <f>HYPERLINK("http://www.windermere.com/index.cfm?fuseaction=Listing.ListingDetail&amp;ListingID=19448225","Active")</f>
        <v>Active</v>
      </c>
      <c r="D511" t="s">
        <v>88</v>
      </c>
      <c r="E511" t="s">
        <v>1192</v>
      </c>
      <c r="F511" s="9">
        <v>698500</v>
      </c>
      <c r="G511" t="s">
        <v>151</v>
      </c>
      <c r="H511" s="1">
        <v>2760</v>
      </c>
      <c r="I511">
        <v>4500</v>
      </c>
      <c r="J511">
        <v>2</v>
      </c>
      <c r="K511">
        <v>1.75</v>
      </c>
      <c r="M511" s="2" t="str">
        <f>HYPERLINK("http://www.windermere.com/index.cfm?fuseaction=Listing.MapPropertyInteractive&amp;ListingID=19448225&amp;resize=true&amp;windowWidth=800&amp;windowHeight=600","Map")</f>
        <v>Map</v>
      </c>
      <c r="O511" s="2" t="str">
        <f>HYPERLINK("http://www.windermere.com/index.cfm?fuseaction=viewGallery.Home&amp;customTourID=197820&amp;wvt=0","More")</f>
        <v>More</v>
      </c>
      <c r="P511" t="s">
        <v>44</v>
      </c>
      <c r="AI511" t="s">
        <v>66</v>
      </c>
      <c r="AJ511">
        <v>98117</v>
      </c>
      <c r="AS511" t="s">
        <v>1473</v>
      </c>
      <c r="AT511">
        <v>19448225</v>
      </c>
      <c r="AU511" s="6">
        <v>39505</v>
      </c>
      <c r="BB511" t="s">
        <v>902</v>
      </c>
    </row>
    <row r="512" spans="1:58" hidden="1" x14ac:dyDescent="0.2">
      <c r="A512">
        <v>28032011</v>
      </c>
      <c r="B512" s="2" t="str">
        <f>HYPERLINK("http://www.windermere.com/index.cfm?fuseaction=Listing.ListingDetail&amp;ListingID=19445431","Active")</f>
        <v>Active</v>
      </c>
      <c r="D512" t="s">
        <v>63</v>
      </c>
      <c r="E512" t="s">
        <v>1474</v>
      </c>
      <c r="F512" s="9">
        <v>725000</v>
      </c>
      <c r="G512" t="s">
        <v>613</v>
      </c>
      <c r="I512">
        <v>5300</v>
      </c>
      <c r="J512">
        <v>4</v>
      </c>
      <c r="K512">
        <v>2</v>
      </c>
      <c r="M512" s="2" t="str">
        <f>HYPERLINK("http://www.windermere.com/index.cfm?fuseaction=Listing.MapPropertyInteractive&amp;ListingID=19445431&amp;resize=true&amp;windowWidth=800&amp;windowHeight=600","Map")</f>
        <v>Map</v>
      </c>
      <c r="O512" s="2" t="str">
        <f>HYPERLINK("http://www.windermere.com/index.cfm?fuseaction=viewGallery.Home&amp;customTourID=209263&amp;wvt=0","More")</f>
        <v>More</v>
      </c>
      <c r="P512" t="s">
        <v>44</v>
      </c>
      <c r="AI512" t="s">
        <v>66</v>
      </c>
      <c r="AJ512">
        <v>98117</v>
      </c>
      <c r="AS512" t="s">
        <v>1475</v>
      </c>
      <c r="AT512">
        <v>19445431</v>
      </c>
      <c r="AU512" s="6">
        <v>39505</v>
      </c>
      <c r="BB512" t="s">
        <v>902</v>
      </c>
    </row>
    <row r="513" spans="1:54" hidden="1" x14ac:dyDescent="0.2">
      <c r="A513">
        <v>28033385</v>
      </c>
      <c r="B513" s="2" t="str">
        <f>HYPERLINK("http://www.windermere.com/index.cfm?fuseaction=Listing.ListingDetail&amp;ListingID=19441832","Active")</f>
        <v>Active</v>
      </c>
      <c r="D513" t="s">
        <v>101</v>
      </c>
      <c r="E513" t="s">
        <v>1222</v>
      </c>
      <c r="F513" s="9">
        <v>949000</v>
      </c>
      <c r="G513" t="s">
        <v>171</v>
      </c>
      <c r="H513" s="1">
        <v>3900</v>
      </c>
      <c r="I513">
        <v>12635</v>
      </c>
      <c r="J513">
        <v>4</v>
      </c>
      <c r="K513">
        <v>3</v>
      </c>
      <c r="M513" s="2" t="str">
        <f>HYPERLINK("http://www.windermere.com/index.cfm?fuseaction=Listing.MapPropertyInteractive&amp;ListingID=19441832&amp;resize=true&amp;windowWidth=800&amp;windowHeight=600","Map")</f>
        <v>Map</v>
      </c>
      <c r="O513" s="2" t="str">
        <f>HYPERLINK("http://www.windermere.com/index.cfm?fuseaction=Listing.MultiImageViewer&amp;ListingID=19441832&amp;ln=28033385&amp;pub_mls=1","More")</f>
        <v>More</v>
      </c>
      <c r="P513" t="s">
        <v>44</v>
      </c>
      <c r="AI513" t="s">
        <v>66</v>
      </c>
      <c r="AJ513">
        <v>98117</v>
      </c>
      <c r="AS513" t="s">
        <v>1476</v>
      </c>
      <c r="AT513">
        <v>19441832</v>
      </c>
      <c r="AU513" s="6">
        <v>39505</v>
      </c>
      <c r="BB513" t="s">
        <v>902</v>
      </c>
    </row>
    <row r="514" spans="1:54" hidden="1" x14ac:dyDescent="0.2">
      <c r="A514">
        <v>28034656</v>
      </c>
      <c r="B514" s="2" t="str">
        <f>HYPERLINK("http://www.windermere.com/index.cfm?fuseaction=Listing.ListingDetail&amp;ListingID=19453125","Active")</f>
        <v>Active</v>
      </c>
      <c r="D514" t="s">
        <v>42</v>
      </c>
      <c r="E514" t="s">
        <v>1477</v>
      </c>
      <c r="F514" s="9">
        <v>375000</v>
      </c>
      <c r="G514" t="s">
        <v>168</v>
      </c>
      <c r="H514" s="1">
        <v>1150</v>
      </c>
      <c r="I514">
        <v>6000</v>
      </c>
      <c r="J514">
        <v>3</v>
      </c>
      <c r="K514">
        <v>1</v>
      </c>
      <c r="M514" s="2" t="str">
        <f>HYPERLINK("http://www.windermere.com/index.cfm?fuseaction=Listing.MapPropertyInteractive&amp;ListingID=19453125&amp;resize=true&amp;windowWidth=800&amp;windowHeight=600","Map")</f>
        <v>Map</v>
      </c>
      <c r="O514" s="2" t="str">
        <f>HYPERLINK("http://www.windermere.com/index.cfm?fuseaction=Listing.MultiImageViewer&amp;ListingID=19453125&amp;ln=28034656&amp;pub_mls=1","More")</f>
        <v>More</v>
      </c>
      <c r="P514" t="s">
        <v>44</v>
      </c>
      <c r="AI514" t="s">
        <v>66</v>
      </c>
      <c r="AJ514">
        <v>98133</v>
      </c>
      <c r="AS514" t="s">
        <v>1478</v>
      </c>
      <c r="AT514">
        <v>19453125</v>
      </c>
      <c r="AU514" s="6">
        <v>39506</v>
      </c>
      <c r="BB514" t="s">
        <v>902</v>
      </c>
    </row>
    <row r="515" spans="1:54" hidden="1" x14ac:dyDescent="0.2">
      <c r="A515">
        <v>28030887</v>
      </c>
      <c r="B515" s="2" t="str">
        <f>HYPERLINK("http://www.windermere.com/index.cfm?fuseaction=Listing.ListingDetail&amp;ListingID=19451207","Active")</f>
        <v>Active</v>
      </c>
      <c r="D515" t="s">
        <v>99</v>
      </c>
      <c r="E515" t="s">
        <v>1480</v>
      </c>
      <c r="F515" s="9">
        <v>412000</v>
      </c>
      <c r="G515" t="s">
        <v>144</v>
      </c>
      <c r="H515" s="1">
        <v>1510</v>
      </c>
      <c r="I515">
        <v>4960</v>
      </c>
      <c r="J515">
        <v>3</v>
      </c>
      <c r="K515">
        <v>1.75</v>
      </c>
      <c r="M515" s="2" t="str">
        <f>HYPERLINK("http://www.windermere.com/index.cfm?fuseaction=Listing.MapPropertyInteractive&amp;ListingID=19451207&amp;resize=true&amp;windowWidth=800&amp;windowHeight=600","Map")</f>
        <v>Map</v>
      </c>
      <c r="O515" s="2" t="str">
        <f>HYPERLINK("http://www.windermere.com/index.cfm?fuseaction=Listing.MultiImageViewer&amp;ListingID=19451207&amp;ln=28030887&amp;pub_mls=1","More")</f>
        <v>More</v>
      </c>
      <c r="P515" t="s">
        <v>44</v>
      </c>
      <c r="AI515" t="s">
        <v>66</v>
      </c>
      <c r="AJ515">
        <v>98117</v>
      </c>
      <c r="AS515" t="s">
        <v>1481</v>
      </c>
      <c r="AT515">
        <v>19451207</v>
      </c>
      <c r="AU515" s="6">
        <v>39506</v>
      </c>
      <c r="BB515" t="s">
        <v>902</v>
      </c>
    </row>
    <row r="516" spans="1:54" hidden="1" x14ac:dyDescent="0.2">
      <c r="A516">
        <v>28034241</v>
      </c>
      <c r="B516" s="2" t="str">
        <f>HYPERLINK("http://www.windermere.com/index.cfm?fuseaction=Listing.ListingDetail&amp;ListingID=19452854","Active")</f>
        <v>Active</v>
      </c>
      <c r="D516" t="s">
        <v>60</v>
      </c>
      <c r="E516" t="s">
        <v>1482</v>
      </c>
      <c r="F516" s="9">
        <v>463500</v>
      </c>
      <c r="G516" t="s">
        <v>159</v>
      </c>
      <c r="H516" s="1">
        <v>1420</v>
      </c>
      <c r="I516">
        <v>3000</v>
      </c>
      <c r="J516">
        <v>2</v>
      </c>
      <c r="K516">
        <v>1</v>
      </c>
      <c r="M516" s="2" t="str">
        <f>HYPERLINK("http://www.windermere.com/index.cfm?fuseaction=Listing.MapPropertyInteractive&amp;ListingID=19452854&amp;resize=true&amp;windowWidth=800&amp;windowHeight=600","Map")</f>
        <v>Map</v>
      </c>
      <c r="O516" s="2" t="str">
        <f>HYPERLINK("http://www.windermere.com/index.cfm?fuseaction=Listing.MultiImageViewer&amp;ListingID=19452854&amp;ln=28034241&amp;pub_mls=1","More")</f>
        <v>More</v>
      </c>
      <c r="AI516" t="s">
        <v>66</v>
      </c>
      <c r="AJ516">
        <v>98103</v>
      </c>
      <c r="AS516" t="s">
        <v>1483</v>
      </c>
      <c r="AT516">
        <v>19452854</v>
      </c>
      <c r="AU516" s="6">
        <v>39506</v>
      </c>
      <c r="BB516" t="s">
        <v>902</v>
      </c>
    </row>
    <row r="517" spans="1:54" hidden="1" x14ac:dyDescent="0.2">
      <c r="A517">
        <v>28035261</v>
      </c>
      <c r="B517" s="2" t="str">
        <f>HYPERLINK("http://www.windermere.com/index.cfm?fuseaction=Listing.ListingDetail&amp;ListingID=19456959","Active")</f>
        <v>Active</v>
      </c>
      <c r="D517" s="3" t="s">
        <v>207</v>
      </c>
      <c r="E517" t="s">
        <v>1484</v>
      </c>
      <c r="F517" s="9">
        <v>474800</v>
      </c>
      <c r="G517" t="s">
        <v>180</v>
      </c>
      <c r="H517" s="1">
        <v>2020</v>
      </c>
      <c r="I517">
        <v>3600</v>
      </c>
      <c r="J517">
        <v>2</v>
      </c>
      <c r="K517">
        <v>1</v>
      </c>
      <c r="M517" s="2" t="str">
        <f>HYPERLINK("http://www.windermere.com/index.cfm?fuseaction=Listing.MapPropertyInteractive&amp;ListingID=19456959&amp;resize=true&amp;windowWidth=800&amp;windowHeight=600","Map")</f>
        <v>Map</v>
      </c>
      <c r="O517" s="2" t="str">
        <f>HYPERLINK("http://www.windermere.com/index.cfm?fuseaction=Listing.MultiImageViewer&amp;ListingID=19456959&amp;ln=28035261&amp;pub_mls=1","More")</f>
        <v>More</v>
      </c>
      <c r="P517" t="s">
        <v>44</v>
      </c>
      <c r="AI517" t="s">
        <v>66</v>
      </c>
      <c r="AJ517">
        <v>98105</v>
      </c>
      <c r="AS517" t="s">
        <v>1485</v>
      </c>
      <c r="AT517">
        <v>19456959</v>
      </c>
      <c r="AU517" s="6">
        <v>39506</v>
      </c>
      <c r="BB517" t="s">
        <v>902</v>
      </c>
    </row>
    <row r="518" spans="1:54" hidden="1" x14ac:dyDescent="0.2">
      <c r="A518">
        <v>28034689</v>
      </c>
      <c r="B518" s="2" t="str">
        <f>HYPERLINK("http://www.windermere.com/index.cfm?fuseaction=Listing.ListingDetail&amp;ListingID=19453226","Active")</f>
        <v>Active</v>
      </c>
      <c r="D518" t="s">
        <v>63</v>
      </c>
      <c r="E518" t="s">
        <v>1486</v>
      </c>
      <c r="F518" s="9">
        <v>479950</v>
      </c>
      <c r="G518" t="s">
        <v>147</v>
      </c>
      <c r="H518" s="1">
        <v>2219</v>
      </c>
      <c r="J518">
        <v>3</v>
      </c>
      <c r="K518">
        <v>2.5</v>
      </c>
      <c r="M518" s="2" t="str">
        <f>HYPERLINK("http://www.windermere.com/index.cfm?fuseaction=Listing.MapPropertyInteractive&amp;ListingID=19453226&amp;resize=true&amp;windowWidth=800&amp;windowHeight=600","Map")</f>
        <v>Map</v>
      </c>
      <c r="O518" s="2" t="str">
        <f>HYPERLINK("http://www.windermere.com/index.cfm?fuseaction=Listing.MultiImageViewer&amp;ListingID=19453226&amp;ln=28034689&amp;pub_mls=1","More")</f>
        <v>More</v>
      </c>
      <c r="P518" t="s">
        <v>44</v>
      </c>
      <c r="AI518" t="s">
        <v>66</v>
      </c>
      <c r="AJ518">
        <v>98107</v>
      </c>
      <c r="AS518" t="s">
        <v>1487</v>
      </c>
      <c r="AT518">
        <v>19453226</v>
      </c>
      <c r="AU518" s="6">
        <v>39506</v>
      </c>
      <c r="BB518" t="s">
        <v>902</v>
      </c>
    </row>
    <row r="519" spans="1:54" hidden="1" x14ac:dyDescent="0.2">
      <c r="A519">
        <v>28034825</v>
      </c>
      <c r="B519" s="2" t="str">
        <f>HYPERLINK("http://www.windermere.com/index.cfm?fuseaction=Listing.ListingDetail&amp;ListingID=19453712","Active")</f>
        <v>Active</v>
      </c>
      <c r="D519" t="s">
        <v>60</v>
      </c>
      <c r="E519" t="s">
        <v>1488</v>
      </c>
      <c r="F519" s="9">
        <v>485000</v>
      </c>
      <c r="G519" t="s">
        <v>139</v>
      </c>
      <c r="I519">
        <v>6000</v>
      </c>
      <c r="J519">
        <v>2</v>
      </c>
      <c r="K519">
        <v>1</v>
      </c>
      <c r="M519" s="2" t="str">
        <f>HYPERLINK("http://www.windermere.com/index.cfm?fuseaction=Listing.MapPropertyInteractive&amp;ListingID=19453712&amp;resize=true&amp;windowWidth=800&amp;windowHeight=600","Map")</f>
        <v>Map</v>
      </c>
      <c r="AI519" t="s">
        <v>66</v>
      </c>
      <c r="AJ519">
        <v>98103</v>
      </c>
      <c r="AS519" t="s">
        <v>1489</v>
      </c>
      <c r="AT519">
        <v>19453712</v>
      </c>
      <c r="AU519" s="6">
        <v>39506</v>
      </c>
      <c r="BB519" t="s">
        <v>902</v>
      </c>
    </row>
    <row r="520" spans="1:54" hidden="1" x14ac:dyDescent="0.2">
      <c r="A520">
        <v>28000815</v>
      </c>
      <c r="B520" s="2" t="str">
        <f>HYPERLINK("http://www.windermere.com/index.cfm?fuseaction=Listing.ListingDetail&amp;ListingID=19147713","Active")</f>
        <v>Active</v>
      </c>
      <c r="D520" t="s">
        <v>226</v>
      </c>
      <c r="E520" t="s">
        <v>1490</v>
      </c>
      <c r="F520" s="9">
        <v>499000</v>
      </c>
      <c r="G520" t="s">
        <v>147</v>
      </c>
      <c r="H520" s="1">
        <v>1803</v>
      </c>
      <c r="J520">
        <v>3</v>
      </c>
      <c r="K520">
        <v>2.5</v>
      </c>
      <c r="M520" s="2" t="str">
        <f>HYPERLINK("http://www.windermere.com/index.cfm?fuseaction=Listing.MapPropertyInteractive&amp;ListingID=19147713&amp;resize=true&amp;windowWidth=800&amp;windowHeight=600","Map")</f>
        <v>Map</v>
      </c>
      <c r="O520" s="2" t="str">
        <f>HYPERLINK("http://www.windermere.com/index.cfm?fuseaction=Listing.MultiImageViewer&amp;ListingID=19147713&amp;ln=28000815&amp;pub_mls=1","More")</f>
        <v>More</v>
      </c>
      <c r="P520" t="s">
        <v>44</v>
      </c>
      <c r="AI520" t="s">
        <v>66</v>
      </c>
      <c r="AJ520">
        <v>98105</v>
      </c>
      <c r="AS520" t="s">
        <v>1491</v>
      </c>
      <c r="AT520">
        <v>19147713</v>
      </c>
      <c r="AU520" s="6">
        <v>39506</v>
      </c>
      <c r="BB520" t="s">
        <v>902</v>
      </c>
    </row>
    <row r="521" spans="1:54" hidden="1" x14ac:dyDescent="0.2">
      <c r="A521">
        <v>28012499</v>
      </c>
      <c r="B521" s="2" t="str">
        <f>HYPERLINK("http://www.windermere.com/index.cfm?fuseaction=Listing.ListingDetail&amp;ListingID=19254876","Active")</f>
        <v>Active</v>
      </c>
      <c r="D521" t="s">
        <v>226</v>
      </c>
      <c r="E521" t="s">
        <v>1492</v>
      </c>
      <c r="F521" s="9">
        <v>499000</v>
      </c>
      <c r="G521" t="s">
        <v>147</v>
      </c>
      <c r="H521" s="1">
        <v>1803</v>
      </c>
      <c r="J521">
        <v>3</v>
      </c>
      <c r="K521">
        <v>2.5</v>
      </c>
      <c r="M521" s="2" t="str">
        <f>HYPERLINK("http://www.windermere.com/index.cfm?fuseaction=Listing.MapPropertyInteractive&amp;ListingID=19254876&amp;resize=true&amp;windowWidth=800&amp;windowHeight=600","Map")</f>
        <v>Map</v>
      </c>
      <c r="O521" s="2" t="str">
        <f>HYPERLINK("http://www.windermere.com/index.cfm?fuseaction=Listing.MultiImageViewer&amp;ListingID=19254876&amp;ln=28012499&amp;pub_mls=1","More")</f>
        <v>More</v>
      </c>
      <c r="P521" t="s">
        <v>44</v>
      </c>
      <c r="AI521" t="s">
        <v>66</v>
      </c>
      <c r="AJ521">
        <v>98105</v>
      </c>
      <c r="AS521" t="s">
        <v>1493</v>
      </c>
      <c r="AT521">
        <v>19254876</v>
      </c>
      <c r="AU521" s="6">
        <v>39506</v>
      </c>
      <c r="BB521" t="s">
        <v>902</v>
      </c>
    </row>
    <row r="522" spans="1:54" hidden="1" x14ac:dyDescent="0.2">
      <c r="A522">
        <v>28035809</v>
      </c>
      <c r="B522" s="2" t="str">
        <f>HYPERLINK("http://www.windermere.com/index.cfm?fuseaction=Listing.ListingDetail&amp;ListingID=19461946","Active")</f>
        <v>Active</v>
      </c>
      <c r="D522" t="s">
        <v>184</v>
      </c>
      <c r="E522" t="s">
        <v>1497</v>
      </c>
      <c r="F522" s="9">
        <v>325000</v>
      </c>
      <c r="G522" t="s">
        <v>164</v>
      </c>
      <c r="H522" s="1">
        <v>1820</v>
      </c>
      <c r="I522">
        <v>13750</v>
      </c>
      <c r="J522">
        <v>2</v>
      </c>
      <c r="K522">
        <v>1</v>
      </c>
      <c r="M522" s="2" t="str">
        <f>HYPERLINK("http://www.windermere.com/index.cfm?fuseaction=Listing.MapPropertyInteractive&amp;ListingID=19461946&amp;resize=true&amp;windowWidth=800&amp;windowHeight=600","Map")</f>
        <v>Map</v>
      </c>
      <c r="AI522" t="s">
        <v>66</v>
      </c>
      <c r="AJ522">
        <v>98125</v>
      </c>
      <c r="AS522" t="s">
        <v>1498</v>
      </c>
      <c r="AT522">
        <v>19461946</v>
      </c>
      <c r="AU522" s="6">
        <v>39507</v>
      </c>
      <c r="BB522" t="s">
        <v>902</v>
      </c>
    </row>
    <row r="523" spans="1:54" hidden="1" x14ac:dyDescent="0.2">
      <c r="A523">
        <v>28033065</v>
      </c>
      <c r="B523" s="2" t="str">
        <f>HYPERLINK("http://www.windermere.com/index.cfm?fuseaction=Listing.ListingDetail&amp;ListingID=19461955","Active")</f>
        <v>Active</v>
      </c>
      <c r="D523" t="s">
        <v>956</v>
      </c>
      <c r="E523" t="s">
        <v>1499</v>
      </c>
      <c r="F523" s="9">
        <v>345000</v>
      </c>
      <c r="G523" t="s">
        <v>589</v>
      </c>
      <c r="H523" s="1">
        <v>1390</v>
      </c>
      <c r="I523">
        <v>1402</v>
      </c>
      <c r="J523">
        <v>3</v>
      </c>
      <c r="K523">
        <v>2.25</v>
      </c>
      <c r="M523" s="2" t="str">
        <f>HYPERLINK("http://www.windermere.com/index.cfm?fuseaction=Listing.MapPropertyInteractive&amp;ListingID=19461955&amp;resize=true&amp;windowWidth=800&amp;windowHeight=600","Map")</f>
        <v>Map</v>
      </c>
      <c r="O523" s="2" t="str">
        <f>HYPERLINK("http://www.windermere.com/index.cfm?fuseaction=viewGallery.Home&amp;customTourID=208989&amp;wvt=0","More")</f>
        <v>More</v>
      </c>
      <c r="P523" t="s">
        <v>44</v>
      </c>
      <c r="AI523" t="s">
        <v>66</v>
      </c>
      <c r="AJ523">
        <v>98125</v>
      </c>
      <c r="AS523" t="s">
        <v>1500</v>
      </c>
      <c r="AT523">
        <v>19461955</v>
      </c>
      <c r="AU523" s="6">
        <v>39507</v>
      </c>
      <c r="BB523" t="s">
        <v>902</v>
      </c>
    </row>
    <row r="524" spans="1:54" hidden="1" x14ac:dyDescent="0.2">
      <c r="A524">
        <v>28035871</v>
      </c>
      <c r="B524" s="2" t="str">
        <f>HYPERLINK("http://www.windermere.com/index.cfm?fuseaction=Listing.ListingDetail&amp;ListingID=19461894","Active")</f>
        <v>Active</v>
      </c>
      <c r="D524" t="s">
        <v>184</v>
      </c>
      <c r="E524" t="s">
        <v>1501</v>
      </c>
      <c r="F524" s="9">
        <v>349888</v>
      </c>
      <c r="G524" t="s">
        <v>239</v>
      </c>
      <c r="H524" s="1">
        <v>1400</v>
      </c>
      <c r="J524">
        <v>3</v>
      </c>
      <c r="K524">
        <v>2</v>
      </c>
      <c r="M524" s="2" t="str">
        <f>HYPERLINK("http://www.windermere.com/index.cfm?fuseaction=Listing.MapPropertyInteractive&amp;ListingID=19461894&amp;resize=true&amp;windowWidth=800&amp;windowHeight=600","Map")</f>
        <v>Map</v>
      </c>
      <c r="O524" s="2" t="str">
        <f>HYPERLINK("http://www.windermere.com/index.cfm?fuseaction=Listing.MultiImageViewer&amp;ListingID=19461894&amp;ln=28035871&amp;pub_mls=1","More")</f>
        <v>More</v>
      </c>
      <c r="P524" t="s">
        <v>44</v>
      </c>
      <c r="AI524" t="s">
        <v>66</v>
      </c>
      <c r="AJ524">
        <v>98125</v>
      </c>
      <c r="AS524" t="s">
        <v>1502</v>
      </c>
      <c r="AT524">
        <v>19461894</v>
      </c>
      <c r="AU524" s="6">
        <v>39507</v>
      </c>
      <c r="BB524" t="s">
        <v>902</v>
      </c>
    </row>
    <row r="525" spans="1:54" hidden="1" x14ac:dyDescent="0.2">
      <c r="A525">
        <v>28035328</v>
      </c>
      <c r="B525" s="2" t="str">
        <f>HYPERLINK("http://www.windermere.com/index.cfm?fuseaction=Listing.ListingDetail&amp;ListingID=19457484","Active")</f>
        <v>Active</v>
      </c>
      <c r="D525" t="s">
        <v>70</v>
      </c>
      <c r="E525" t="s">
        <v>1503</v>
      </c>
      <c r="F525" s="9">
        <v>369000</v>
      </c>
      <c r="G525" t="s">
        <v>664</v>
      </c>
      <c r="H525" s="1">
        <v>1620</v>
      </c>
      <c r="I525">
        <v>1543</v>
      </c>
      <c r="J525">
        <v>3</v>
      </c>
      <c r="K525">
        <v>2.25</v>
      </c>
      <c r="M525" s="2" t="str">
        <f>HYPERLINK("http://www.windermere.com/index.cfm?fuseaction=Listing.MapPropertyInteractive&amp;ListingID=19457484&amp;resize=true&amp;windowWidth=800&amp;windowHeight=600","Map")</f>
        <v>Map</v>
      </c>
      <c r="O525" s="2" t="str">
        <f>HYPERLINK("http://www.windermere.com/index.cfm?fuseaction=Listing.MultiImageViewer&amp;ListingID=19457484&amp;ln=28035328&amp;pub_mls=1","More")</f>
        <v>More</v>
      </c>
      <c r="P525" t="s">
        <v>44</v>
      </c>
      <c r="AI525" t="s">
        <v>66</v>
      </c>
      <c r="AJ525">
        <v>98122</v>
      </c>
      <c r="AS525" t="s">
        <v>1504</v>
      </c>
      <c r="AT525">
        <v>19457484</v>
      </c>
      <c r="AU525" s="6">
        <v>39507</v>
      </c>
      <c r="BB525" t="s">
        <v>902</v>
      </c>
    </row>
    <row r="526" spans="1:54" hidden="1" x14ac:dyDescent="0.2">
      <c r="A526">
        <v>28036011</v>
      </c>
      <c r="B526" s="2" t="str">
        <f>HYPERLINK("http://www.windermere.com/index.cfm?fuseaction=Listing.ListingDetail&amp;ListingID=19463328","Active")</f>
        <v>Active</v>
      </c>
      <c r="D526" t="s">
        <v>63</v>
      </c>
      <c r="E526" t="s">
        <v>1505</v>
      </c>
      <c r="F526" s="9">
        <v>399000</v>
      </c>
      <c r="G526" t="s">
        <v>239</v>
      </c>
      <c r="H526" s="1">
        <v>1250</v>
      </c>
      <c r="J526">
        <v>3</v>
      </c>
      <c r="K526">
        <v>2.5</v>
      </c>
      <c r="M526" s="2" t="str">
        <f>HYPERLINK("http://www.windermere.com/index.cfm?fuseaction=Listing.MapPropertyInteractive&amp;ListingID=19463328&amp;resize=true&amp;windowWidth=800&amp;windowHeight=600","Map")</f>
        <v>Map</v>
      </c>
      <c r="O526" s="2" t="str">
        <f>HYPERLINK("http://www.windermere.com/index.cfm?fuseaction=Listing.MultiImageViewer&amp;ListingID=19463328&amp;ln=28036011&amp;pub_mls=1","More")</f>
        <v>More</v>
      </c>
      <c r="AI526" t="s">
        <v>66</v>
      </c>
      <c r="AJ526">
        <v>98107</v>
      </c>
      <c r="AS526" t="s">
        <v>1506</v>
      </c>
      <c r="AT526">
        <v>19463328</v>
      </c>
      <c r="AU526" s="6">
        <v>39507</v>
      </c>
      <c r="BB526" t="s">
        <v>902</v>
      </c>
    </row>
    <row r="527" spans="1:54" hidden="1" x14ac:dyDescent="0.2">
      <c r="A527">
        <v>28034396</v>
      </c>
      <c r="B527" s="2" t="str">
        <f>HYPERLINK("http://www.windermere.com/index.cfm?fuseaction=Listing.ListingDetail&amp;ListingID=19461116","Active")</f>
        <v>Active</v>
      </c>
      <c r="D527" t="s">
        <v>188</v>
      </c>
      <c r="E527" t="s">
        <v>1507</v>
      </c>
      <c r="F527" s="9">
        <v>399950</v>
      </c>
      <c r="G527" t="s">
        <v>124</v>
      </c>
      <c r="H527" s="1">
        <v>1260</v>
      </c>
      <c r="I527">
        <v>7733</v>
      </c>
      <c r="J527">
        <v>3</v>
      </c>
      <c r="K527">
        <v>1</v>
      </c>
      <c r="M527" s="2" t="str">
        <f>HYPERLINK("http://www.windermere.com/index.cfm?fuseaction=Listing.MapPropertyInteractive&amp;ListingID=19461116&amp;resize=true&amp;windowWidth=800&amp;windowHeight=600","Map")</f>
        <v>Map</v>
      </c>
      <c r="O527" s="2" t="str">
        <f>HYPERLINK("http://www.windermere.com/index.cfm?fuseaction=Listing.MultiImageViewer&amp;ListingID=19461116&amp;ln=28034396&amp;pub_mls=1","More")</f>
        <v>More</v>
      </c>
      <c r="AI527" t="s">
        <v>66</v>
      </c>
      <c r="AJ527">
        <v>98125</v>
      </c>
      <c r="AS527" t="s">
        <v>1508</v>
      </c>
      <c r="AT527">
        <v>19461116</v>
      </c>
      <c r="AU527" s="6">
        <v>39507</v>
      </c>
      <c r="BB527" t="s">
        <v>902</v>
      </c>
    </row>
    <row r="528" spans="1:54" hidden="1" x14ac:dyDescent="0.2">
      <c r="A528">
        <v>28032706</v>
      </c>
      <c r="B528" s="2" t="str">
        <f>HYPERLINK("http://www.windermere.com/index.cfm?fuseaction=Listing.ListingDetail&amp;ListingID=19460715","Active")</f>
        <v>Active</v>
      </c>
      <c r="D528" t="s">
        <v>63</v>
      </c>
      <c r="E528" t="s">
        <v>178</v>
      </c>
      <c r="F528" s="9">
        <v>420000</v>
      </c>
      <c r="G528" t="s">
        <v>179</v>
      </c>
      <c r="H528" s="1">
        <v>1650</v>
      </c>
      <c r="I528">
        <v>5117</v>
      </c>
      <c r="J528">
        <v>3</v>
      </c>
      <c r="K528">
        <v>1</v>
      </c>
      <c r="M528" s="2" t="str">
        <f>HYPERLINK("http://www.windermere.com/index.cfm?fuseaction=Listing.MapPropertyInteractive&amp;ListingID=19460715&amp;resize=true&amp;windowWidth=800&amp;windowHeight=600","Map")</f>
        <v>Map</v>
      </c>
      <c r="O528" s="2" t="str">
        <f>HYPERLINK("http://www.windermere.com/index.cfm?fuseaction=viewGallery.Home&amp;customTourID=208636&amp;wvt=0","More")</f>
        <v>More</v>
      </c>
      <c r="P528" t="s">
        <v>44</v>
      </c>
      <c r="AI528" t="s">
        <v>66</v>
      </c>
      <c r="AJ528">
        <v>98107</v>
      </c>
      <c r="AS528" t="s">
        <v>1509</v>
      </c>
      <c r="AT528">
        <v>19460715</v>
      </c>
      <c r="AU528" s="6">
        <v>39507</v>
      </c>
      <c r="BB528" t="s">
        <v>902</v>
      </c>
    </row>
    <row r="529" spans="1:58" hidden="1" x14ac:dyDescent="0.2">
      <c r="A529">
        <v>28036056</v>
      </c>
      <c r="B529" s="2" t="str">
        <f>HYPERLINK("http://www.windermere.com/index.cfm?fuseaction=Listing.ListingDetail&amp;ListingID=19463575","Active")</f>
        <v>Active</v>
      </c>
      <c r="D529" t="s">
        <v>78</v>
      </c>
      <c r="E529" t="s">
        <v>1510</v>
      </c>
      <c r="F529" s="9">
        <v>436900</v>
      </c>
      <c r="G529" t="s">
        <v>129</v>
      </c>
      <c r="H529" s="1">
        <v>2040</v>
      </c>
      <c r="I529">
        <v>5100</v>
      </c>
      <c r="J529">
        <v>2</v>
      </c>
      <c r="K529">
        <v>1.25</v>
      </c>
      <c r="M529" s="2" t="str">
        <f>HYPERLINK("http://www.windermere.com/index.cfm?fuseaction=Listing.MapPropertyInteractive&amp;ListingID=19463575&amp;resize=true&amp;windowWidth=800&amp;windowHeight=600","Map")</f>
        <v>Map</v>
      </c>
      <c r="O529" s="2" t="str">
        <f>HYPERLINK("http://www.windermere.com/index.cfm?fuseaction=Listing.MultiImageViewer&amp;ListingID=19463575&amp;ln=28036056&amp;pub_mls=1","More")</f>
        <v>More</v>
      </c>
      <c r="AI529" t="s">
        <v>66</v>
      </c>
      <c r="AJ529">
        <v>98117</v>
      </c>
      <c r="AS529" t="s">
        <v>1511</v>
      </c>
      <c r="AT529">
        <v>19463575</v>
      </c>
      <c r="AU529" s="6">
        <v>39507</v>
      </c>
      <c r="BB529" t="s">
        <v>902</v>
      </c>
    </row>
    <row r="530" spans="1:58" hidden="1" x14ac:dyDescent="0.2">
      <c r="A530">
        <v>28032650</v>
      </c>
      <c r="B530" s="2" t="str">
        <f>HYPERLINK("http://www.windermere.com/index.cfm?fuseaction=Listing.ListingDetail&amp;ListingID=19459409","Active")</f>
        <v>Active</v>
      </c>
      <c r="D530" t="s">
        <v>1061</v>
      </c>
      <c r="E530" t="s">
        <v>1512</v>
      </c>
      <c r="F530" s="9">
        <v>439950</v>
      </c>
      <c r="G530" t="s">
        <v>137</v>
      </c>
      <c r="H530" s="1">
        <v>1460</v>
      </c>
      <c r="I530">
        <v>9900</v>
      </c>
      <c r="J530">
        <v>3</v>
      </c>
      <c r="K530">
        <v>1</v>
      </c>
      <c r="M530" s="2" t="str">
        <f>HYPERLINK("http://www.windermere.com/index.cfm?fuseaction=Listing.MapPropertyInteractive&amp;ListingID=19459409&amp;resize=true&amp;windowWidth=800&amp;windowHeight=600","Map")</f>
        <v>Map</v>
      </c>
      <c r="O530" s="2" t="str">
        <f>HYPERLINK("http://www.windermere.com/index.cfm?fuseaction=Listing.MultiImageViewer&amp;ListingID=19459409&amp;ln=28032650&amp;pub_mls=1","More")</f>
        <v>More</v>
      </c>
      <c r="P530" t="s">
        <v>44</v>
      </c>
      <c r="AI530" t="s">
        <v>66</v>
      </c>
      <c r="AJ530">
        <v>98125</v>
      </c>
      <c r="AS530" t="s">
        <v>1513</v>
      </c>
      <c r="AT530">
        <v>19459409</v>
      </c>
      <c r="AU530" s="6">
        <v>39507</v>
      </c>
      <c r="BB530" t="s">
        <v>902</v>
      </c>
    </row>
    <row r="531" spans="1:58" hidden="1" x14ac:dyDescent="0.2">
      <c r="A531">
        <v>28035641</v>
      </c>
      <c r="B531" s="2" t="str">
        <f>HYPERLINK("http://www.windermere.com/index.cfm?fuseaction=Listing.ListingDetail&amp;ListingID=19461123","Active")</f>
        <v>Active</v>
      </c>
      <c r="D531" t="s">
        <v>100</v>
      </c>
      <c r="E531" t="s">
        <v>1514</v>
      </c>
      <c r="F531" s="9">
        <v>449950</v>
      </c>
      <c r="G531" t="s">
        <v>147</v>
      </c>
      <c r="H531" s="1">
        <v>1350</v>
      </c>
      <c r="J531">
        <v>3</v>
      </c>
      <c r="K531">
        <v>2.25</v>
      </c>
      <c r="M531" s="2" t="str">
        <f>HYPERLINK("http://www.windermere.com/index.cfm?fuseaction=Listing.MapPropertyInteractive&amp;ListingID=19461123&amp;resize=true&amp;windowWidth=800&amp;windowHeight=600","Map")</f>
        <v>Map</v>
      </c>
      <c r="P531" t="s">
        <v>44</v>
      </c>
      <c r="AI531" t="s">
        <v>66</v>
      </c>
      <c r="AJ531">
        <v>98103</v>
      </c>
      <c r="AS531" t="s">
        <v>1515</v>
      </c>
      <c r="AT531">
        <v>19461123</v>
      </c>
      <c r="AU531" s="6">
        <v>39507</v>
      </c>
      <c r="BB531" t="s">
        <v>902</v>
      </c>
    </row>
    <row r="532" spans="1:58" hidden="1" x14ac:dyDescent="0.2">
      <c r="A532">
        <v>28035778</v>
      </c>
      <c r="B532" s="2" t="str">
        <f>HYPERLINK("http://www.windermere.com/index.cfm?fuseaction=Listing.ListingDetail&amp;ListingID=19461700","Active")</f>
        <v>Active</v>
      </c>
      <c r="D532" t="s">
        <v>109</v>
      </c>
      <c r="E532" t="s">
        <v>1516</v>
      </c>
      <c r="F532" s="9">
        <v>449950</v>
      </c>
      <c r="G532" t="s">
        <v>147</v>
      </c>
      <c r="H532" s="1">
        <v>1357</v>
      </c>
      <c r="J532">
        <v>3</v>
      </c>
      <c r="K532">
        <v>2.25</v>
      </c>
      <c r="M532" s="2" t="str">
        <f>HYPERLINK("http://www.windermere.com/index.cfm?fuseaction=Listing.MapPropertyInteractive&amp;ListingID=19461700&amp;resize=true&amp;windowWidth=800&amp;windowHeight=600","Map")</f>
        <v>Map</v>
      </c>
      <c r="O532" s="2" t="str">
        <f>HYPERLINK("http://www.windermere.com/index.cfm?fuseaction=Listing.MultiImageViewer&amp;ListingID=19461700&amp;ln=28035778&amp;pub_mls=1","More")</f>
        <v>More</v>
      </c>
      <c r="AI532" t="s">
        <v>66</v>
      </c>
      <c r="AJ532">
        <v>98103</v>
      </c>
      <c r="AS532" t="s">
        <v>1517</v>
      </c>
      <c r="AT532">
        <v>19461700</v>
      </c>
      <c r="AU532" s="6">
        <v>39507</v>
      </c>
      <c r="BB532" t="s">
        <v>902</v>
      </c>
    </row>
    <row r="533" spans="1:58" hidden="1" x14ac:dyDescent="0.2">
      <c r="A533">
        <v>27200079</v>
      </c>
      <c r="B533" s="2" t="str">
        <f>HYPERLINK("http://www.windermere.com/index.cfm?fuseaction=Listing.ListingDetail&amp;ListingID=18942170","Active")</f>
        <v>Active</v>
      </c>
      <c r="D533" t="s">
        <v>100</v>
      </c>
      <c r="E533" t="s">
        <v>1518</v>
      </c>
      <c r="F533" s="9">
        <v>459950</v>
      </c>
      <c r="G533" t="s">
        <v>147</v>
      </c>
      <c r="H533" s="1">
        <v>1434</v>
      </c>
      <c r="J533">
        <v>3</v>
      </c>
      <c r="K533">
        <v>2.25</v>
      </c>
      <c r="M533" s="2" t="str">
        <f>HYPERLINK("http://www.windermere.com/index.cfm?fuseaction=Listing.MapPropertyInteractive&amp;ListingID=18942170&amp;resize=true&amp;windowWidth=800&amp;windowHeight=600","Map")</f>
        <v>Map</v>
      </c>
      <c r="O533" s="2" t="str">
        <f>HYPERLINK("http://www.windermere.com/index.cfm?fuseaction=Listing.MultiImageViewer&amp;ListingID=18942170&amp;ln=27200079&amp;pub_mls=1","More")</f>
        <v>More</v>
      </c>
      <c r="P533" t="s">
        <v>44</v>
      </c>
      <c r="AI533" t="s">
        <v>66</v>
      </c>
      <c r="AJ533">
        <v>98103</v>
      </c>
      <c r="AS533" t="s">
        <v>1519</v>
      </c>
      <c r="AT533">
        <v>18942170</v>
      </c>
      <c r="AU533" s="6">
        <v>39507</v>
      </c>
      <c r="BB533" t="s">
        <v>902</v>
      </c>
    </row>
    <row r="534" spans="1:58" hidden="1" x14ac:dyDescent="0.2">
      <c r="A534">
        <v>27194889</v>
      </c>
      <c r="B534" s="2" t="str">
        <f>HYPERLINK("http://www.windermere.com/index.cfm?fuseaction=Listing.ListingDetail&amp;ListingID=18892760","Active")</f>
        <v>Active</v>
      </c>
      <c r="D534" t="s">
        <v>100</v>
      </c>
      <c r="E534" t="s">
        <v>1520</v>
      </c>
      <c r="F534" s="9">
        <v>459950</v>
      </c>
      <c r="G534" t="s">
        <v>147</v>
      </c>
      <c r="H534" s="1">
        <v>1434</v>
      </c>
      <c r="J534">
        <v>3</v>
      </c>
      <c r="K534">
        <v>2.25</v>
      </c>
      <c r="M534" s="2" t="str">
        <f>HYPERLINK("http://www.windermere.com/index.cfm?fuseaction=Listing.MapPropertyInteractive&amp;ListingID=18892760&amp;resize=true&amp;windowWidth=800&amp;windowHeight=600","Map")</f>
        <v>Map</v>
      </c>
      <c r="O534" s="2" t="str">
        <f>HYPERLINK("http://www.windermere.com/index.cfm?fuseaction=Listing.MultiImageViewer&amp;ListingID=18892760&amp;ln=27194889&amp;pub_mls=1","More")</f>
        <v>More</v>
      </c>
      <c r="P534" t="s">
        <v>44</v>
      </c>
      <c r="AI534" t="s">
        <v>66</v>
      </c>
      <c r="AJ534">
        <v>98103</v>
      </c>
      <c r="AS534" t="s">
        <v>1521</v>
      </c>
      <c r="AT534">
        <v>18892760</v>
      </c>
      <c r="AU534" s="6">
        <v>39507</v>
      </c>
      <c r="BB534" t="s">
        <v>902</v>
      </c>
    </row>
    <row r="535" spans="1:58" hidden="1" x14ac:dyDescent="0.2">
      <c r="A535">
        <v>28035672</v>
      </c>
      <c r="B535" s="2" t="str">
        <f>HYPERLINK("http://www.windermere.com/index.cfm?fuseaction=Listing.ListingDetail&amp;ListingID=19463894","Active")</f>
        <v>Active</v>
      </c>
      <c r="D535" t="s">
        <v>218</v>
      </c>
      <c r="E535" t="s">
        <v>1522</v>
      </c>
      <c r="F535" s="9">
        <v>462000</v>
      </c>
      <c r="G535" t="s">
        <v>868</v>
      </c>
      <c r="H535" s="1">
        <v>1700</v>
      </c>
      <c r="I535">
        <v>4731</v>
      </c>
      <c r="J535">
        <v>2</v>
      </c>
      <c r="K535">
        <v>1</v>
      </c>
      <c r="M535" s="2" t="str">
        <f>HYPERLINK("http://www.windermere.com/index.cfm?fuseaction=Listing.MapPropertyInteractive&amp;ListingID=19463894&amp;resize=true&amp;windowWidth=800&amp;windowHeight=600","Map")</f>
        <v>Map</v>
      </c>
      <c r="O535" s="2" t="str">
        <f>HYPERLINK("http://www.windermere.com/index.cfm?fuseaction=Listing.MultiImageViewer&amp;ListingID=19463894&amp;ln=28035672&amp;pub_mls=1","More")</f>
        <v>More</v>
      </c>
      <c r="P535" t="s">
        <v>44</v>
      </c>
      <c r="AI535" t="s">
        <v>66</v>
      </c>
      <c r="AJ535">
        <v>98105</v>
      </c>
      <c r="AS535" t="s">
        <v>1523</v>
      </c>
      <c r="AT535">
        <v>19463894</v>
      </c>
      <c r="AU535" s="6">
        <v>39507</v>
      </c>
      <c r="BB535" t="s">
        <v>902</v>
      </c>
    </row>
    <row r="536" spans="1:58" hidden="1" x14ac:dyDescent="0.2">
      <c r="A536">
        <v>28035582</v>
      </c>
      <c r="B536" s="2" t="str">
        <f>HYPERLINK("http://www.windermere.com/index.cfm?fuseaction=Listing.ListingDetail&amp;ListingID=19460759","Active")</f>
        <v>Active</v>
      </c>
      <c r="D536" t="s">
        <v>109</v>
      </c>
      <c r="E536" t="s">
        <v>1524</v>
      </c>
      <c r="F536" s="9">
        <v>464950</v>
      </c>
      <c r="G536" t="s">
        <v>239</v>
      </c>
      <c r="J536">
        <v>3</v>
      </c>
      <c r="K536">
        <v>2.5</v>
      </c>
      <c r="M536" s="2" t="str">
        <f>HYPERLINK("http://www.windermere.com/index.cfm?fuseaction=Listing.MapPropertyInteractive&amp;ListingID=19460759&amp;resize=true&amp;windowWidth=800&amp;windowHeight=600","Map")</f>
        <v>Map</v>
      </c>
      <c r="P536" t="s">
        <v>44</v>
      </c>
      <c r="AI536" t="s">
        <v>66</v>
      </c>
      <c r="AJ536">
        <v>98103</v>
      </c>
      <c r="AS536" t="s">
        <v>1525</v>
      </c>
      <c r="AT536">
        <v>19460759</v>
      </c>
      <c r="AU536" s="6">
        <v>39507</v>
      </c>
      <c r="BB536" t="s">
        <v>902</v>
      </c>
    </row>
    <row r="537" spans="1:58" x14ac:dyDescent="0.2">
      <c r="A537">
        <v>28035428</v>
      </c>
      <c r="B537" s="2" t="str">
        <f>HYPERLINK("http://www.windermere.com/index.cfm?fuseaction=Listing.ListingDetail&amp;ListingID=19461135","Active")</f>
        <v>Active</v>
      </c>
      <c r="D537" t="s">
        <v>63</v>
      </c>
      <c r="E537" t="s">
        <v>1526</v>
      </c>
      <c r="F537" s="9">
        <v>469922</v>
      </c>
      <c r="G537" t="s">
        <v>149</v>
      </c>
      <c r="H537" s="1">
        <v>1840</v>
      </c>
      <c r="I537">
        <v>4000</v>
      </c>
      <c r="J537">
        <v>3</v>
      </c>
      <c r="K537">
        <v>1</v>
      </c>
      <c r="M537" s="2" t="str">
        <f>HYPERLINK("http://www.windermere.com/index.cfm?fuseaction=Listing.MapPropertyInteractive&amp;ListingID=19461135&amp;resize=true&amp;windowWidth=800&amp;windowHeight=600","Map")</f>
        <v>Map</v>
      </c>
      <c r="O537" s="2" t="str">
        <f>HYPERLINK("http://www.windermere.com/index.cfm?fuseaction=viewGallery.Home&amp;customTourID=208991&amp;wvt=0","More")</f>
        <v>More</v>
      </c>
      <c r="AI537" t="s">
        <v>66</v>
      </c>
      <c r="AJ537">
        <v>98117</v>
      </c>
      <c r="AS537" t="s">
        <v>1527</v>
      </c>
      <c r="AT537">
        <v>19461135</v>
      </c>
      <c r="AU537" s="6">
        <v>39507</v>
      </c>
      <c r="BB537" t="s">
        <v>902</v>
      </c>
      <c r="BD537" t="s">
        <v>1553</v>
      </c>
      <c r="BE537" t="s">
        <v>1554</v>
      </c>
      <c r="BF537" s="6">
        <v>39508</v>
      </c>
    </row>
    <row r="538" spans="1:58" hidden="1" x14ac:dyDescent="0.2">
      <c r="A538">
        <v>28035422</v>
      </c>
      <c r="B538" s="2" t="str">
        <f>HYPERLINK("http://www.windermere.com/index.cfm?fuseaction=Listing.ListingDetail&amp;ListingID=19460087","Active")</f>
        <v>Active</v>
      </c>
      <c r="D538" t="s">
        <v>100</v>
      </c>
      <c r="E538" t="s">
        <v>1528</v>
      </c>
      <c r="F538" s="9">
        <v>469950</v>
      </c>
      <c r="G538" t="s">
        <v>147</v>
      </c>
      <c r="H538" s="1">
        <v>1586</v>
      </c>
      <c r="J538">
        <v>3</v>
      </c>
      <c r="K538">
        <v>2.25</v>
      </c>
      <c r="M538" s="2" t="str">
        <f>HYPERLINK("http://www.windermere.com/index.cfm?fuseaction=Listing.MapPropertyInteractive&amp;ListingID=19460087&amp;resize=true&amp;windowWidth=800&amp;windowHeight=600","Map")</f>
        <v>Map</v>
      </c>
      <c r="O538" s="2" t="str">
        <f>HYPERLINK("http://www.windermere.com/index.cfm?fuseaction=Listing.MultiImageViewer&amp;ListingID=19460087&amp;ln=28035422&amp;pub_mls=1","More")</f>
        <v>More</v>
      </c>
      <c r="P538" t="s">
        <v>44</v>
      </c>
      <c r="AI538" t="s">
        <v>66</v>
      </c>
      <c r="AJ538">
        <v>98103</v>
      </c>
      <c r="AS538" t="s">
        <v>1529</v>
      </c>
      <c r="AT538">
        <v>19460087</v>
      </c>
      <c r="AU538" s="6">
        <v>39507</v>
      </c>
      <c r="BB538" t="s">
        <v>902</v>
      </c>
    </row>
    <row r="539" spans="1:58" hidden="1" x14ac:dyDescent="0.2">
      <c r="A539">
        <v>28035828</v>
      </c>
      <c r="B539" s="2" t="str">
        <f>HYPERLINK("http://www.windermere.com/index.cfm?fuseaction=Listing.ListingDetail&amp;ListingID=19461867","Active")</f>
        <v>Active</v>
      </c>
      <c r="D539" t="s">
        <v>100</v>
      </c>
      <c r="E539" t="s">
        <v>1530</v>
      </c>
      <c r="F539" s="9">
        <v>474900</v>
      </c>
      <c r="G539" t="s">
        <v>414</v>
      </c>
      <c r="H539" s="1">
        <v>1226</v>
      </c>
      <c r="J539">
        <v>2</v>
      </c>
      <c r="K539">
        <v>3</v>
      </c>
      <c r="M539" s="2" t="str">
        <f>HYPERLINK("http://www.windermere.com/index.cfm?fuseaction=Listing.MapPropertyInteractive&amp;ListingID=19461867&amp;resize=true&amp;windowWidth=800&amp;windowHeight=600","Map")</f>
        <v>Map</v>
      </c>
      <c r="O539" s="2" t="str">
        <f>HYPERLINK("http://www.windermere.com/index.cfm?fuseaction=Listing.MultiImageViewer&amp;ListingID=19461867&amp;ln=28035828&amp;pub_mls=1","More")</f>
        <v>More</v>
      </c>
      <c r="P539" t="s">
        <v>44</v>
      </c>
      <c r="AI539" t="s">
        <v>66</v>
      </c>
      <c r="AJ539">
        <v>98103</v>
      </c>
      <c r="AS539" t="s">
        <v>1531</v>
      </c>
      <c r="AT539">
        <v>19461867</v>
      </c>
      <c r="AU539" s="6">
        <v>39507</v>
      </c>
      <c r="BB539" t="s">
        <v>902</v>
      </c>
    </row>
    <row r="540" spans="1:58" hidden="1" x14ac:dyDescent="0.2">
      <c r="A540">
        <v>28036132</v>
      </c>
      <c r="B540" s="2" t="str">
        <f>HYPERLINK("http://www.windermere.com/index.cfm?fuseaction=Listing.ListingDetail&amp;ListingID=19463710","Active")</f>
        <v>Active</v>
      </c>
      <c r="D540" t="s">
        <v>109</v>
      </c>
      <c r="E540" t="s">
        <v>1532</v>
      </c>
      <c r="F540" s="9">
        <v>478950</v>
      </c>
      <c r="G540" t="s">
        <v>239</v>
      </c>
      <c r="H540" s="1">
        <v>1439</v>
      </c>
      <c r="J540">
        <v>3</v>
      </c>
      <c r="K540">
        <v>2.25</v>
      </c>
      <c r="M540" s="2" t="str">
        <f>HYPERLINK("http://www.windermere.com/index.cfm?fuseaction=Listing.MapPropertyInteractive&amp;ListingID=19463710&amp;resize=true&amp;windowWidth=800&amp;windowHeight=600","Map")</f>
        <v>Map</v>
      </c>
      <c r="O540" s="2" t="str">
        <f>HYPERLINK("http://www.windermere.com/index.cfm?fuseaction=Listing.MultiImageViewer&amp;ListingID=19463710&amp;ln=28036132&amp;pub_mls=1","More")</f>
        <v>More</v>
      </c>
      <c r="P540" t="s">
        <v>44</v>
      </c>
      <c r="AI540" t="s">
        <v>66</v>
      </c>
      <c r="AJ540">
        <v>98103</v>
      </c>
      <c r="AS540" t="s">
        <v>1533</v>
      </c>
      <c r="AT540">
        <v>19463710</v>
      </c>
      <c r="AU540" s="6">
        <v>39507</v>
      </c>
      <c r="BB540" t="s">
        <v>902</v>
      </c>
    </row>
    <row r="541" spans="1:58" hidden="1" x14ac:dyDescent="0.2">
      <c r="A541">
        <v>28035564</v>
      </c>
      <c r="B541" s="2" t="str">
        <f>HYPERLINK("http://www.windermere.com/index.cfm?fuseaction=Listing.ListingDetail&amp;ListingID=19463629","Active")</f>
        <v>Active</v>
      </c>
      <c r="D541" t="s">
        <v>42</v>
      </c>
      <c r="E541" t="s">
        <v>1534</v>
      </c>
      <c r="F541" s="9">
        <v>479950</v>
      </c>
      <c r="G541" t="s">
        <v>664</v>
      </c>
      <c r="H541" s="1">
        <v>1900</v>
      </c>
      <c r="I541">
        <v>5000</v>
      </c>
      <c r="J541">
        <v>3</v>
      </c>
      <c r="K541">
        <v>2.75</v>
      </c>
      <c r="M541" s="2" t="str">
        <f>HYPERLINK("http://www.windermere.com/index.cfm?fuseaction=Listing.MapPropertyInteractive&amp;ListingID=19463629&amp;resize=true&amp;windowWidth=800&amp;windowHeight=600","Map")</f>
        <v>Map</v>
      </c>
      <c r="O541" s="2" t="str">
        <f>HYPERLINK("http://www.windermere.com/index.cfm?fuseaction=Listing.MultiImageViewer&amp;ListingID=19463629&amp;ln=28035564&amp;pub_mls=1","More")</f>
        <v>More</v>
      </c>
      <c r="AI541" t="s">
        <v>66</v>
      </c>
      <c r="AJ541">
        <v>98133</v>
      </c>
      <c r="AS541" t="s">
        <v>1535</v>
      </c>
      <c r="AT541">
        <v>19463629</v>
      </c>
      <c r="AU541" s="6">
        <v>39507</v>
      </c>
      <c r="BB541" t="s">
        <v>902</v>
      </c>
    </row>
    <row r="542" spans="1:58" hidden="1" x14ac:dyDescent="0.2">
      <c r="A542">
        <v>28011836</v>
      </c>
      <c r="B542" s="2" t="str">
        <f>HYPERLINK("http://www.windermere.com/index.cfm?fuseaction=Listing.ListingDetail&amp;ListingID=19247744","Active")</f>
        <v>Active</v>
      </c>
      <c r="D542" t="s">
        <v>100</v>
      </c>
      <c r="E542" t="s">
        <v>1536</v>
      </c>
      <c r="F542" s="9">
        <v>479950</v>
      </c>
      <c r="G542" t="s">
        <v>147</v>
      </c>
      <c r="H542" s="1">
        <v>1683</v>
      </c>
      <c r="J542">
        <v>3</v>
      </c>
      <c r="K542">
        <v>2.25</v>
      </c>
      <c r="M542" s="2" t="str">
        <f>HYPERLINK("http://www.windermere.com/index.cfm?fuseaction=Listing.MapPropertyInteractive&amp;ListingID=19247744&amp;resize=true&amp;windowWidth=800&amp;windowHeight=600","Map")</f>
        <v>Map</v>
      </c>
      <c r="O542" s="2" t="str">
        <f>HYPERLINK("http://www.windermere.com/index.cfm?fuseaction=Listing.MultiImageViewer&amp;ListingID=19247744&amp;ln=28011836&amp;pub_mls=1","More")</f>
        <v>More</v>
      </c>
      <c r="P542" t="s">
        <v>44</v>
      </c>
      <c r="AI542" t="s">
        <v>66</v>
      </c>
      <c r="AJ542">
        <v>98103</v>
      </c>
      <c r="AS542" t="s">
        <v>1537</v>
      </c>
      <c r="AT542">
        <v>19247744</v>
      </c>
      <c r="AU542" s="6">
        <v>39507</v>
      </c>
      <c r="BB542" t="s">
        <v>902</v>
      </c>
    </row>
    <row r="543" spans="1:58" hidden="1" x14ac:dyDescent="0.2">
      <c r="A543">
        <v>27172649</v>
      </c>
      <c r="B543" s="2" t="str">
        <f>HYPERLINK("http://www.windermere.com/index.cfm?fuseaction=Listing.ListingDetail&amp;ListingID=18672127","Active")</f>
        <v>Active</v>
      </c>
      <c r="D543" t="s">
        <v>100</v>
      </c>
      <c r="E543" t="s">
        <v>1538</v>
      </c>
      <c r="F543" s="9">
        <v>479950</v>
      </c>
      <c r="G543" t="s">
        <v>147</v>
      </c>
      <c r="H543" s="1">
        <v>1185</v>
      </c>
      <c r="J543">
        <v>2</v>
      </c>
      <c r="K543">
        <v>2.25</v>
      </c>
      <c r="M543" s="2" t="str">
        <f>HYPERLINK("http://www.windermere.com/index.cfm?fuseaction=Listing.MapPropertyInteractive&amp;ListingID=18672127&amp;resize=true&amp;windowWidth=800&amp;windowHeight=600","Map")</f>
        <v>Map</v>
      </c>
      <c r="O543" s="2" t="str">
        <f>HYPERLINK("http://www.windermere.com/index.cfm?fuseaction=Listing.MultiImageViewer&amp;ListingID=18672127&amp;ln=27172649&amp;pub_mls=1","More")</f>
        <v>More</v>
      </c>
      <c r="P543" t="s">
        <v>44</v>
      </c>
      <c r="AI543" t="s">
        <v>66</v>
      </c>
      <c r="AJ543">
        <v>98103</v>
      </c>
      <c r="AS543" t="s">
        <v>1539</v>
      </c>
      <c r="AT543">
        <v>18672127</v>
      </c>
      <c r="AU543" s="6">
        <v>39507</v>
      </c>
      <c r="BB543" t="s">
        <v>902</v>
      </c>
    </row>
    <row r="544" spans="1:58" hidden="1" x14ac:dyDescent="0.2">
      <c r="A544">
        <v>28034685</v>
      </c>
      <c r="B544" s="2" t="str">
        <f>HYPERLINK("http://www.windermere.com/index.cfm?fuseaction=Listing.ListingDetail&amp;ListingID=19459882","Active")</f>
        <v>Active</v>
      </c>
      <c r="D544" t="s">
        <v>63</v>
      </c>
      <c r="E544" t="s">
        <v>1540</v>
      </c>
      <c r="F544" s="9">
        <v>480000</v>
      </c>
      <c r="G544" t="s">
        <v>134</v>
      </c>
      <c r="H544" s="1">
        <v>2600</v>
      </c>
      <c r="I544">
        <v>4850</v>
      </c>
      <c r="J544">
        <v>3</v>
      </c>
      <c r="K544">
        <v>1</v>
      </c>
      <c r="M544" s="2" t="str">
        <f>HYPERLINK("http://www.windermere.com/index.cfm?fuseaction=Listing.MapPropertyInteractive&amp;ListingID=19459882&amp;resize=true&amp;windowWidth=800&amp;windowHeight=600","Map")</f>
        <v>Map</v>
      </c>
      <c r="O544" s="2" t="str">
        <f>HYPERLINK("http://www.windermere.com/index.cfm?fuseaction=Listing.MultiImageViewer&amp;ListingID=19459882&amp;ln=28034685&amp;pub_mls=1","More")</f>
        <v>More</v>
      </c>
      <c r="AI544" t="s">
        <v>66</v>
      </c>
      <c r="AJ544">
        <v>98107</v>
      </c>
      <c r="AS544" t="s">
        <v>1541</v>
      </c>
      <c r="AT544">
        <v>19459882</v>
      </c>
      <c r="AU544" s="6">
        <v>39507</v>
      </c>
      <c r="BB544" t="s">
        <v>902</v>
      </c>
    </row>
    <row r="545" spans="1:54" hidden="1" x14ac:dyDescent="0.2">
      <c r="A545">
        <v>28035604</v>
      </c>
      <c r="B545" s="2" t="str">
        <f>HYPERLINK("http://www.windermere.com/index.cfm?fuseaction=Listing.ListingDetail&amp;ListingID=19460964","Active")</f>
        <v>Active</v>
      </c>
      <c r="D545" t="s">
        <v>60</v>
      </c>
      <c r="E545" t="s">
        <v>1542</v>
      </c>
      <c r="F545" s="9">
        <v>489000</v>
      </c>
      <c r="G545" t="s">
        <v>786</v>
      </c>
      <c r="H545" s="1">
        <v>2310</v>
      </c>
      <c r="I545">
        <v>4959</v>
      </c>
      <c r="J545">
        <v>6</v>
      </c>
      <c r="K545">
        <v>3</v>
      </c>
      <c r="M545" s="2" t="str">
        <f>HYPERLINK("http://www.windermere.com/index.cfm?fuseaction=Listing.MapPropertyInteractive&amp;ListingID=19460964&amp;resize=true&amp;windowWidth=800&amp;windowHeight=600","Map")</f>
        <v>Map</v>
      </c>
      <c r="O545" s="2" t="str">
        <f>HYPERLINK("http://www.windermere.com/index.cfm?fuseaction=Listing.MultiImageViewer&amp;ListingID=19460964&amp;ln=28035604&amp;pub_mls=1","More")</f>
        <v>More</v>
      </c>
      <c r="P545" t="s">
        <v>44</v>
      </c>
      <c r="AI545" t="s">
        <v>66</v>
      </c>
      <c r="AJ545">
        <v>98133</v>
      </c>
      <c r="AS545" t="s">
        <v>1543</v>
      </c>
      <c r="AT545">
        <v>19460964</v>
      </c>
      <c r="AU545" s="6">
        <v>39507</v>
      </c>
      <c r="BB545" t="s">
        <v>902</v>
      </c>
    </row>
    <row r="546" spans="1:54" hidden="1" x14ac:dyDescent="0.2">
      <c r="A546">
        <v>28021572</v>
      </c>
      <c r="B546" s="2" t="str">
        <f>HYPERLINK("http://www.windermere.com/index.cfm?fuseaction=Listing.ListingDetail&amp;ListingID=19332845","Active")</f>
        <v>Active</v>
      </c>
      <c r="D546" t="s">
        <v>60</v>
      </c>
      <c r="E546" t="s">
        <v>1544</v>
      </c>
      <c r="F546" s="9">
        <v>500000</v>
      </c>
      <c r="G546" t="s">
        <v>128</v>
      </c>
      <c r="H546" s="1">
        <v>1520</v>
      </c>
      <c r="J546">
        <v>3</v>
      </c>
      <c r="K546">
        <v>2.5</v>
      </c>
      <c r="M546" s="2" t="str">
        <f>HYPERLINK("http://www.windermere.com/index.cfm?fuseaction=Listing.MapPropertyInteractive&amp;ListingID=19332845&amp;resize=true&amp;windowWidth=800&amp;windowHeight=600","Map")</f>
        <v>Map</v>
      </c>
      <c r="O546" s="2" t="str">
        <f>HYPERLINK("http://www.windermere.com/index.cfm?fuseaction=Listing.MultiImageViewer&amp;ListingID=19332845&amp;ln=28021572&amp;pub_mls=1","More")</f>
        <v>More</v>
      </c>
      <c r="AI546" t="s">
        <v>66</v>
      </c>
      <c r="AJ546">
        <v>98115</v>
      </c>
      <c r="AS546" t="s">
        <v>1545</v>
      </c>
      <c r="AT546">
        <v>19332845</v>
      </c>
      <c r="AU546" s="6">
        <v>39507</v>
      </c>
      <c r="BB546" t="s">
        <v>902</v>
      </c>
    </row>
    <row r="547" spans="1:54" hidden="1" x14ac:dyDescent="0.2">
      <c r="A547">
        <v>28026043</v>
      </c>
      <c r="B547" s="2" t="str">
        <f>HYPERLINK("http://www.windermere.com/index.cfm?fuseaction=Listing.ListingDetail&amp;ListingID=19358432","Active")</f>
        <v>Active</v>
      </c>
      <c r="D547" t="s">
        <v>66</v>
      </c>
      <c r="E547" t="s">
        <v>1544</v>
      </c>
      <c r="F547" s="9">
        <v>500000</v>
      </c>
      <c r="G547" t="s">
        <v>128</v>
      </c>
      <c r="H547" s="1">
        <v>1520</v>
      </c>
      <c r="J547">
        <v>3</v>
      </c>
      <c r="K547">
        <v>2.5</v>
      </c>
      <c r="M547" s="2" t="str">
        <f>HYPERLINK("http://www.windermere.com/index.cfm?fuseaction=Listing.MapPropertyInteractive&amp;ListingID=19358432&amp;resize=true&amp;windowWidth=800&amp;windowHeight=600","Map")</f>
        <v>Map</v>
      </c>
      <c r="O547" s="2" t="str">
        <f>HYPERLINK("http://www.windermere.com/index.cfm?fuseaction=Listing.MultiImageViewer&amp;ListingID=19358432&amp;ln=28026043&amp;pub_mls=1","More")</f>
        <v>More</v>
      </c>
      <c r="AI547" t="s">
        <v>66</v>
      </c>
      <c r="AJ547">
        <v>98115</v>
      </c>
      <c r="AS547" t="s">
        <v>1546</v>
      </c>
      <c r="AT547">
        <v>19358432</v>
      </c>
      <c r="AU547" s="6">
        <v>39507</v>
      </c>
      <c r="BB547" t="s">
        <v>902</v>
      </c>
    </row>
    <row r="548" spans="1:54" hidden="1" x14ac:dyDescent="0.2">
      <c r="A548">
        <v>28035950</v>
      </c>
      <c r="B548" s="2" t="str">
        <f>HYPERLINK("http://www.windermere.com/index.cfm?fuseaction=Listing.ListingDetail&amp;ListingID=19462672","Active")</f>
        <v>Active</v>
      </c>
      <c r="D548" t="s">
        <v>78</v>
      </c>
      <c r="E548" t="s">
        <v>1548</v>
      </c>
      <c r="F548" s="9">
        <v>928500</v>
      </c>
      <c r="G548" t="s">
        <v>239</v>
      </c>
      <c r="H548" s="1">
        <v>3395</v>
      </c>
      <c r="I548">
        <v>4046</v>
      </c>
      <c r="J548">
        <v>4</v>
      </c>
      <c r="K548">
        <v>3.5</v>
      </c>
      <c r="M548" s="2" t="str">
        <f>HYPERLINK("http://www.windermere.com/index.cfm?fuseaction=Listing.MapPropertyInteractive&amp;ListingID=19462672&amp;resize=true&amp;windowWidth=800&amp;windowHeight=600","Map")</f>
        <v>Map</v>
      </c>
      <c r="O548" s="2" t="str">
        <f>HYPERLINK("http://www.windermere.com/index.cfm?fuseaction=Listing.MultiImageViewer&amp;ListingID=19462672&amp;ln=28035950&amp;pub_mls=1","More")</f>
        <v>More</v>
      </c>
      <c r="P548" t="s">
        <v>44</v>
      </c>
      <c r="AI548" t="s">
        <v>66</v>
      </c>
      <c r="AJ548">
        <v>98117</v>
      </c>
      <c r="AS548" t="s">
        <v>1549</v>
      </c>
      <c r="AT548">
        <v>19462672</v>
      </c>
      <c r="AU548" s="6">
        <v>39507</v>
      </c>
      <c r="BB548" t="s">
        <v>902</v>
      </c>
    </row>
  </sheetData>
  <autoFilter ref="A1:BK548">
    <filterColumn colId="55">
      <filters>
        <filter val="Green"/>
        <filter val="Red"/>
        <filter val="Yellow"/>
      </filters>
    </filterColumn>
  </autoFilter>
  <conditionalFormatting sqref="A1:A548">
    <cfRule type="expression" dxfId="0" priority="1">
      <formula>ISBLANK($BD1)</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Coupons</vt:lpstr>
      <vt:lpstr>Configuration</vt:lpstr>
      <vt:lpstr>20080302_070819</vt:lpstr>
      <vt:lpstr>cfgFilePath</vt:lpstr>
      <vt:lpstr>cfgFileSpec</vt:lpstr>
      <vt:lpstr>cfgQueryList</vt:lpstr>
      <vt:lpstr>cfgWorksheetName</vt:lpstr>
      <vt:lpstr>tmpStockResults</vt:lpstr>
      <vt:lpstr>'20080302_070819'!tmpTrackingResults</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(WSC)</cp:lastModifiedBy>
  <dcterms:created xsi:type="dcterms:W3CDTF">2005-12-05T14:52:26Z</dcterms:created>
  <dcterms:modified xsi:type="dcterms:W3CDTF">2011-03-07T16:06:58Z</dcterms:modified>
</cp:coreProperties>
</file>